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D:\مشاريعي\تحليل اكسل\Raw Data\"/>
    </mc:Choice>
  </mc:AlternateContent>
  <xr:revisionPtr revIDLastSave="0" documentId="8_{E757FE02-243F-4B89-9531-3CEF7F394D81}" xr6:coauthVersionLast="47" xr6:coauthVersionMax="47" xr10:uidLastSave="{00000000-0000-0000-0000-000000000000}"/>
  <bookViews>
    <workbookView xWindow="-110" yWindow="-110" windowWidth="21820" windowHeight="13900" xr2:uid="{1CA9E46E-2781-45F8-A1DA-E0E6B005D363}"/>
  </bookViews>
  <sheets>
    <sheet name="01_Raw_Data" sheetId="2" r:id="rId1"/>
    <sheet name="02_Project_Plan" sheetId="10" r:id="rId2"/>
    <sheet name="03_Clean_Data_Analysis" sheetId="4" r:id="rId3"/>
    <sheet name="04_Pivot_Analysis" sheetId="5" r:id="rId4"/>
    <sheet name="05_Dashboard" sheetId="8" r:id="rId5"/>
    <sheet name="06_Insights" sheetId="9" r:id="rId6"/>
  </sheets>
  <definedNames>
    <definedName name="_xlchart.v1.0" hidden="1">'03_Clean_Data_Analysis'!$K$1</definedName>
    <definedName name="_xlchart.v1.1" hidden="1">'03_Clean_Data_Analysis'!$K$2:$K$1001</definedName>
    <definedName name="ExternalData_1" localSheetId="0" hidden="1">'01_Raw_Data'!$A$1:$L$1001</definedName>
    <definedName name="ExternalData_2" localSheetId="2" hidden="1">'03_Clean_Data_Analysis'!$A$1:$L$1001</definedName>
    <definedName name="Slicer_final_grade">#N/A</definedName>
    <definedName name="Slicer_gender">#N/A</definedName>
    <definedName name="Slicer_internet_acces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41" i="5" l="1"/>
  <c r="B19" i="5"/>
  <c r="E70" i="5"/>
  <c r="X8" i="4"/>
  <c r="U8" i="4"/>
  <c r="P14" i="4"/>
  <c r="Q14" i="4" s="1"/>
  <c r="Z8" i="4"/>
  <c r="Y8" i="4"/>
  <c r="AA8" i="4" s="1"/>
  <c r="T3" i="4"/>
  <c r="R3" i="4"/>
  <c r="Q3" i="4"/>
  <c r="O14" i="4"/>
  <c r="N3" i="4"/>
  <c r="N14" i="4"/>
  <c r="R8" i="4"/>
  <c r="V8" i="4"/>
  <c r="P8" i="4"/>
  <c r="Q8" i="4"/>
  <c r="S8" i="4"/>
  <c r="N8" i="4"/>
  <c r="O8" i="4"/>
  <c r="B29" i="5"/>
  <c r="T8" i="4"/>
  <c r="B5" i="5"/>
  <c r="O3" i="4"/>
  <c r="P3" i="4"/>
  <c r="B62" i="5"/>
  <c r="E42" i="5"/>
  <c r="B51" i="5"/>
  <c r="B48" i="5"/>
  <c r="E40" i="5"/>
  <c r="F42" i="5" l="1"/>
  <c r="F4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059D7B-FD6B-47C9-9022-1BFD06A15FF4}" keepAlive="1" name="Query - student_performance_dataset" description="Connection to the 'student_performance_dataset' query in the workbook." type="5" refreshedVersion="8" background="1" saveData="1">
    <dbPr connection="Provider=Microsoft.Mashup.OleDb.1;Data Source=$Workbook$;Location=student_performance_dataset;Extended Properties=&quot;&quot;" command="SELECT * FROM [student_performance_dataset]"/>
  </connection>
  <connection id="2" xr16:uid="{A69DA809-C6E1-4B6D-B21F-0A4A62F6A846}" keepAlive="1" name="Query - student_performance_dataset (2)" description="Connection to the 'student_performance_dataset (2)' query in the workbook." type="5" refreshedVersion="8" background="1" saveData="1">
    <dbPr connection="Provider=Microsoft.Mashup.OleDb.1;Data Source=$Workbook$;Location=&quot;student_performance_dataset (2)&quot;;Extended Properties=&quot;&quot;" command="SELECT * FROM [student_performance_dataset (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<sst xmlns="http://schemas.openxmlformats.org/spreadsheetml/2006/main" count="12139" uniqueCount="91">
  <si>
    <t>student_id</t>
  </si>
  <si>
    <t>gender</t>
  </si>
  <si>
    <t>study_time_hours</t>
  </si>
  <si>
    <t>attendance_percent</t>
  </si>
  <si>
    <t>sleep_hours</t>
  </si>
  <si>
    <t>parental_education</t>
  </si>
  <si>
    <t>internet_access</t>
  </si>
  <si>
    <t>extracurricular_activities</t>
  </si>
  <si>
    <t>part_time_job</t>
  </si>
  <si>
    <t>previous_grade</t>
  </si>
  <si>
    <t>final_exam_score</t>
  </si>
  <si>
    <t>final_grade</t>
  </si>
  <si>
    <t>Male</t>
  </si>
  <si>
    <t>Bachelors</t>
  </si>
  <si>
    <t>Yes</t>
  </si>
  <si>
    <t>No</t>
  </si>
  <si>
    <t>A</t>
  </si>
  <si>
    <t>Female</t>
  </si>
  <si>
    <t>High School</t>
  </si>
  <si>
    <t>None</t>
  </si>
  <si>
    <t>B</t>
  </si>
  <si>
    <t>D</t>
  </si>
  <si>
    <t>C</t>
  </si>
  <si>
    <t>Masters</t>
  </si>
  <si>
    <t>PhD</t>
  </si>
  <si>
    <t>F</t>
  </si>
  <si>
    <t>min</t>
  </si>
  <si>
    <t>max</t>
  </si>
  <si>
    <t>Median</t>
  </si>
  <si>
    <t>Standard Deviation</t>
  </si>
  <si>
    <t>Count of student_id</t>
  </si>
  <si>
    <t>Row Labels</t>
  </si>
  <si>
    <t>Grand Total</t>
  </si>
  <si>
    <t>Average of final_exam_score</t>
  </si>
  <si>
    <t>Total Students</t>
  </si>
  <si>
    <t>Failed Students</t>
  </si>
  <si>
    <t xml:space="preserve"> Average Final Score </t>
  </si>
  <si>
    <t>Insights &amp; Recommendations</t>
  </si>
  <si>
    <t>1. Overall Student Performance</t>
  </si>
  <si>
    <r>
      <t xml:space="preserve">The overall student performance is relatively high, with an average final exam score of </t>
    </r>
    <r>
      <rPr>
        <b/>
        <sz val="11"/>
        <color theme="1"/>
        <rFont val="Aptos Narrow"/>
        <family val="2"/>
        <scheme val="minor"/>
      </rPr>
      <t>83.5</t>
    </r>
    <r>
      <rPr>
        <sz val="11"/>
        <color theme="1"/>
        <rFont val="Aptos Narrow"/>
        <family val="2"/>
        <scheme val="minor"/>
      </rPr>
      <t xml:space="preserve">. In addition, </t>
    </r>
    <r>
      <rPr>
        <b/>
        <sz val="11"/>
        <color theme="1"/>
        <rFont val="Aptos Narrow"/>
        <family val="2"/>
        <scheme val="minor"/>
      </rPr>
      <t>63.8% of students achieved grades A or B</t>
    </r>
    <r>
      <rPr>
        <sz val="11"/>
        <color theme="1"/>
        <rFont val="Aptos Narrow"/>
        <family val="2"/>
        <scheme val="minor"/>
      </rPr>
      <t>.</t>
    </r>
  </si>
  <si>
    <t>2. Study Time</t>
  </si>
  <si>
    <t>3. Previous Grades</t>
  </si>
  <si>
    <t>4. Internet Access</t>
  </si>
  <si>
    <t>5. Part-Time Job</t>
  </si>
  <si>
    <t>6. Gender</t>
  </si>
  <si>
    <r>
      <t>Study time showed the strongest positive correlation with final exam scores (</t>
    </r>
    <r>
      <rPr>
        <b/>
        <sz val="11"/>
        <color theme="1"/>
        <rFont val="Aptos Narrow"/>
        <family val="2"/>
        <scheme val="minor"/>
      </rPr>
      <t>r = 0.60</t>
    </r>
    <r>
      <rPr>
        <sz val="11"/>
        <color theme="1"/>
        <rFont val="Aptos Narrow"/>
        <family val="2"/>
        <scheme val="minor"/>
      </rPr>
      <t>), indicating that students who spend more time studying tend to achieve higher final scores.</t>
    </r>
  </si>
  <si>
    <r>
      <t>Previous grades showed a positive correlation with final exam scores (</t>
    </r>
    <r>
      <rPr>
        <b/>
        <sz val="11"/>
        <color theme="1"/>
        <rFont val="Aptos Narrow"/>
        <family val="2"/>
        <scheme val="minor"/>
      </rPr>
      <t>r = 0.40</t>
    </r>
    <r>
      <rPr>
        <sz val="11"/>
        <color theme="1"/>
        <rFont val="Aptos Narrow"/>
        <family val="2"/>
        <scheme val="minor"/>
      </rPr>
      <t>). The average final score was also slightly higher than the average previous grade, indicating a small overall improvement.</t>
    </r>
  </si>
  <si>
    <r>
      <t xml:space="preserve">Students with internet access achieved an average final score approximately </t>
    </r>
    <r>
      <rPr>
        <b/>
        <sz val="11"/>
        <color theme="1"/>
        <rFont val="Aptos Narrow"/>
        <family val="2"/>
        <scheme val="minor"/>
      </rPr>
      <t>5.02 points higher</t>
    </r>
    <r>
      <rPr>
        <sz val="11"/>
        <color theme="1"/>
        <rFont val="Aptos Narrow"/>
        <family val="2"/>
        <scheme val="minor"/>
      </rPr>
      <t xml:space="preserve"> than students without internet access.</t>
    </r>
  </si>
  <si>
    <r>
      <t xml:space="preserve">Students with part-time jobs had an average final score approximately </t>
    </r>
    <r>
      <rPr>
        <b/>
        <sz val="11"/>
        <color theme="1"/>
        <rFont val="Aptos Narrow"/>
        <family val="2"/>
        <scheme val="minor"/>
      </rPr>
      <t>3.3 points lower</t>
    </r>
    <r>
      <rPr>
        <sz val="11"/>
        <color theme="1"/>
        <rFont val="Aptos Narrow"/>
        <family val="2"/>
        <scheme val="minor"/>
      </rPr>
      <t xml:space="preserve"> than students without part-time jobs.</t>
    </r>
  </si>
  <si>
    <r>
      <t>The difference in average final scores between female and male students was very small (</t>
    </r>
    <r>
      <rPr>
        <b/>
        <sz val="11"/>
        <color theme="1"/>
        <rFont val="Aptos Narrow"/>
        <family val="2"/>
        <scheme val="minor"/>
      </rPr>
      <t>0.1 points</t>
    </r>
    <r>
      <rPr>
        <sz val="11"/>
        <color theme="1"/>
        <rFont val="Aptos Narrow"/>
        <family val="2"/>
        <scheme val="minor"/>
      </rPr>
      <t>), suggesting little difference in academic performance by gender.</t>
    </r>
  </si>
  <si>
    <t>Recommendations</t>
  </si>
  <si>
    <t>1. Support Effective Study Time</t>
  </si>
  <si>
    <t>2. Improve Internet Access</t>
  </si>
  <si>
    <t>3. Support Working Students</t>
  </si>
  <si>
    <t>4. Focus Support on Relevant Factors</t>
  </si>
  <si>
    <t>Encourage students with lower academic performance to increase and better organize their study time, as study time showed the strongest positive correlation with final exam scores.</t>
  </si>
  <si>
    <t>Provide additional support or internet access resources for students without reliable internet access, as this group had lower average final exam scores.</t>
  </si>
  <si>
    <t>Provide academic support and time-management guidance for students with part-time jobs to help them balance work responsibilities with their studies.</t>
  </si>
  <si>
    <t>Prioritize academic support based on factors that showed meaningful relationships with student performance rather than factors with very small differences, such as gender.</t>
  </si>
  <si>
    <t>Student Performance Analysis – Project Plan</t>
  </si>
  <si>
    <t>Analyze student performance data to identify the factors associated with higher or lower final exam scores and provide actionable recommendations to support student achievement.</t>
  </si>
  <si>
    <t>How can student academic performance be improved, 
and what factors are associated with higher final exam scores?</t>
  </si>
  <si>
    <t>Is study time associated with final exam scores?
Is attendance associated with final exam scores?
Are previous grades associated with final exam scores?
Do students with internet access achieve higher scores?
Do students with part-time jobs have different average scores?
Does parental education level relate to final exam scores?
Is there a difference in performance between male and female students?
Are extracurricular activities associated with higher scores?</t>
  </si>
  <si>
    <r>
      <t>Descriptive Analysis: Average, median, distribution and grade frequencies.
Correlation Analysis: Study time, attendance, sleep hours and previous grades vs. final exam score.
Comparative Analysis: Internet access, part-time job, gender, extracurricular activities and parental education</t>
    </r>
    <r>
      <rPr>
        <b/>
        <sz val="12"/>
        <color theme="1"/>
        <rFont val="Aptos Narrow"/>
        <family val="2"/>
        <scheme val="minor"/>
      </rPr>
      <t xml:space="preserve">. 
</t>
    </r>
  </si>
  <si>
    <t xml:space="preserve">3. Key Questions 
</t>
  </si>
  <si>
    <t xml:space="preserve">4. Analysis Approach  
</t>
  </si>
  <si>
    <r>
      <t xml:space="preserve">2. </t>
    </r>
    <r>
      <rPr>
        <b/>
        <sz val="14"/>
        <color theme="0"/>
        <rFont val="Aptos Narrow"/>
        <family val="2"/>
        <scheme val="minor"/>
      </rPr>
      <t>Project Objective</t>
    </r>
    <r>
      <rPr>
        <sz val="14"/>
        <color theme="0"/>
        <rFont val="Aptos Narrow"/>
        <family val="2"/>
        <scheme val="minor"/>
      </rPr>
      <t xml:space="preserve">  
</t>
    </r>
  </si>
  <si>
    <r>
      <t xml:space="preserve">1. Business Problem 
</t>
    </r>
    <r>
      <rPr>
        <sz val="14"/>
        <color theme="0"/>
        <rFont val="Aptos Narrow"/>
        <family val="2"/>
        <scheme val="minor"/>
      </rPr>
      <t xml:space="preserve"> </t>
    </r>
  </si>
  <si>
    <t>Average</t>
  </si>
  <si>
    <t>Final Exam Score</t>
  </si>
  <si>
    <t>Sleep Hours Correlation</t>
  </si>
  <si>
    <t>Study Time Correlation</t>
  </si>
  <si>
    <t>Parental Education Difference</t>
  </si>
  <si>
    <t>Previous Grade Correlation</t>
  </si>
  <si>
    <t>Part-Time Job Difference</t>
  </si>
  <si>
    <t>Attendance Correlation</t>
  </si>
  <si>
    <t>Perfect Score Rate</t>
  </si>
  <si>
    <t>Average Study Hours</t>
  </si>
  <si>
    <t>Extracurricular Activities Difference</t>
  </si>
  <si>
    <t>Internet Access Difference</t>
  </si>
  <si>
    <t>Gender Difference</t>
  </si>
  <si>
    <t>Failure Rate</t>
  </si>
  <si>
    <t>Perfect Scores</t>
  </si>
  <si>
    <t>High Achievers (A &amp; B)</t>
  </si>
  <si>
    <t>High Achievement Rate</t>
  </si>
  <si>
    <t>Grade Performance Summary</t>
  </si>
  <si>
    <t>Students</t>
  </si>
  <si>
    <t>Percentage</t>
  </si>
  <si>
    <t>Grade C</t>
  </si>
  <si>
    <t>Grades D &amp; F</t>
  </si>
  <si>
    <t>High Achievement (A &amp;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</si>
</sst>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b/>
      <sz val="14"/>
      <color theme="0"/>
      <name val="Aptos Narrow"/>
      <family val="2"/>
      <scheme val="minor"/>
    </font>
    <font>
      <b/>
      <sz val="16"/>
      <color theme="0"/>
      <name val="Aptos Narrow"/>
      <family val="2"/>
      <scheme val="minor"/>
    </font>
    <font>
      <b/>
      <sz val="18"/>
      <color theme="0"/>
      <name val="Aptos Narrow"/>
      <family val="2"/>
      <scheme val="minor"/>
    </font>
    <font>
      <sz val="14"/>
      <color theme="0"/>
      <name val="Aptos Narrow"/>
      <family val="2"/>
      <scheme val="minor"/>
    </font>
    <font>
      <b/>
      <sz val="12"/>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22" fillId="34" borderId="11" xfId="0" applyFont="1" applyFill="1" applyBorder="1" applyAlignment="1">
      <alignment vertical="center" wrapText="1"/>
    </xf>
    <xf numFmtId="0" fontId="19" fillId="33" borderId="11" xfId="0" applyFont="1" applyFill="1" applyBorder="1" applyAlignment="1">
      <alignment vertical="center" wrapText="1"/>
    </xf>
    <xf numFmtId="0" fontId="18" fillId="0" borderId="11" xfId="0" applyFont="1" applyBorder="1" applyAlignment="1">
      <alignment vertical="center" wrapText="1"/>
    </xf>
    <xf numFmtId="0" fontId="19" fillId="33" borderId="10" xfId="0" applyFont="1" applyFill="1" applyBorder="1" applyAlignment="1">
      <alignment vertical="center" wrapText="1"/>
    </xf>
    <xf numFmtId="0" fontId="18" fillId="0" borderId="10" xfId="0" applyFont="1" applyBorder="1" applyAlignment="1">
      <alignment vertical="center" wrapText="1"/>
    </xf>
    <xf numFmtId="0" fontId="0" fillId="0" borderId="0" xfId="0" pivotButton="1"/>
    <xf numFmtId="0" fontId="0" fillId="0" borderId="0" xfId="0" applyAlignment="1">
      <alignment horizontal="left"/>
    </xf>
    <xf numFmtId="2" fontId="0" fillId="0" borderId="0" xfId="0" applyNumberFormat="1"/>
    <xf numFmtId="0" fontId="17" fillId="35" borderId="0" xfId="0" applyFont="1" applyFill="1"/>
    <xf numFmtId="164" fontId="0" fillId="0" borderId="0" xfId="1" applyNumberFormat="1" applyFont="1"/>
    <xf numFmtId="0" fontId="13" fillId="35" borderId="0" xfId="0" applyFont="1" applyFill="1"/>
    <xf numFmtId="165" fontId="0" fillId="0" borderId="0" xfId="0" applyNumberFormat="1"/>
    <xf numFmtId="165" fontId="17" fillId="35" borderId="0" xfId="0" applyNumberFormat="1" applyFont="1" applyFill="1"/>
    <xf numFmtId="1" fontId="0" fillId="0" borderId="0" xfId="0" applyNumberFormat="1"/>
    <xf numFmtId="164" fontId="0" fillId="0" borderId="0" xfId="0" applyNumberFormat="1"/>
    <xf numFmtId="165" fontId="0" fillId="0" borderId="0" xfId="1" applyNumberFormat="1" applyFont="1"/>
    <xf numFmtId="0" fontId="16" fillId="36" borderId="0" xfId="0" applyFont="1" applyFill="1"/>
    <xf numFmtId="0" fontId="16" fillId="36" borderId="0" xfId="0" applyFont="1" applyFill="1" applyAlignment="1">
      <alignment horizontal="center" vertical="center"/>
    </xf>
    <xf numFmtId="0" fontId="16" fillId="0" borderId="0" xfId="0" applyFont="1"/>
    <xf numFmtId="0" fontId="21" fillId="34" borderId="11" xfId="0" applyFont="1" applyFill="1" applyBorder="1" applyAlignment="1">
      <alignment horizontal="center"/>
    </xf>
    <xf numFmtId="0" fontId="21" fillId="34" borderId="12" xfId="0" applyFont="1" applyFill="1" applyBorder="1" applyAlignment="1">
      <alignment horizontal="center"/>
    </xf>
    <xf numFmtId="0" fontId="21" fillId="34" borderId="13" xfId="0" applyFont="1" applyFill="1" applyBorder="1" applyAlignment="1">
      <alignment horizontal="center"/>
    </xf>
    <xf numFmtId="0" fontId="0" fillId="0" borderId="0" xfId="0"/>
    <xf numFmtId="0" fontId="13" fillId="35" borderId="0" xfId="0" applyFont="1" applyFill="1" applyAlignment="1">
      <alignment horizontal="center" vertical="center"/>
    </xf>
    <xf numFmtId="0" fontId="20" fillId="34"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ln>
                  <a:noFill/>
                </a:ln>
                <a:solidFill>
                  <a:sysClr val="windowText" lastClr="000000">
                    <a:lumMod val="65000"/>
                    <a:lumOff val="35000"/>
                  </a:sysClr>
                </a:solidFill>
              </a:rPr>
              <a:t>Sleep Hours vs Final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'03_Clean_Data_Analysis'!$K$1</c:f>
              <c:strCache>
                <c:ptCount val="1"/>
                <c:pt idx="0">
                  <c:v>final_exam_score</c:v>
                </c:pt>
              </c:strCache>
            </c:strRef>
          </c:tx>
          <c:spPr>
            <a:ln w="38100" cap="rnd">
              <a:noFill/>
              <a:round/>
            </a:ln>
            <a:effectLst/>
          </c:spPr>
          <c:marker>
            <c:symbol val="circle"/>
            <c:size val="5"/>
            <c:spPr>
              <a:solidFill>
                <a:schemeClr val="dk1">
                  <a:tint val="88500"/>
                </a:schemeClr>
              </a:solidFill>
              <a:ln w="9525">
                <a:solidFill>
                  <a:schemeClr val="dk1">
                    <a:tint val="88500"/>
                  </a:schemeClr>
                </a:solidFill>
              </a:ln>
              <a:effectLst/>
            </c:spPr>
          </c:marker>
          <c:trendline>
            <c:spPr>
              <a:ln w="19050" cap="rnd">
                <a:solidFill>
                  <a:schemeClr val="dk1">
                    <a:tint val="88500"/>
                  </a:schemeClr>
                </a:solidFill>
                <a:prstDash val="sysDot"/>
              </a:ln>
              <a:effectLst/>
            </c:spPr>
            <c:trendlineType val="linear"/>
            <c:dispRSqr val="0"/>
            <c:dispEq val="0"/>
          </c:trendline>
          <c:xVal>
            <c:numRef>
              <c:f>'03_Clean_Data_Analysis'!$E$2:$E$1001</c:f>
              <c:numCache>
                <c:formatCode>General</c:formatCode>
                <c:ptCount val="1000"/>
                <c:pt idx="0">
                  <c:v>6.5</c:v>
                </c:pt>
                <c:pt idx="1">
                  <c:v>5.7</c:v>
                </c:pt>
                <c:pt idx="2">
                  <c:v>7.9</c:v>
                </c:pt>
                <c:pt idx="3">
                  <c:v>8</c:v>
                </c:pt>
                <c:pt idx="4">
                  <c:v>4.5999999999999996</c:v>
                </c:pt>
                <c:pt idx="5">
                  <c:v>5.7</c:v>
                </c:pt>
                <c:pt idx="6">
                  <c:v>5</c:v>
                </c:pt>
                <c:pt idx="7">
                  <c:v>6</c:v>
                </c:pt>
                <c:pt idx="8">
                  <c:v>6.7</c:v>
                </c:pt>
                <c:pt idx="9">
                  <c:v>5.0999999999999996</c:v>
                </c:pt>
                <c:pt idx="10">
                  <c:v>5.7</c:v>
                </c:pt>
                <c:pt idx="11">
                  <c:v>5.6</c:v>
                </c:pt>
                <c:pt idx="12">
                  <c:v>7</c:v>
                </c:pt>
                <c:pt idx="13">
                  <c:v>6.9</c:v>
                </c:pt>
                <c:pt idx="14">
                  <c:v>5.9</c:v>
                </c:pt>
                <c:pt idx="15">
                  <c:v>7</c:v>
                </c:pt>
                <c:pt idx="16">
                  <c:v>6.1</c:v>
                </c:pt>
                <c:pt idx="17">
                  <c:v>6.5</c:v>
                </c:pt>
                <c:pt idx="18">
                  <c:v>8.8000000000000007</c:v>
                </c:pt>
                <c:pt idx="19">
                  <c:v>8.4</c:v>
                </c:pt>
                <c:pt idx="20">
                  <c:v>5.2</c:v>
                </c:pt>
                <c:pt idx="21">
                  <c:v>7.8</c:v>
                </c:pt>
                <c:pt idx="22">
                  <c:v>7.8</c:v>
                </c:pt>
                <c:pt idx="23">
                  <c:v>5.4</c:v>
                </c:pt>
                <c:pt idx="24">
                  <c:v>7.8</c:v>
                </c:pt>
                <c:pt idx="25">
                  <c:v>8.6</c:v>
                </c:pt>
                <c:pt idx="26">
                  <c:v>5.5</c:v>
                </c:pt>
                <c:pt idx="27">
                  <c:v>5.7</c:v>
                </c:pt>
                <c:pt idx="28">
                  <c:v>8</c:v>
                </c:pt>
                <c:pt idx="29">
                  <c:v>7.1</c:v>
                </c:pt>
                <c:pt idx="30">
                  <c:v>7.5</c:v>
                </c:pt>
                <c:pt idx="31">
                  <c:v>7.2</c:v>
                </c:pt>
                <c:pt idx="32">
                  <c:v>7.3</c:v>
                </c:pt>
                <c:pt idx="33">
                  <c:v>5.2</c:v>
                </c:pt>
                <c:pt idx="34">
                  <c:v>8.1</c:v>
                </c:pt>
                <c:pt idx="35">
                  <c:v>8.1999999999999993</c:v>
                </c:pt>
                <c:pt idx="36">
                  <c:v>6.5</c:v>
                </c:pt>
                <c:pt idx="37">
                  <c:v>6.7</c:v>
                </c:pt>
                <c:pt idx="38">
                  <c:v>5</c:v>
                </c:pt>
                <c:pt idx="39">
                  <c:v>7.4</c:v>
                </c:pt>
                <c:pt idx="40">
                  <c:v>7.5</c:v>
                </c:pt>
                <c:pt idx="41">
                  <c:v>6.7</c:v>
                </c:pt>
                <c:pt idx="42">
                  <c:v>8.1</c:v>
                </c:pt>
                <c:pt idx="43">
                  <c:v>6.4</c:v>
                </c:pt>
                <c:pt idx="44">
                  <c:v>7.5</c:v>
                </c:pt>
                <c:pt idx="45">
                  <c:v>5.6</c:v>
                </c:pt>
                <c:pt idx="46">
                  <c:v>6.8</c:v>
                </c:pt>
                <c:pt idx="47">
                  <c:v>6.6</c:v>
                </c:pt>
                <c:pt idx="48">
                  <c:v>7.1</c:v>
                </c:pt>
                <c:pt idx="49">
                  <c:v>6.4</c:v>
                </c:pt>
                <c:pt idx="50">
                  <c:v>6.6</c:v>
                </c:pt>
                <c:pt idx="51">
                  <c:v>7.8</c:v>
                </c:pt>
                <c:pt idx="52">
                  <c:v>6.3</c:v>
                </c:pt>
                <c:pt idx="53">
                  <c:v>4.9000000000000004</c:v>
                </c:pt>
                <c:pt idx="54">
                  <c:v>8.9</c:v>
                </c:pt>
                <c:pt idx="55">
                  <c:v>8.5</c:v>
                </c:pt>
                <c:pt idx="56">
                  <c:v>5.2</c:v>
                </c:pt>
                <c:pt idx="57">
                  <c:v>7.6</c:v>
                </c:pt>
                <c:pt idx="58">
                  <c:v>6.2</c:v>
                </c:pt>
                <c:pt idx="59">
                  <c:v>7.1</c:v>
                </c:pt>
                <c:pt idx="60">
                  <c:v>7.2</c:v>
                </c:pt>
                <c:pt idx="61">
                  <c:v>6.5</c:v>
                </c:pt>
                <c:pt idx="62">
                  <c:v>5.9</c:v>
                </c:pt>
                <c:pt idx="63">
                  <c:v>6</c:v>
                </c:pt>
                <c:pt idx="64">
                  <c:v>5.7</c:v>
                </c:pt>
                <c:pt idx="65">
                  <c:v>5.8</c:v>
                </c:pt>
                <c:pt idx="66">
                  <c:v>6.7</c:v>
                </c:pt>
                <c:pt idx="67">
                  <c:v>5.9</c:v>
                </c:pt>
                <c:pt idx="68">
                  <c:v>7.6</c:v>
                </c:pt>
                <c:pt idx="69">
                  <c:v>8.6</c:v>
                </c:pt>
                <c:pt idx="70">
                  <c:v>6.1</c:v>
                </c:pt>
                <c:pt idx="71">
                  <c:v>7.1</c:v>
                </c:pt>
                <c:pt idx="72">
                  <c:v>7.4</c:v>
                </c:pt>
                <c:pt idx="73">
                  <c:v>7.4</c:v>
                </c:pt>
                <c:pt idx="74">
                  <c:v>6.9</c:v>
                </c:pt>
                <c:pt idx="75">
                  <c:v>7.7</c:v>
                </c:pt>
                <c:pt idx="76">
                  <c:v>7.4</c:v>
                </c:pt>
                <c:pt idx="77">
                  <c:v>5.3</c:v>
                </c:pt>
                <c:pt idx="78">
                  <c:v>7.8</c:v>
                </c:pt>
                <c:pt idx="79">
                  <c:v>7.9</c:v>
                </c:pt>
                <c:pt idx="80">
                  <c:v>5.9</c:v>
                </c:pt>
                <c:pt idx="81">
                  <c:v>6.8</c:v>
                </c:pt>
                <c:pt idx="82">
                  <c:v>7.6</c:v>
                </c:pt>
                <c:pt idx="83">
                  <c:v>6.5</c:v>
                </c:pt>
                <c:pt idx="84">
                  <c:v>8.1</c:v>
                </c:pt>
                <c:pt idx="85">
                  <c:v>9.6</c:v>
                </c:pt>
                <c:pt idx="86">
                  <c:v>5.9</c:v>
                </c:pt>
                <c:pt idx="87">
                  <c:v>5.0999999999999996</c:v>
                </c:pt>
                <c:pt idx="88">
                  <c:v>7.2</c:v>
                </c:pt>
                <c:pt idx="89">
                  <c:v>7.7</c:v>
                </c:pt>
                <c:pt idx="90">
                  <c:v>6.5</c:v>
                </c:pt>
                <c:pt idx="91">
                  <c:v>8.5</c:v>
                </c:pt>
                <c:pt idx="92">
                  <c:v>5.2</c:v>
                </c:pt>
                <c:pt idx="93">
                  <c:v>7.6</c:v>
                </c:pt>
                <c:pt idx="94">
                  <c:v>6.1</c:v>
                </c:pt>
                <c:pt idx="95">
                  <c:v>8.9</c:v>
                </c:pt>
                <c:pt idx="96">
                  <c:v>9.1999999999999993</c:v>
                </c:pt>
                <c:pt idx="97">
                  <c:v>5.9</c:v>
                </c:pt>
                <c:pt idx="98">
                  <c:v>6.1</c:v>
                </c:pt>
                <c:pt idx="99">
                  <c:v>7.8</c:v>
                </c:pt>
                <c:pt idx="100">
                  <c:v>6.3</c:v>
                </c:pt>
                <c:pt idx="101">
                  <c:v>6.7</c:v>
                </c:pt>
                <c:pt idx="102">
                  <c:v>6.8</c:v>
                </c:pt>
                <c:pt idx="103">
                  <c:v>4.5</c:v>
                </c:pt>
                <c:pt idx="104">
                  <c:v>6.8</c:v>
                </c:pt>
                <c:pt idx="105">
                  <c:v>6</c:v>
                </c:pt>
                <c:pt idx="106">
                  <c:v>6.2</c:v>
                </c:pt>
                <c:pt idx="107">
                  <c:v>8.5</c:v>
                </c:pt>
                <c:pt idx="108">
                  <c:v>5.3</c:v>
                </c:pt>
                <c:pt idx="109">
                  <c:v>7.8</c:v>
                </c:pt>
                <c:pt idx="110">
                  <c:v>6.5</c:v>
                </c:pt>
                <c:pt idx="111">
                  <c:v>6.5</c:v>
                </c:pt>
                <c:pt idx="112">
                  <c:v>7.7</c:v>
                </c:pt>
                <c:pt idx="113">
                  <c:v>7.2</c:v>
                </c:pt>
                <c:pt idx="114">
                  <c:v>7.5</c:v>
                </c:pt>
                <c:pt idx="115">
                  <c:v>8</c:v>
                </c:pt>
                <c:pt idx="116">
                  <c:v>6.4</c:v>
                </c:pt>
                <c:pt idx="117">
                  <c:v>6.1</c:v>
                </c:pt>
                <c:pt idx="118">
                  <c:v>5.5</c:v>
                </c:pt>
                <c:pt idx="119">
                  <c:v>5.8</c:v>
                </c:pt>
                <c:pt idx="120">
                  <c:v>10</c:v>
                </c:pt>
                <c:pt idx="121">
                  <c:v>8.3000000000000007</c:v>
                </c:pt>
                <c:pt idx="122">
                  <c:v>5.2</c:v>
                </c:pt>
                <c:pt idx="123">
                  <c:v>5.2</c:v>
                </c:pt>
                <c:pt idx="124">
                  <c:v>7.4</c:v>
                </c:pt>
                <c:pt idx="125">
                  <c:v>7.5</c:v>
                </c:pt>
                <c:pt idx="126">
                  <c:v>7.5</c:v>
                </c:pt>
                <c:pt idx="127">
                  <c:v>6.5</c:v>
                </c:pt>
                <c:pt idx="128">
                  <c:v>6.6</c:v>
                </c:pt>
                <c:pt idx="129">
                  <c:v>7.2</c:v>
                </c:pt>
                <c:pt idx="130">
                  <c:v>6.9</c:v>
                </c:pt>
                <c:pt idx="131">
                  <c:v>4.0999999999999996</c:v>
                </c:pt>
                <c:pt idx="132">
                  <c:v>6.5</c:v>
                </c:pt>
                <c:pt idx="133">
                  <c:v>5.8</c:v>
                </c:pt>
                <c:pt idx="134">
                  <c:v>7</c:v>
                </c:pt>
                <c:pt idx="135">
                  <c:v>10</c:v>
                </c:pt>
                <c:pt idx="136">
                  <c:v>7.2</c:v>
                </c:pt>
                <c:pt idx="137">
                  <c:v>6.4</c:v>
                </c:pt>
                <c:pt idx="138">
                  <c:v>7.9</c:v>
                </c:pt>
                <c:pt idx="139">
                  <c:v>7.4</c:v>
                </c:pt>
                <c:pt idx="140">
                  <c:v>7.3</c:v>
                </c:pt>
                <c:pt idx="141">
                  <c:v>7.5</c:v>
                </c:pt>
                <c:pt idx="142">
                  <c:v>9.3000000000000007</c:v>
                </c:pt>
                <c:pt idx="143">
                  <c:v>5.4</c:v>
                </c:pt>
                <c:pt idx="144">
                  <c:v>7.4</c:v>
                </c:pt>
                <c:pt idx="145">
                  <c:v>5.7</c:v>
                </c:pt>
                <c:pt idx="146">
                  <c:v>7.5</c:v>
                </c:pt>
                <c:pt idx="147">
                  <c:v>5.7</c:v>
                </c:pt>
                <c:pt idx="148">
                  <c:v>6.3</c:v>
                </c:pt>
                <c:pt idx="149">
                  <c:v>6.4</c:v>
                </c:pt>
                <c:pt idx="150">
                  <c:v>8</c:v>
                </c:pt>
                <c:pt idx="151">
                  <c:v>7.9</c:v>
                </c:pt>
                <c:pt idx="152">
                  <c:v>5.3</c:v>
                </c:pt>
                <c:pt idx="153">
                  <c:v>6.9</c:v>
                </c:pt>
                <c:pt idx="154">
                  <c:v>5.9</c:v>
                </c:pt>
                <c:pt idx="155">
                  <c:v>5.3</c:v>
                </c:pt>
                <c:pt idx="156">
                  <c:v>6.5</c:v>
                </c:pt>
                <c:pt idx="157">
                  <c:v>6.4</c:v>
                </c:pt>
                <c:pt idx="158">
                  <c:v>9.6999999999999993</c:v>
                </c:pt>
                <c:pt idx="159">
                  <c:v>7.3</c:v>
                </c:pt>
                <c:pt idx="160">
                  <c:v>5.0999999999999996</c:v>
                </c:pt>
                <c:pt idx="161">
                  <c:v>6.1</c:v>
                </c:pt>
                <c:pt idx="162">
                  <c:v>8</c:v>
                </c:pt>
                <c:pt idx="163">
                  <c:v>9.3000000000000007</c:v>
                </c:pt>
                <c:pt idx="164">
                  <c:v>4.9000000000000004</c:v>
                </c:pt>
                <c:pt idx="165">
                  <c:v>4.5</c:v>
                </c:pt>
                <c:pt idx="166">
                  <c:v>9</c:v>
                </c:pt>
                <c:pt idx="167">
                  <c:v>7.3</c:v>
                </c:pt>
                <c:pt idx="168">
                  <c:v>5.8</c:v>
                </c:pt>
                <c:pt idx="169">
                  <c:v>7.4</c:v>
                </c:pt>
                <c:pt idx="170">
                  <c:v>3.6</c:v>
                </c:pt>
                <c:pt idx="171">
                  <c:v>6.8</c:v>
                </c:pt>
                <c:pt idx="172">
                  <c:v>7.2</c:v>
                </c:pt>
                <c:pt idx="173">
                  <c:v>7.9</c:v>
                </c:pt>
                <c:pt idx="174">
                  <c:v>5.6</c:v>
                </c:pt>
                <c:pt idx="175">
                  <c:v>6.9</c:v>
                </c:pt>
                <c:pt idx="176">
                  <c:v>5.7</c:v>
                </c:pt>
                <c:pt idx="177">
                  <c:v>7.1</c:v>
                </c:pt>
                <c:pt idx="178">
                  <c:v>5.7</c:v>
                </c:pt>
                <c:pt idx="179">
                  <c:v>6.3</c:v>
                </c:pt>
                <c:pt idx="180">
                  <c:v>5.6</c:v>
                </c:pt>
                <c:pt idx="181">
                  <c:v>7.6</c:v>
                </c:pt>
                <c:pt idx="182">
                  <c:v>7.8</c:v>
                </c:pt>
                <c:pt idx="183">
                  <c:v>6.5</c:v>
                </c:pt>
                <c:pt idx="184">
                  <c:v>6.8</c:v>
                </c:pt>
                <c:pt idx="185">
                  <c:v>5.0999999999999996</c:v>
                </c:pt>
                <c:pt idx="186">
                  <c:v>6.4</c:v>
                </c:pt>
                <c:pt idx="187">
                  <c:v>6.7</c:v>
                </c:pt>
                <c:pt idx="188">
                  <c:v>9.9</c:v>
                </c:pt>
                <c:pt idx="189">
                  <c:v>5.5</c:v>
                </c:pt>
                <c:pt idx="190">
                  <c:v>8.6</c:v>
                </c:pt>
                <c:pt idx="191">
                  <c:v>8</c:v>
                </c:pt>
                <c:pt idx="192">
                  <c:v>7.1</c:v>
                </c:pt>
                <c:pt idx="193">
                  <c:v>8.9</c:v>
                </c:pt>
                <c:pt idx="194">
                  <c:v>7.2</c:v>
                </c:pt>
                <c:pt idx="195">
                  <c:v>7.3</c:v>
                </c:pt>
                <c:pt idx="196">
                  <c:v>6.7</c:v>
                </c:pt>
                <c:pt idx="197">
                  <c:v>8.3000000000000007</c:v>
                </c:pt>
                <c:pt idx="198">
                  <c:v>8.1</c:v>
                </c:pt>
                <c:pt idx="199">
                  <c:v>6</c:v>
                </c:pt>
                <c:pt idx="200">
                  <c:v>5.2</c:v>
                </c:pt>
                <c:pt idx="201">
                  <c:v>6.6</c:v>
                </c:pt>
                <c:pt idx="202">
                  <c:v>5.8</c:v>
                </c:pt>
                <c:pt idx="203">
                  <c:v>6.7</c:v>
                </c:pt>
                <c:pt idx="204">
                  <c:v>8.3000000000000007</c:v>
                </c:pt>
                <c:pt idx="205">
                  <c:v>6.3</c:v>
                </c:pt>
                <c:pt idx="206">
                  <c:v>6.7</c:v>
                </c:pt>
                <c:pt idx="207">
                  <c:v>6.9</c:v>
                </c:pt>
                <c:pt idx="208">
                  <c:v>7.8</c:v>
                </c:pt>
                <c:pt idx="209">
                  <c:v>4.0999999999999996</c:v>
                </c:pt>
                <c:pt idx="210">
                  <c:v>6.1</c:v>
                </c:pt>
                <c:pt idx="211">
                  <c:v>7.1</c:v>
                </c:pt>
                <c:pt idx="212">
                  <c:v>8.1999999999999993</c:v>
                </c:pt>
                <c:pt idx="213">
                  <c:v>6.2</c:v>
                </c:pt>
                <c:pt idx="214">
                  <c:v>4.5</c:v>
                </c:pt>
                <c:pt idx="215">
                  <c:v>7.5</c:v>
                </c:pt>
                <c:pt idx="216">
                  <c:v>6</c:v>
                </c:pt>
                <c:pt idx="217">
                  <c:v>5.4</c:v>
                </c:pt>
                <c:pt idx="218">
                  <c:v>6.1</c:v>
                </c:pt>
                <c:pt idx="219">
                  <c:v>6.6</c:v>
                </c:pt>
                <c:pt idx="220">
                  <c:v>6.1</c:v>
                </c:pt>
                <c:pt idx="221">
                  <c:v>4.2</c:v>
                </c:pt>
                <c:pt idx="222">
                  <c:v>7.9</c:v>
                </c:pt>
                <c:pt idx="223">
                  <c:v>8.3000000000000007</c:v>
                </c:pt>
                <c:pt idx="224">
                  <c:v>7.6</c:v>
                </c:pt>
                <c:pt idx="225">
                  <c:v>5.4</c:v>
                </c:pt>
                <c:pt idx="226">
                  <c:v>6.6</c:v>
                </c:pt>
                <c:pt idx="227">
                  <c:v>6.8</c:v>
                </c:pt>
                <c:pt idx="228">
                  <c:v>7.5</c:v>
                </c:pt>
                <c:pt idx="229">
                  <c:v>7.6</c:v>
                </c:pt>
                <c:pt idx="230">
                  <c:v>5.9</c:v>
                </c:pt>
                <c:pt idx="231">
                  <c:v>6.9</c:v>
                </c:pt>
                <c:pt idx="232">
                  <c:v>7.3</c:v>
                </c:pt>
                <c:pt idx="233">
                  <c:v>8.5</c:v>
                </c:pt>
                <c:pt idx="234">
                  <c:v>7.6</c:v>
                </c:pt>
                <c:pt idx="235">
                  <c:v>7.7</c:v>
                </c:pt>
                <c:pt idx="236">
                  <c:v>6.9</c:v>
                </c:pt>
                <c:pt idx="237">
                  <c:v>8.5</c:v>
                </c:pt>
                <c:pt idx="238">
                  <c:v>7.3</c:v>
                </c:pt>
                <c:pt idx="239">
                  <c:v>5.8</c:v>
                </c:pt>
                <c:pt idx="240">
                  <c:v>8.5</c:v>
                </c:pt>
                <c:pt idx="241">
                  <c:v>7.6</c:v>
                </c:pt>
                <c:pt idx="242">
                  <c:v>6.3</c:v>
                </c:pt>
                <c:pt idx="243">
                  <c:v>6.2</c:v>
                </c:pt>
                <c:pt idx="244">
                  <c:v>7.2</c:v>
                </c:pt>
                <c:pt idx="245">
                  <c:v>7.4</c:v>
                </c:pt>
                <c:pt idx="246">
                  <c:v>7</c:v>
                </c:pt>
                <c:pt idx="247">
                  <c:v>7.2</c:v>
                </c:pt>
                <c:pt idx="248">
                  <c:v>8.8000000000000007</c:v>
                </c:pt>
                <c:pt idx="249">
                  <c:v>8.1</c:v>
                </c:pt>
                <c:pt idx="250">
                  <c:v>7</c:v>
                </c:pt>
                <c:pt idx="251">
                  <c:v>7.9</c:v>
                </c:pt>
                <c:pt idx="252">
                  <c:v>5.6</c:v>
                </c:pt>
                <c:pt idx="253">
                  <c:v>7.3</c:v>
                </c:pt>
                <c:pt idx="254">
                  <c:v>9</c:v>
                </c:pt>
                <c:pt idx="255">
                  <c:v>6.5</c:v>
                </c:pt>
                <c:pt idx="256">
                  <c:v>5.8</c:v>
                </c:pt>
                <c:pt idx="257">
                  <c:v>6</c:v>
                </c:pt>
                <c:pt idx="258">
                  <c:v>5.5</c:v>
                </c:pt>
                <c:pt idx="259">
                  <c:v>5.9</c:v>
                </c:pt>
                <c:pt idx="260">
                  <c:v>6.4</c:v>
                </c:pt>
                <c:pt idx="261">
                  <c:v>5.0999999999999996</c:v>
                </c:pt>
                <c:pt idx="262">
                  <c:v>6.8</c:v>
                </c:pt>
                <c:pt idx="263">
                  <c:v>7.9</c:v>
                </c:pt>
                <c:pt idx="264">
                  <c:v>5.7</c:v>
                </c:pt>
                <c:pt idx="265">
                  <c:v>8.6</c:v>
                </c:pt>
                <c:pt idx="266">
                  <c:v>7.4</c:v>
                </c:pt>
                <c:pt idx="267">
                  <c:v>8</c:v>
                </c:pt>
                <c:pt idx="268">
                  <c:v>6</c:v>
                </c:pt>
                <c:pt idx="269">
                  <c:v>7.8</c:v>
                </c:pt>
                <c:pt idx="270">
                  <c:v>5.5</c:v>
                </c:pt>
                <c:pt idx="271">
                  <c:v>7.9</c:v>
                </c:pt>
                <c:pt idx="272">
                  <c:v>7</c:v>
                </c:pt>
                <c:pt idx="273">
                  <c:v>7.5</c:v>
                </c:pt>
                <c:pt idx="274">
                  <c:v>5.4</c:v>
                </c:pt>
                <c:pt idx="275">
                  <c:v>5.7</c:v>
                </c:pt>
                <c:pt idx="276">
                  <c:v>7.5</c:v>
                </c:pt>
                <c:pt idx="277">
                  <c:v>5.7</c:v>
                </c:pt>
                <c:pt idx="278">
                  <c:v>7.4</c:v>
                </c:pt>
                <c:pt idx="279">
                  <c:v>5.2</c:v>
                </c:pt>
                <c:pt idx="280">
                  <c:v>7.8</c:v>
                </c:pt>
                <c:pt idx="281">
                  <c:v>5.3</c:v>
                </c:pt>
                <c:pt idx="282">
                  <c:v>7.5</c:v>
                </c:pt>
                <c:pt idx="283">
                  <c:v>7.6</c:v>
                </c:pt>
                <c:pt idx="284">
                  <c:v>6</c:v>
                </c:pt>
                <c:pt idx="285">
                  <c:v>7.5</c:v>
                </c:pt>
                <c:pt idx="286">
                  <c:v>7.1</c:v>
                </c:pt>
                <c:pt idx="287">
                  <c:v>6.2</c:v>
                </c:pt>
                <c:pt idx="288">
                  <c:v>5.6</c:v>
                </c:pt>
                <c:pt idx="289">
                  <c:v>4.4000000000000004</c:v>
                </c:pt>
                <c:pt idx="290">
                  <c:v>7.2</c:v>
                </c:pt>
                <c:pt idx="291">
                  <c:v>4.9000000000000004</c:v>
                </c:pt>
                <c:pt idx="292">
                  <c:v>6.9</c:v>
                </c:pt>
                <c:pt idx="293">
                  <c:v>6.5</c:v>
                </c:pt>
                <c:pt idx="294">
                  <c:v>7.6</c:v>
                </c:pt>
                <c:pt idx="295">
                  <c:v>6.4</c:v>
                </c:pt>
                <c:pt idx="296">
                  <c:v>6.4</c:v>
                </c:pt>
                <c:pt idx="297">
                  <c:v>7.7</c:v>
                </c:pt>
                <c:pt idx="298">
                  <c:v>7.2</c:v>
                </c:pt>
                <c:pt idx="299">
                  <c:v>7.2</c:v>
                </c:pt>
                <c:pt idx="300">
                  <c:v>7.4</c:v>
                </c:pt>
                <c:pt idx="301">
                  <c:v>5</c:v>
                </c:pt>
                <c:pt idx="302">
                  <c:v>7.7</c:v>
                </c:pt>
                <c:pt idx="303">
                  <c:v>7.5</c:v>
                </c:pt>
                <c:pt idx="304">
                  <c:v>5.6</c:v>
                </c:pt>
                <c:pt idx="305">
                  <c:v>6.5</c:v>
                </c:pt>
                <c:pt idx="306">
                  <c:v>6.8</c:v>
                </c:pt>
                <c:pt idx="307">
                  <c:v>6.6</c:v>
                </c:pt>
                <c:pt idx="308">
                  <c:v>7.2</c:v>
                </c:pt>
                <c:pt idx="309">
                  <c:v>8.5</c:v>
                </c:pt>
                <c:pt idx="310">
                  <c:v>8.1</c:v>
                </c:pt>
                <c:pt idx="311">
                  <c:v>5.2</c:v>
                </c:pt>
                <c:pt idx="312">
                  <c:v>7.5</c:v>
                </c:pt>
                <c:pt idx="313">
                  <c:v>8.4</c:v>
                </c:pt>
                <c:pt idx="314">
                  <c:v>7.3</c:v>
                </c:pt>
                <c:pt idx="315">
                  <c:v>8.1</c:v>
                </c:pt>
                <c:pt idx="316">
                  <c:v>9.1999999999999993</c:v>
                </c:pt>
                <c:pt idx="317">
                  <c:v>8</c:v>
                </c:pt>
                <c:pt idx="318">
                  <c:v>7.1</c:v>
                </c:pt>
                <c:pt idx="319">
                  <c:v>8.1</c:v>
                </c:pt>
                <c:pt idx="320">
                  <c:v>7</c:v>
                </c:pt>
                <c:pt idx="321">
                  <c:v>6.8</c:v>
                </c:pt>
                <c:pt idx="322">
                  <c:v>6.4</c:v>
                </c:pt>
                <c:pt idx="323">
                  <c:v>8.6999999999999993</c:v>
                </c:pt>
                <c:pt idx="324">
                  <c:v>5.8</c:v>
                </c:pt>
                <c:pt idx="325">
                  <c:v>8.6</c:v>
                </c:pt>
                <c:pt idx="326">
                  <c:v>7.4</c:v>
                </c:pt>
                <c:pt idx="327">
                  <c:v>5.0999999999999996</c:v>
                </c:pt>
                <c:pt idx="328">
                  <c:v>7.2</c:v>
                </c:pt>
                <c:pt idx="329">
                  <c:v>4.3</c:v>
                </c:pt>
                <c:pt idx="330">
                  <c:v>7.6</c:v>
                </c:pt>
                <c:pt idx="331">
                  <c:v>7.9</c:v>
                </c:pt>
                <c:pt idx="332">
                  <c:v>6.1</c:v>
                </c:pt>
                <c:pt idx="333">
                  <c:v>6.9</c:v>
                </c:pt>
                <c:pt idx="334">
                  <c:v>9.1</c:v>
                </c:pt>
                <c:pt idx="335">
                  <c:v>6.2</c:v>
                </c:pt>
                <c:pt idx="336">
                  <c:v>5.5</c:v>
                </c:pt>
                <c:pt idx="337">
                  <c:v>8.6</c:v>
                </c:pt>
                <c:pt idx="338">
                  <c:v>9.1999999999999993</c:v>
                </c:pt>
                <c:pt idx="339">
                  <c:v>6.8</c:v>
                </c:pt>
                <c:pt idx="340">
                  <c:v>8</c:v>
                </c:pt>
                <c:pt idx="341">
                  <c:v>8.4</c:v>
                </c:pt>
                <c:pt idx="342">
                  <c:v>5.9</c:v>
                </c:pt>
                <c:pt idx="343">
                  <c:v>6.2</c:v>
                </c:pt>
                <c:pt idx="344">
                  <c:v>8.3000000000000007</c:v>
                </c:pt>
                <c:pt idx="345">
                  <c:v>8.8000000000000007</c:v>
                </c:pt>
                <c:pt idx="346">
                  <c:v>7.5</c:v>
                </c:pt>
                <c:pt idx="347">
                  <c:v>5.7</c:v>
                </c:pt>
                <c:pt idx="348">
                  <c:v>9.1999999999999993</c:v>
                </c:pt>
                <c:pt idx="349">
                  <c:v>6.2</c:v>
                </c:pt>
                <c:pt idx="350">
                  <c:v>6.4</c:v>
                </c:pt>
                <c:pt idx="351">
                  <c:v>7.2</c:v>
                </c:pt>
                <c:pt idx="352">
                  <c:v>8.6999999999999993</c:v>
                </c:pt>
                <c:pt idx="353">
                  <c:v>7.8</c:v>
                </c:pt>
                <c:pt idx="354">
                  <c:v>7.3</c:v>
                </c:pt>
                <c:pt idx="355">
                  <c:v>7.4</c:v>
                </c:pt>
                <c:pt idx="356">
                  <c:v>6.9</c:v>
                </c:pt>
                <c:pt idx="357">
                  <c:v>7.5</c:v>
                </c:pt>
                <c:pt idx="358">
                  <c:v>3.8</c:v>
                </c:pt>
                <c:pt idx="359">
                  <c:v>6.4</c:v>
                </c:pt>
                <c:pt idx="360">
                  <c:v>7.1</c:v>
                </c:pt>
                <c:pt idx="361">
                  <c:v>5.4</c:v>
                </c:pt>
                <c:pt idx="362">
                  <c:v>7.3</c:v>
                </c:pt>
                <c:pt idx="363">
                  <c:v>6.6</c:v>
                </c:pt>
                <c:pt idx="364">
                  <c:v>8.9</c:v>
                </c:pt>
                <c:pt idx="365">
                  <c:v>8.6999999999999993</c:v>
                </c:pt>
                <c:pt idx="366">
                  <c:v>6.2</c:v>
                </c:pt>
                <c:pt idx="367">
                  <c:v>6.6</c:v>
                </c:pt>
                <c:pt idx="368">
                  <c:v>6.7</c:v>
                </c:pt>
                <c:pt idx="369">
                  <c:v>6.3</c:v>
                </c:pt>
                <c:pt idx="370">
                  <c:v>7</c:v>
                </c:pt>
                <c:pt idx="371">
                  <c:v>5.9</c:v>
                </c:pt>
                <c:pt idx="372">
                  <c:v>5.4</c:v>
                </c:pt>
                <c:pt idx="373">
                  <c:v>7.5</c:v>
                </c:pt>
                <c:pt idx="374">
                  <c:v>7.6</c:v>
                </c:pt>
                <c:pt idx="375">
                  <c:v>5.8</c:v>
                </c:pt>
                <c:pt idx="376">
                  <c:v>7.9</c:v>
                </c:pt>
                <c:pt idx="377">
                  <c:v>6</c:v>
                </c:pt>
                <c:pt idx="378">
                  <c:v>7.1</c:v>
                </c:pt>
                <c:pt idx="379">
                  <c:v>7.8</c:v>
                </c:pt>
                <c:pt idx="380">
                  <c:v>6.8</c:v>
                </c:pt>
                <c:pt idx="381">
                  <c:v>7.3</c:v>
                </c:pt>
                <c:pt idx="382">
                  <c:v>6.2</c:v>
                </c:pt>
                <c:pt idx="383">
                  <c:v>6.6</c:v>
                </c:pt>
                <c:pt idx="384">
                  <c:v>6.6</c:v>
                </c:pt>
                <c:pt idx="385">
                  <c:v>5.9</c:v>
                </c:pt>
                <c:pt idx="386">
                  <c:v>6.6</c:v>
                </c:pt>
                <c:pt idx="387">
                  <c:v>4.9000000000000004</c:v>
                </c:pt>
                <c:pt idx="388">
                  <c:v>6.2</c:v>
                </c:pt>
                <c:pt idx="389">
                  <c:v>6.5</c:v>
                </c:pt>
                <c:pt idx="390">
                  <c:v>6.5</c:v>
                </c:pt>
                <c:pt idx="391">
                  <c:v>6.5</c:v>
                </c:pt>
                <c:pt idx="392">
                  <c:v>6.7</c:v>
                </c:pt>
                <c:pt idx="393">
                  <c:v>7.4</c:v>
                </c:pt>
                <c:pt idx="394">
                  <c:v>7.8</c:v>
                </c:pt>
                <c:pt idx="395">
                  <c:v>6</c:v>
                </c:pt>
                <c:pt idx="396">
                  <c:v>5.4</c:v>
                </c:pt>
                <c:pt idx="397">
                  <c:v>5.5</c:v>
                </c:pt>
                <c:pt idx="398">
                  <c:v>6.2</c:v>
                </c:pt>
                <c:pt idx="399">
                  <c:v>6.4</c:v>
                </c:pt>
                <c:pt idx="400">
                  <c:v>5.9</c:v>
                </c:pt>
                <c:pt idx="401">
                  <c:v>5.2</c:v>
                </c:pt>
                <c:pt idx="402">
                  <c:v>6.3</c:v>
                </c:pt>
                <c:pt idx="403">
                  <c:v>7</c:v>
                </c:pt>
                <c:pt idx="404">
                  <c:v>7.5</c:v>
                </c:pt>
                <c:pt idx="405">
                  <c:v>6.1</c:v>
                </c:pt>
                <c:pt idx="406">
                  <c:v>6.3</c:v>
                </c:pt>
                <c:pt idx="407">
                  <c:v>5.7</c:v>
                </c:pt>
                <c:pt idx="408">
                  <c:v>6.8</c:v>
                </c:pt>
                <c:pt idx="409">
                  <c:v>5.8</c:v>
                </c:pt>
                <c:pt idx="410">
                  <c:v>7.5</c:v>
                </c:pt>
                <c:pt idx="411">
                  <c:v>4.7</c:v>
                </c:pt>
                <c:pt idx="412">
                  <c:v>6.4</c:v>
                </c:pt>
                <c:pt idx="413">
                  <c:v>7.2</c:v>
                </c:pt>
                <c:pt idx="414">
                  <c:v>7</c:v>
                </c:pt>
                <c:pt idx="415">
                  <c:v>10</c:v>
                </c:pt>
                <c:pt idx="416">
                  <c:v>7.2</c:v>
                </c:pt>
                <c:pt idx="417">
                  <c:v>5.6</c:v>
                </c:pt>
                <c:pt idx="418">
                  <c:v>6.7</c:v>
                </c:pt>
                <c:pt idx="419">
                  <c:v>4.7</c:v>
                </c:pt>
                <c:pt idx="420">
                  <c:v>6.7</c:v>
                </c:pt>
                <c:pt idx="421">
                  <c:v>5.8</c:v>
                </c:pt>
                <c:pt idx="422">
                  <c:v>7.9</c:v>
                </c:pt>
                <c:pt idx="423">
                  <c:v>6.1</c:v>
                </c:pt>
                <c:pt idx="424">
                  <c:v>6.7</c:v>
                </c:pt>
                <c:pt idx="425">
                  <c:v>6</c:v>
                </c:pt>
                <c:pt idx="426">
                  <c:v>8.9</c:v>
                </c:pt>
                <c:pt idx="427">
                  <c:v>6.4</c:v>
                </c:pt>
                <c:pt idx="428">
                  <c:v>9</c:v>
                </c:pt>
                <c:pt idx="429">
                  <c:v>7.8</c:v>
                </c:pt>
                <c:pt idx="430">
                  <c:v>7.4</c:v>
                </c:pt>
                <c:pt idx="431">
                  <c:v>7.2</c:v>
                </c:pt>
                <c:pt idx="432">
                  <c:v>7.3</c:v>
                </c:pt>
                <c:pt idx="433">
                  <c:v>4.5</c:v>
                </c:pt>
                <c:pt idx="434">
                  <c:v>6.5</c:v>
                </c:pt>
                <c:pt idx="435">
                  <c:v>7.8</c:v>
                </c:pt>
                <c:pt idx="436">
                  <c:v>6.7</c:v>
                </c:pt>
                <c:pt idx="437">
                  <c:v>5.0999999999999996</c:v>
                </c:pt>
                <c:pt idx="438">
                  <c:v>6.7</c:v>
                </c:pt>
                <c:pt idx="439">
                  <c:v>8.8000000000000007</c:v>
                </c:pt>
                <c:pt idx="440">
                  <c:v>8.3000000000000007</c:v>
                </c:pt>
                <c:pt idx="441">
                  <c:v>6.7</c:v>
                </c:pt>
                <c:pt idx="442">
                  <c:v>7.9</c:v>
                </c:pt>
                <c:pt idx="443">
                  <c:v>6.4</c:v>
                </c:pt>
                <c:pt idx="444">
                  <c:v>4.8</c:v>
                </c:pt>
                <c:pt idx="445">
                  <c:v>5.7</c:v>
                </c:pt>
                <c:pt idx="446">
                  <c:v>8.6999999999999993</c:v>
                </c:pt>
                <c:pt idx="447">
                  <c:v>6.5</c:v>
                </c:pt>
                <c:pt idx="448">
                  <c:v>6.5</c:v>
                </c:pt>
                <c:pt idx="449">
                  <c:v>6.4</c:v>
                </c:pt>
                <c:pt idx="450">
                  <c:v>9.1</c:v>
                </c:pt>
                <c:pt idx="451">
                  <c:v>8.8000000000000007</c:v>
                </c:pt>
                <c:pt idx="452">
                  <c:v>9.5</c:v>
                </c:pt>
                <c:pt idx="453">
                  <c:v>6.6</c:v>
                </c:pt>
                <c:pt idx="454">
                  <c:v>7.2</c:v>
                </c:pt>
                <c:pt idx="455">
                  <c:v>5</c:v>
                </c:pt>
                <c:pt idx="456">
                  <c:v>8.6</c:v>
                </c:pt>
                <c:pt idx="457">
                  <c:v>5.4</c:v>
                </c:pt>
                <c:pt idx="458">
                  <c:v>7.1</c:v>
                </c:pt>
                <c:pt idx="459">
                  <c:v>5.5</c:v>
                </c:pt>
                <c:pt idx="460">
                  <c:v>6.1</c:v>
                </c:pt>
                <c:pt idx="461">
                  <c:v>5.8</c:v>
                </c:pt>
                <c:pt idx="462">
                  <c:v>6.1</c:v>
                </c:pt>
                <c:pt idx="463">
                  <c:v>6.2</c:v>
                </c:pt>
                <c:pt idx="464">
                  <c:v>6.1</c:v>
                </c:pt>
                <c:pt idx="465">
                  <c:v>7.8</c:v>
                </c:pt>
                <c:pt idx="466">
                  <c:v>5.5</c:v>
                </c:pt>
                <c:pt idx="467">
                  <c:v>7.1</c:v>
                </c:pt>
                <c:pt idx="468">
                  <c:v>8.3000000000000007</c:v>
                </c:pt>
                <c:pt idx="469">
                  <c:v>6.2</c:v>
                </c:pt>
                <c:pt idx="470">
                  <c:v>5.9</c:v>
                </c:pt>
                <c:pt idx="471">
                  <c:v>6.5</c:v>
                </c:pt>
                <c:pt idx="472">
                  <c:v>8.1999999999999993</c:v>
                </c:pt>
                <c:pt idx="473">
                  <c:v>7</c:v>
                </c:pt>
                <c:pt idx="474">
                  <c:v>6.2</c:v>
                </c:pt>
                <c:pt idx="475">
                  <c:v>7.4</c:v>
                </c:pt>
                <c:pt idx="476">
                  <c:v>5.5</c:v>
                </c:pt>
                <c:pt idx="477">
                  <c:v>7.6</c:v>
                </c:pt>
                <c:pt idx="478">
                  <c:v>7.3</c:v>
                </c:pt>
                <c:pt idx="479">
                  <c:v>6.4</c:v>
                </c:pt>
                <c:pt idx="480">
                  <c:v>5.8</c:v>
                </c:pt>
                <c:pt idx="481">
                  <c:v>5.7</c:v>
                </c:pt>
                <c:pt idx="482">
                  <c:v>7.4</c:v>
                </c:pt>
                <c:pt idx="483">
                  <c:v>8.3000000000000007</c:v>
                </c:pt>
                <c:pt idx="484">
                  <c:v>6</c:v>
                </c:pt>
                <c:pt idx="485">
                  <c:v>7.4</c:v>
                </c:pt>
                <c:pt idx="486">
                  <c:v>4.3</c:v>
                </c:pt>
                <c:pt idx="487">
                  <c:v>6.1</c:v>
                </c:pt>
                <c:pt idx="488">
                  <c:v>6.8</c:v>
                </c:pt>
                <c:pt idx="489">
                  <c:v>5.7</c:v>
                </c:pt>
                <c:pt idx="490">
                  <c:v>5.7</c:v>
                </c:pt>
                <c:pt idx="491">
                  <c:v>6</c:v>
                </c:pt>
                <c:pt idx="492">
                  <c:v>7.2</c:v>
                </c:pt>
                <c:pt idx="493">
                  <c:v>6.6</c:v>
                </c:pt>
                <c:pt idx="494">
                  <c:v>4.0999999999999996</c:v>
                </c:pt>
                <c:pt idx="495">
                  <c:v>4.3</c:v>
                </c:pt>
                <c:pt idx="496">
                  <c:v>6.1</c:v>
                </c:pt>
                <c:pt idx="497">
                  <c:v>7.3</c:v>
                </c:pt>
                <c:pt idx="498">
                  <c:v>3.5</c:v>
                </c:pt>
                <c:pt idx="499">
                  <c:v>6.2</c:v>
                </c:pt>
                <c:pt idx="500">
                  <c:v>6.2</c:v>
                </c:pt>
                <c:pt idx="501">
                  <c:v>8.5</c:v>
                </c:pt>
                <c:pt idx="502">
                  <c:v>6.3</c:v>
                </c:pt>
                <c:pt idx="503">
                  <c:v>7.3</c:v>
                </c:pt>
                <c:pt idx="504">
                  <c:v>7</c:v>
                </c:pt>
                <c:pt idx="505">
                  <c:v>4.2</c:v>
                </c:pt>
                <c:pt idx="506">
                  <c:v>7.7</c:v>
                </c:pt>
                <c:pt idx="507">
                  <c:v>7.1</c:v>
                </c:pt>
                <c:pt idx="508">
                  <c:v>7.4</c:v>
                </c:pt>
                <c:pt idx="509">
                  <c:v>10</c:v>
                </c:pt>
                <c:pt idx="510">
                  <c:v>4.3</c:v>
                </c:pt>
                <c:pt idx="511">
                  <c:v>8.9</c:v>
                </c:pt>
                <c:pt idx="512">
                  <c:v>6.5</c:v>
                </c:pt>
                <c:pt idx="513">
                  <c:v>7.1</c:v>
                </c:pt>
                <c:pt idx="514">
                  <c:v>6.7</c:v>
                </c:pt>
                <c:pt idx="515">
                  <c:v>6.3</c:v>
                </c:pt>
                <c:pt idx="516">
                  <c:v>6.1</c:v>
                </c:pt>
                <c:pt idx="517">
                  <c:v>7.2</c:v>
                </c:pt>
                <c:pt idx="518">
                  <c:v>5</c:v>
                </c:pt>
                <c:pt idx="519">
                  <c:v>7.7</c:v>
                </c:pt>
                <c:pt idx="520">
                  <c:v>6.3</c:v>
                </c:pt>
                <c:pt idx="521">
                  <c:v>5.4</c:v>
                </c:pt>
                <c:pt idx="522">
                  <c:v>6.3</c:v>
                </c:pt>
                <c:pt idx="523">
                  <c:v>8.3000000000000007</c:v>
                </c:pt>
                <c:pt idx="524">
                  <c:v>6.2</c:v>
                </c:pt>
                <c:pt idx="525">
                  <c:v>7.2</c:v>
                </c:pt>
                <c:pt idx="526">
                  <c:v>5.9</c:v>
                </c:pt>
                <c:pt idx="527">
                  <c:v>7.7</c:v>
                </c:pt>
                <c:pt idx="528">
                  <c:v>7.6</c:v>
                </c:pt>
                <c:pt idx="529">
                  <c:v>9</c:v>
                </c:pt>
                <c:pt idx="530">
                  <c:v>6.6</c:v>
                </c:pt>
                <c:pt idx="531">
                  <c:v>7.6</c:v>
                </c:pt>
                <c:pt idx="532">
                  <c:v>6.9</c:v>
                </c:pt>
                <c:pt idx="533">
                  <c:v>8.4</c:v>
                </c:pt>
                <c:pt idx="534">
                  <c:v>5.9</c:v>
                </c:pt>
                <c:pt idx="535">
                  <c:v>7.7</c:v>
                </c:pt>
                <c:pt idx="536">
                  <c:v>6.6</c:v>
                </c:pt>
                <c:pt idx="537">
                  <c:v>6.7</c:v>
                </c:pt>
                <c:pt idx="538">
                  <c:v>6.9</c:v>
                </c:pt>
                <c:pt idx="539">
                  <c:v>7.1</c:v>
                </c:pt>
                <c:pt idx="540">
                  <c:v>6.7</c:v>
                </c:pt>
                <c:pt idx="541">
                  <c:v>7.1</c:v>
                </c:pt>
                <c:pt idx="542">
                  <c:v>8.6999999999999993</c:v>
                </c:pt>
                <c:pt idx="543">
                  <c:v>8</c:v>
                </c:pt>
                <c:pt idx="544">
                  <c:v>7.8</c:v>
                </c:pt>
                <c:pt idx="545">
                  <c:v>6.3</c:v>
                </c:pt>
                <c:pt idx="546">
                  <c:v>5.7</c:v>
                </c:pt>
                <c:pt idx="547">
                  <c:v>7.9</c:v>
                </c:pt>
                <c:pt idx="548">
                  <c:v>7.9</c:v>
                </c:pt>
                <c:pt idx="549">
                  <c:v>8.6</c:v>
                </c:pt>
                <c:pt idx="550">
                  <c:v>6.1</c:v>
                </c:pt>
                <c:pt idx="551">
                  <c:v>6.5</c:v>
                </c:pt>
                <c:pt idx="552">
                  <c:v>4.8</c:v>
                </c:pt>
                <c:pt idx="553">
                  <c:v>6.3</c:v>
                </c:pt>
                <c:pt idx="554">
                  <c:v>8</c:v>
                </c:pt>
                <c:pt idx="555">
                  <c:v>6.2</c:v>
                </c:pt>
                <c:pt idx="556">
                  <c:v>7.6</c:v>
                </c:pt>
                <c:pt idx="557">
                  <c:v>6.6</c:v>
                </c:pt>
                <c:pt idx="558">
                  <c:v>7.2</c:v>
                </c:pt>
                <c:pt idx="559">
                  <c:v>5.4</c:v>
                </c:pt>
                <c:pt idx="560">
                  <c:v>6.9</c:v>
                </c:pt>
                <c:pt idx="561">
                  <c:v>3.2</c:v>
                </c:pt>
                <c:pt idx="562">
                  <c:v>6.6</c:v>
                </c:pt>
                <c:pt idx="563">
                  <c:v>4.8</c:v>
                </c:pt>
                <c:pt idx="564">
                  <c:v>8.1999999999999993</c:v>
                </c:pt>
                <c:pt idx="565">
                  <c:v>7.7</c:v>
                </c:pt>
                <c:pt idx="566">
                  <c:v>7.4</c:v>
                </c:pt>
                <c:pt idx="567">
                  <c:v>8.6</c:v>
                </c:pt>
                <c:pt idx="568">
                  <c:v>5.7</c:v>
                </c:pt>
                <c:pt idx="569">
                  <c:v>8.9</c:v>
                </c:pt>
                <c:pt idx="570">
                  <c:v>7.9</c:v>
                </c:pt>
                <c:pt idx="571">
                  <c:v>6.5</c:v>
                </c:pt>
                <c:pt idx="572">
                  <c:v>8.1999999999999993</c:v>
                </c:pt>
                <c:pt idx="573">
                  <c:v>5.5</c:v>
                </c:pt>
                <c:pt idx="574">
                  <c:v>5.8</c:v>
                </c:pt>
                <c:pt idx="575">
                  <c:v>6.1</c:v>
                </c:pt>
                <c:pt idx="576">
                  <c:v>6.2</c:v>
                </c:pt>
                <c:pt idx="577">
                  <c:v>5.5</c:v>
                </c:pt>
                <c:pt idx="578">
                  <c:v>8.3000000000000007</c:v>
                </c:pt>
                <c:pt idx="579">
                  <c:v>6.5</c:v>
                </c:pt>
                <c:pt idx="580">
                  <c:v>7.2</c:v>
                </c:pt>
                <c:pt idx="581">
                  <c:v>6.1</c:v>
                </c:pt>
                <c:pt idx="582">
                  <c:v>4.5999999999999996</c:v>
                </c:pt>
                <c:pt idx="583">
                  <c:v>7.1</c:v>
                </c:pt>
                <c:pt idx="584">
                  <c:v>4.5</c:v>
                </c:pt>
                <c:pt idx="585">
                  <c:v>6.7</c:v>
                </c:pt>
                <c:pt idx="586">
                  <c:v>5.2</c:v>
                </c:pt>
                <c:pt idx="587">
                  <c:v>9.1999999999999993</c:v>
                </c:pt>
                <c:pt idx="588">
                  <c:v>7.9</c:v>
                </c:pt>
                <c:pt idx="589">
                  <c:v>6.9</c:v>
                </c:pt>
                <c:pt idx="590">
                  <c:v>8.3000000000000007</c:v>
                </c:pt>
                <c:pt idx="591">
                  <c:v>5.8</c:v>
                </c:pt>
                <c:pt idx="592">
                  <c:v>7.5</c:v>
                </c:pt>
                <c:pt idx="593">
                  <c:v>7</c:v>
                </c:pt>
                <c:pt idx="594">
                  <c:v>7.1</c:v>
                </c:pt>
                <c:pt idx="595">
                  <c:v>8.3000000000000007</c:v>
                </c:pt>
                <c:pt idx="596">
                  <c:v>7.7</c:v>
                </c:pt>
                <c:pt idx="597">
                  <c:v>7.1</c:v>
                </c:pt>
                <c:pt idx="598">
                  <c:v>4.8</c:v>
                </c:pt>
                <c:pt idx="599">
                  <c:v>5.6</c:v>
                </c:pt>
                <c:pt idx="600">
                  <c:v>6.7</c:v>
                </c:pt>
                <c:pt idx="601">
                  <c:v>6.9</c:v>
                </c:pt>
                <c:pt idx="602">
                  <c:v>5.4</c:v>
                </c:pt>
                <c:pt idx="603">
                  <c:v>9.6999999999999993</c:v>
                </c:pt>
                <c:pt idx="604">
                  <c:v>8.6</c:v>
                </c:pt>
                <c:pt idx="605">
                  <c:v>7.5</c:v>
                </c:pt>
                <c:pt idx="606">
                  <c:v>6.9</c:v>
                </c:pt>
                <c:pt idx="607">
                  <c:v>6.5</c:v>
                </c:pt>
                <c:pt idx="608">
                  <c:v>5.7</c:v>
                </c:pt>
                <c:pt idx="609">
                  <c:v>6.9</c:v>
                </c:pt>
                <c:pt idx="610">
                  <c:v>7.1</c:v>
                </c:pt>
                <c:pt idx="611">
                  <c:v>5.3</c:v>
                </c:pt>
                <c:pt idx="612">
                  <c:v>7.2</c:v>
                </c:pt>
                <c:pt idx="613">
                  <c:v>6.6</c:v>
                </c:pt>
                <c:pt idx="614">
                  <c:v>4.5</c:v>
                </c:pt>
                <c:pt idx="615">
                  <c:v>5.8</c:v>
                </c:pt>
                <c:pt idx="616">
                  <c:v>6.3</c:v>
                </c:pt>
                <c:pt idx="617">
                  <c:v>9.1</c:v>
                </c:pt>
                <c:pt idx="618">
                  <c:v>7.5</c:v>
                </c:pt>
                <c:pt idx="619">
                  <c:v>5.2</c:v>
                </c:pt>
                <c:pt idx="620">
                  <c:v>7.4</c:v>
                </c:pt>
                <c:pt idx="621">
                  <c:v>4.9000000000000004</c:v>
                </c:pt>
                <c:pt idx="622">
                  <c:v>8.1</c:v>
                </c:pt>
                <c:pt idx="623">
                  <c:v>6.2</c:v>
                </c:pt>
                <c:pt idx="624">
                  <c:v>6.7</c:v>
                </c:pt>
                <c:pt idx="625">
                  <c:v>8.4</c:v>
                </c:pt>
                <c:pt idx="626">
                  <c:v>5.3</c:v>
                </c:pt>
                <c:pt idx="627">
                  <c:v>5.0999999999999996</c:v>
                </c:pt>
                <c:pt idx="628">
                  <c:v>6.1</c:v>
                </c:pt>
                <c:pt idx="629">
                  <c:v>8</c:v>
                </c:pt>
                <c:pt idx="630">
                  <c:v>5</c:v>
                </c:pt>
                <c:pt idx="631">
                  <c:v>3.4</c:v>
                </c:pt>
                <c:pt idx="632">
                  <c:v>6.3</c:v>
                </c:pt>
                <c:pt idx="633">
                  <c:v>7.5</c:v>
                </c:pt>
                <c:pt idx="634">
                  <c:v>8.1999999999999993</c:v>
                </c:pt>
                <c:pt idx="635">
                  <c:v>6.2</c:v>
                </c:pt>
                <c:pt idx="636">
                  <c:v>6.3</c:v>
                </c:pt>
                <c:pt idx="637">
                  <c:v>8.1999999999999993</c:v>
                </c:pt>
                <c:pt idx="638">
                  <c:v>4.5999999999999996</c:v>
                </c:pt>
                <c:pt idx="639">
                  <c:v>6.3</c:v>
                </c:pt>
                <c:pt idx="640">
                  <c:v>7</c:v>
                </c:pt>
                <c:pt idx="641">
                  <c:v>7.3</c:v>
                </c:pt>
                <c:pt idx="642">
                  <c:v>6.2</c:v>
                </c:pt>
                <c:pt idx="643">
                  <c:v>6.8</c:v>
                </c:pt>
                <c:pt idx="644">
                  <c:v>3.8</c:v>
                </c:pt>
                <c:pt idx="645">
                  <c:v>6</c:v>
                </c:pt>
                <c:pt idx="646">
                  <c:v>7.3</c:v>
                </c:pt>
                <c:pt idx="647">
                  <c:v>5.6</c:v>
                </c:pt>
                <c:pt idx="648">
                  <c:v>6.9</c:v>
                </c:pt>
                <c:pt idx="649">
                  <c:v>7.3</c:v>
                </c:pt>
                <c:pt idx="650">
                  <c:v>6.4</c:v>
                </c:pt>
                <c:pt idx="651">
                  <c:v>7</c:v>
                </c:pt>
                <c:pt idx="652">
                  <c:v>5.6</c:v>
                </c:pt>
                <c:pt idx="653">
                  <c:v>6.6</c:v>
                </c:pt>
                <c:pt idx="654">
                  <c:v>7.5</c:v>
                </c:pt>
                <c:pt idx="655">
                  <c:v>7</c:v>
                </c:pt>
                <c:pt idx="656">
                  <c:v>6.1</c:v>
                </c:pt>
                <c:pt idx="657">
                  <c:v>7.1</c:v>
                </c:pt>
                <c:pt idx="658">
                  <c:v>7.7</c:v>
                </c:pt>
                <c:pt idx="659">
                  <c:v>4.3</c:v>
                </c:pt>
                <c:pt idx="660">
                  <c:v>8.1999999999999993</c:v>
                </c:pt>
                <c:pt idx="661">
                  <c:v>6.4</c:v>
                </c:pt>
                <c:pt idx="662">
                  <c:v>7.3</c:v>
                </c:pt>
                <c:pt idx="663">
                  <c:v>8.1999999999999993</c:v>
                </c:pt>
                <c:pt idx="664">
                  <c:v>5.2</c:v>
                </c:pt>
                <c:pt idx="665">
                  <c:v>5.9</c:v>
                </c:pt>
                <c:pt idx="666">
                  <c:v>6.5</c:v>
                </c:pt>
                <c:pt idx="667">
                  <c:v>5.9</c:v>
                </c:pt>
                <c:pt idx="668">
                  <c:v>8.9</c:v>
                </c:pt>
                <c:pt idx="669">
                  <c:v>5.8</c:v>
                </c:pt>
                <c:pt idx="670">
                  <c:v>6.1</c:v>
                </c:pt>
                <c:pt idx="671">
                  <c:v>7</c:v>
                </c:pt>
                <c:pt idx="672">
                  <c:v>5.4</c:v>
                </c:pt>
                <c:pt idx="673">
                  <c:v>6.3</c:v>
                </c:pt>
                <c:pt idx="674">
                  <c:v>7.2</c:v>
                </c:pt>
                <c:pt idx="675">
                  <c:v>6.4</c:v>
                </c:pt>
                <c:pt idx="676">
                  <c:v>6.7</c:v>
                </c:pt>
                <c:pt idx="677">
                  <c:v>6.2</c:v>
                </c:pt>
                <c:pt idx="678">
                  <c:v>5</c:v>
                </c:pt>
                <c:pt idx="679">
                  <c:v>7.2</c:v>
                </c:pt>
                <c:pt idx="680">
                  <c:v>8.9</c:v>
                </c:pt>
                <c:pt idx="681">
                  <c:v>6.8</c:v>
                </c:pt>
                <c:pt idx="682">
                  <c:v>7.1</c:v>
                </c:pt>
                <c:pt idx="683">
                  <c:v>7.6</c:v>
                </c:pt>
                <c:pt idx="684">
                  <c:v>5.3</c:v>
                </c:pt>
                <c:pt idx="685">
                  <c:v>8.8000000000000007</c:v>
                </c:pt>
                <c:pt idx="686">
                  <c:v>7</c:v>
                </c:pt>
                <c:pt idx="687">
                  <c:v>8.8000000000000007</c:v>
                </c:pt>
                <c:pt idx="688">
                  <c:v>5.9</c:v>
                </c:pt>
                <c:pt idx="689">
                  <c:v>9</c:v>
                </c:pt>
                <c:pt idx="690">
                  <c:v>7.7</c:v>
                </c:pt>
                <c:pt idx="691">
                  <c:v>7.5</c:v>
                </c:pt>
                <c:pt idx="692">
                  <c:v>7.1</c:v>
                </c:pt>
                <c:pt idx="693">
                  <c:v>6.5</c:v>
                </c:pt>
                <c:pt idx="694">
                  <c:v>8.1999999999999993</c:v>
                </c:pt>
                <c:pt idx="695">
                  <c:v>7</c:v>
                </c:pt>
                <c:pt idx="696">
                  <c:v>4.4000000000000004</c:v>
                </c:pt>
                <c:pt idx="697">
                  <c:v>5.5</c:v>
                </c:pt>
                <c:pt idx="698">
                  <c:v>6.6</c:v>
                </c:pt>
                <c:pt idx="699">
                  <c:v>7.2</c:v>
                </c:pt>
                <c:pt idx="700">
                  <c:v>6.7</c:v>
                </c:pt>
                <c:pt idx="701">
                  <c:v>8.3000000000000007</c:v>
                </c:pt>
                <c:pt idx="702">
                  <c:v>4.5</c:v>
                </c:pt>
                <c:pt idx="703">
                  <c:v>7</c:v>
                </c:pt>
                <c:pt idx="704">
                  <c:v>4.5999999999999996</c:v>
                </c:pt>
                <c:pt idx="705">
                  <c:v>7.7</c:v>
                </c:pt>
                <c:pt idx="706">
                  <c:v>6.7</c:v>
                </c:pt>
                <c:pt idx="707">
                  <c:v>7.3</c:v>
                </c:pt>
                <c:pt idx="708">
                  <c:v>5.8</c:v>
                </c:pt>
                <c:pt idx="709">
                  <c:v>8.3000000000000007</c:v>
                </c:pt>
                <c:pt idx="710">
                  <c:v>8.1</c:v>
                </c:pt>
                <c:pt idx="711">
                  <c:v>7.5</c:v>
                </c:pt>
                <c:pt idx="712">
                  <c:v>6.6</c:v>
                </c:pt>
                <c:pt idx="713">
                  <c:v>7.5</c:v>
                </c:pt>
                <c:pt idx="714">
                  <c:v>6</c:v>
                </c:pt>
                <c:pt idx="715">
                  <c:v>7.8</c:v>
                </c:pt>
                <c:pt idx="716">
                  <c:v>8.8000000000000007</c:v>
                </c:pt>
                <c:pt idx="717">
                  <c:v>8.1</c:v>
                </c:pt>
                <c:pt idx="718">
                  <c:v>5.9</c:v>
                </c:pt>
                <c:pt idx="719">
                  <c:v>7.2</c:v>
                </c:pt>
                <c:pt idx="720">
                  <c:v>5.2</c:v>
                </c:pt>
                <c:pt idx="721">
                  <c:v>7.5</c:v>
                </c:pt>
                <c:pt idx="722">
                  <c:v>7.3</c:v>
                </c:pt>
                <c:pt idx="723">
                  <c:v>4.5999999999999996</c:v>
                </c:pt>
                <c:pt idx="724">
                  <c:v>5.4</c:v>
                </c:pt>
                <c:pt idx="725">
                  <c:v>6.5</c:v>
                </c:pt>
                <c:pt idx="726">
                  <c:v>6.4</c:v>
                </c:pt>
                <c:pt idx="727">
                  <c:v>5.3</c:v>
                </c:pt>
                <c:pt idx="728">
                  <c:v>7.3</c:v>
                </c:pt>
                <c:pt idx="729">
                  <c:v>7.1</c:v>
                </c:pt>
                <c:pt idx="730">
                  <c:v>6.6</c:v>
                </c:pt>
                <c:pt idx="731">
                  <c:v>5.9</c:v>
                </c:pt>
                <c:pt idx="732">
                  <c:v>8.1</c:v>
                </c:pt>
                <c:pt idx="733">
                  <c:v>8.8000000000000007</c:v>
                </c:pt>
                <c:pt idx="734">
                  <c:v>6.2</c:v>
                </c:pt>
                <c:pt idx="735">
                  <c:v>6.1</c:v>
                </c:pt>
                <c:pt idx="736">
                  <c:v>7.4</c:v>
                </c:pt>
                <c:pt idx="737">
                  <c:v>6.4</c:v>
                </c:pt>
                <c:pt idx="738">
                  <c:v>6.6</c:v>
                </c:pt>
                <c:pt idx="739">
                  <c:v>7.7</c:v>
                </c:pt>
                <c:pt idx="740">
                  <c:v>4.5</c:v>
                </c:pt>
                <c:pt idx="741">
                  <c:v>8.4</c:v>
                </c:pt>
                <c:pt idx="742">
                  <c:v>6.9</c:v>
                </c:pt>
                <c:pt idx="743">
                  <c:v>6.3</c:v>
                </c:pt>
                <c:pt idx="744">
                  <c:v>6.7</c:v>
                </c:pt>
                <c:pt idx="745">
                  <c:v>6.8</c:v>
                </c:pt>
                <c:pt idx="746">
                  <c:v>4.7</c:v>
                </c:pt>
                <c:pt idx="747">
                  <c:v>8.6</c:v>
                </c:pt>
                <c:pt idx="748">
                  <c:v>6.8</c:v>
                </c:pt>
                <c:pt idx="749">
                  <c:v>7.3</c:v>
                </c:pt>
                <c:pt idx="750">
                  <c:v>7.9</c:v>
                </c:pt>
                <c:pt idx="751">
                  <c:v>5.6</c:v>
                </c:pt>
                <c:pt idx="752">
                  <c:v>7.4</c:v>
                </c:pt>
                <c:pt idx="753">
                  <c:v>6.5</c:v>
                </c:pt>
                <c:pt idx="754">
                  <c:v>7.8</c:v>
                </c:pt>
                <c:pt idx="755">
                  <c:v>4.2</c:v>
                </c:pt>
                <c:pt idx="756">
                  <c:v>6.7</c:v>
                </c:pt>
                <c:pt idx="757">
                  <c:v>6.1</c:v>
                </c:pt>
                <c:pt idx="758">
                  <c:v>7.3</c:v>
                </c:pt>
                <c:pt idx="759">
                  <c:v>7.4</c:v>
                </c:pt>
                <c:pt idx="760">
                  <c:v>6</c:v>
                </c:pt>
                <c:pt idx="761">
                  <c:v>5.9</c:v>
                </c:pt>
                <c:pt idx="762">
                  <c:v>6.7</c:v>
                </c:pt>
                <c:pt idx="763">
                  <c:v>5.7</c:v>
                </c:pt>
                <c:pt idx="764">
                  <c:v>7.8</c:v>
                </c:pt>
                <c:pt idx="765">
                  <c:v>6.4</c:v>
                </c:pt>
                <c:pt idx="766">
                  <c:v>3.3</c:v>
                </c:pt>
                <c:pt idx="767">
                  <c:v>6.4</c:v>
                </c:pt>
                <c:pt idx="768">
                  <c:v>5.6</c:v>
                </c:pt>
                <c:pt idx="769">
                  <c:v>4.8</c:v>
                </c:pt>
                <c:pt idx="770">
                  <c:v>5.3</c:v>
                </c:pt>
                <c:pt idx="771">
                  <c:v>6.9</c:v>
                </c:pt>
                <c:pt idx="772">
                  <c:v>8.4</c:v>
                </c:pt>
                <c:pt idx="773">
                  <c:v>7.2</c:v>
                </c:pt>
                <c:pt idx="774">
                  <c:v>6.1</c:v>
                </c:pt>
                <c:pt idx="775">
                  <c:v>7.3</c:v>
                </c:pt>
                <c:pt idx="776">
                  <c:v>6.2</c:v>
                </c:pt>
                <c:pt idx="777">
                  <c:v>6</c:v>
                </c:pt>
                <c:pt idx="778">
                  <c:v>5.4</c:v>
                </c:pt>
                <c:pt idx="779">
                  <c:v>4.7</c:v>
                </c:pt>
                <c:pt idx="780">
                  <c:v>6.3</c:v>
                </c:pt>
                <c:pt idx="781">
                  <c:v>7</c:v>
                </c:pt>
                <c:pt idx="782">
                  <c:v>6.7</c:v>
                </c:pt>
                <c:pt idx="783">
                  <c:v>6.3</c:v>
                </c:pt>
                <c:pt idx="784">
                  <c:v>5.7</c:v>
                </c:pt>
                <c:pt idx="785">
                  <c:v>7.5</c:v>
                </c:pt>
                <c:pt idx="786">
                  <c:v>5.2</c:v>
                </c:pt>
                <c:pt idx="787">
                  <c:v>7.7</c:v>
                </c:pt>
                <c:pt idx="788">
                  <c:v>5.6</c:v>
                </c:pt>
                <c:pt idx="789">
                  <c:v>5.9</c:v>
                </c:pt>
                <c:pt idx="790">
                  <c:v>5</c:v>
                </c:pt>
                <c:pt idx="791">
                  <c:v>6.2</c:v>
                </c:pt>
                <c:pt idx="792">
                  <c:v>8</c:v>
                </c:pt>
                <c:pt idx="793">
                  <c:v>7.4</c:v>
                </c:pt>
                <c:pt idx="794">
                  <c:v>8</c:v>
                </c:pt>
                <c:pt idx="795">
                  <c:v>7.4</c:v>
                </c:pt>
                <c:pt idx="796">
                  <c:v>5.5</c:v>
                </c:pt>
                <c:pt idx="797">
                  <c:v>6.4</c:v>
                </c:pt>
                <c:pt idx="798">
                  <c:v>5.9</c:v>
                </c:pt>
                <c:pt idx="799">
                  <c:v>8.4</c:v>
                </c:pt>
                <c:pt idx="800">
                  <c:v>5.4</c:v>
                </c:pt>
                <c:pt idx="801">
                  <c:v>7.9</c:v>
                </c:pt>
                <c:pt idx="802">
                  <c:v>7.9</c:v>
                </c:pt>
                <c:pt idx="803">
                  <c:v>9</c:v>
                </c:pt>
                <c:pt idx="804">
                  <c:v>6.3</c:v>
                </c:pt>
                <c:pt idx="805">
                  <c:v>7.7</c:v>
                </c:pt>
                <c:pt idx="806">
                  <c:v>9.5</c:v>
                </c:pt>
                <c:pt idx="807">
                  <c:v>6.1</c:v>
                </c:pt>
                <c:pt idx="808">
                  <c:v>5</c:v>
                </c:pt>
                <c:pt idx="809">
                  <c:v>4.5</c:v>
                </c:pt>
                <c:pt idx="810">
                  <c:v>7.7</c:v>
                </c:pt>
                <c:pt idx="811">
                  <c:v>4.5</c:v>
                </c:pt>
                <c:pt idx="812">
                  <c:v>6.4</c:v>
                </c:pt>
                <c:pt idx="813">
                  <c:v>7.3</c:v>
                </c:pt>
                <c:pt idx="814">
                  <c:v>7</c:v>
                </c:pt>
                <c:pt idx="815">
                  <c:v>7.3</c:v>
                </c:pt>
                <c:pt idx="816">
                  <c:v>7.1</c:v>
                </c:pt>
                <c:pt idx="817">
                  <c:v>8.3000000000000007</c:v>
                </c:pt>
                <c:pt idx="818">
                  <c:v>5.7</c:v>
                </c:pt>
                <c:pt idx="819">
                  <c:v>6</c:v>
                </c:pt>
                <c:pt idx="820">
                  <c:v>5.9</c:v>
                </c:pt>
                <c:pt idx="821">
                  <c:v>7.8</c:v>
                </c:pt>
                <c:pt idx="822">
                  <c:v>7.9</c:v>
                </c:pt>
                <c:pt idx="823">
                  <c:v>7.3</c:v>
                </c:pt>
                <c:pt idx="824">
                  <c:v>8.1999999999999993</c:v>
                </c:pt>
                <c:pt idx="825">
                  <c:v>5.4</c:v>
                </c:pt>
                <c:pt idx="826">
                  <c:v>8.8000000000000007</c:v>
                </c:pt>
                <c:pt idx="827">
                  <c:v>8.6</c:v>
                </c:pt>
                <c:pt idx="828">
                  <c:v>7.7</c:v>
                </c:pt>
                <c:pt idx="829">
                  <c:v>8.9</c:v>
                </c:pt>
                <c:pt idx="830">
                  <c:v>4.8</c:v>
                </c:pt>
                <c:pt idx="831">
                  <c:v>6.2</c:v>
                </c:pt>
                <c:pt idx="832">
                  <c:v>5.9</c:v>
                </c:pt>
                <c:pt idx="833">
                  <c:v>7.7</c:v>
                </c:pt>
                <c:pt idx="834">
                  <c:v>5.5</c:v>
                </c:pt>
                <c:pt idx="835">
                  <c:v>7.7</c:v>
                </c:pt>
                <c:pt idx="836">
                  <c:v>8.4</c:v>
                </c:pt>
                <c:pt idx="837">
                  <c:v>7.6</c:v>
                </c:pt>
                <c:pt idx="838">
                  <c:v>7.1</c:v>
                </c:pt>
                <c:pt idx="839">
                  <c:v>5.6</c:v>
                </c:pt>
                <c:pt idx="840">
                  <c:v>5.8</c:v>
                </c:pt>
                <c:pt idx="841">
                  <c:v>8.3000000000000007</c:v>
                </c:pt>
                <c:pt idx="842">
                  <c:v>7.7</c:v>
                </c:pt>
                <c:pt idx="843">
                  <c:v>6.8</c:v>
                </c:pt>
                <c:pt idx="844">
                  <c:v>6.3</c:v>
                </c:pt>
                <c:pt idx="845">
                  <c:v>4.4000000000000004</c:v>
                </c:pt>
                <c:pt idx="846">
                  <c:v>5.5</c:v>
                </c:pt>
                <c:pt idx="847">
                  <c:v>9.1</c:v>
                </c:pt>
                <c:pt idx="848">
                  <c:v>5.3</c:v>
                </c:pt>
                <c:pt idx="849">
                  <c:v>7</c:v>
                </c:pt>
                <c:pt idx="850">
                  <c:v>8</c:v>
                </c:pt>
                <c:pt idx="851">
                  <c:v>5.3</c:v>
                </c:pt>
                <c:pt idx="852">
                  <c:v>7</c:v>
                </c:pt>
                <c:pt idx="853">
                  <c:v>7.9</c:v>
                </c:pt>
                <c:pt idx="854">
                  <c:v>6.8</c:v>
                </c:pt>
                <c:pt idx="855">
                  <c:v>10</c:v>
                </c:pt>
                <c:pt idx="856">
                  <c:v>4.8</c:v>
                </c:pt>
                <c:pt idx="857">
                  <c:v>8.1</c:v>
                </c:pt>
                <c:pt idx="858">
                  <c:v>6.6</c:v>
                </c:pt>
                <c:pt idx="859">
                  <c:v>7.7</c:v>
                </c:pt>
                <c:pt idx="860">
                  <c:v>7.3</c:v>
                </c:pt>
                <c:pt idx="861">
                  <c:v>5.9</c:v>
                </c:pt>
                <c:pt idx="862">
                  <c:v>7.1</c:v>
                </c:pt>
                <c:pt idx="863">
                  <c:v>4.5999999999999996</c:v>
                </c:pt>
                <c:pt idx="864">
                  <c:v>7.5</c:v>
                </c:pt>
                <c:pt idx="865">
                  <c:v>7.2</c:v>
                </c:pt>
                <c:pt idx="866">
                  <c:v>7.6</c:v>
                </c:pt>
                <c:pt idx="867">
                  <c:v>8.1</c:v>
                </c:pt>
                <c:pt idx="868">
                  <c:v>7.2</c:v>
                </c:pt>
                <c:pt idx="869">
                  <c:v>7</c:v>
                </c:pt>
                <c:pt idx="870">
                  <c:v>5.7</c:v>
                </c:pt>
                <c:pt idx="871">
                  <c:v>5.9</c:v>
                </c:pt>
                <c:pt idx="872">
                  <c:v>8.1999999999999993</c:v>
                </c:pt>
                <c:pt idx="873">
                  <c:v>8.5</c:v>
                </c:pt>
                <c:pt idx="874">
                  <c:v>6.5</c:v>
                </c:pt>
                <c:pt idx="875">
                  <c:v>6.9</c:v>
                </c:pt>
                <c:pt idx="876">
                  <c:v>5.7</c:v>
                </c:pt>
                <c:pt idx="877">
                  <c:v>8.1999999999999993</c:v>
                </c:pt>
                <c:pt idx="878">
                  <c:v>7.6</c:v>
                </c:pt>
                <c:pt idx="879">
                  <c:v>9.1</c:v>
                </c:pt>
                <c:pt idx="880">
                  <c:v>5.7</c:v>
                </c:pt>
                <c:pt idx="881">
                  <c:v>6.3</c:v>
                </c:pt>
                <c:pt idx="882">
                  <c:v>7.1</c:v>
                </c:pt>
                <c:pt idx="883">
                  <c:v>7.6</c:v>
                </c:pt>
                <c:pt idx="884">
                  <c:v>6.5</c:v>
                </c:pt>
                <c:pt idx="885">
                  <c:v>5.8</c:v>
                </c:pt>
                <c:pt idx="886">
                  <c:v>7.9</c:v>
                </c:pt>
                <c:pt idx="887">
                  <c:v>7.7</c:v>
                </c:pt>
                <c:pt idx="888">
                  <c:v>5.7</c:v>
                </c:pt>
                <c:pt idx="889">
                  <c:v>8.4</c:v>
                </c:pt>
                <c:pt idx="890">
                  <c:v>8.1999999999999993</c:v>
                </c:pt>
                <c:pt idx="891">
                  <c:v>7</c:v>
                </c:pt>
                <c:pt idx="892">
                  <c:v>6.9</c:v>
                </c:pt>
                <c:pt idx="893">
                  <c:v>7.5</c:v>
                </c:pt>
                <c:pt idx="894">
                  <c:v>5.8</c:v>
                </c:pt>
                <c:pt idx="895">
                  <c:v>6.8</c:v>
                </c:pt>
                <c:pt idx="896">
                  <c:v>4.2</c:v>
                </c:pt>
                <c:pt idx="897">
                  <c:v>7.9</c:v>
                </c:pt>
                <c:pt idx="898">
                  <c:v>4.9000000000000004</c:v>
                </c:pt>
                <c:pt idx="899">
                  <c:v>8.6</c:v>
                </c:pt>
                <c:pt idx="900">
                  <c:v>6.4</c:v>
                </c:pt>
                <c:pt idx="901">
                  <c:v>6.5</c:v>
                </c:pt>
                <c:pt idx="902">
                  <c:v>6</c:v>
                </c:pt>
                <c:pt idx="903">
                  <c:v>6.5</c:v>
                </c:pt>
                <c:pt idx="904">
                  <c:v>8.5</c:v>
                </c:pt>
                <c:pt idx="905">
                  <c:v>3.8</c:v>
                </c:pt>
                <c:pt idx="906">
                  <c:v>8.3000000000000007</c:v>
                </c:pt>
                <c:pt idx="907">
                  <c:v>7.2</c:v>
                </c:pt>
                <c:pt idx="908">
                  <c:v>5.4</c:v>
                </c:pt>
                <c:pt idx="909">
                  <c:v>5.5</c:v>
                </c:pt>
                <c:pt idx="910">
                  <c:v>8.8000000000000007</c:v>
                </c:pt>
                <c:pt idx="911">
                  <c:v>5.7</c:v>
                </c:pt>
                <c:pt idx="912">
                  <c:v>5.4</c:v>
                </c:pt>
                <c:pt idx="913">
                  <c:v>8.1999999999999993</c:v>
                </c:pt>
                <c:pt idx="914">
                  <c:v>7.2</c:v>
                </c:pt>
                <c:pt idx="915">
                  <c:v>5.7</c:v>
                </c:pt>
                <c:pt idx="916">
                  <c:v>7.1</c:v>
                </c:pt>
                <c:pt idx="917">
                  <c:v>5.6</c:v>
                </c:pt>
                <c:pt idx="918">
                  <c:v>8.1</c:v>
                </c:pt>
                <c:pt idx="919">
                  <c:v>8.1</c:v>
                </c:pt>
                <c:pt idx="920">
                  <c:v>7.4</c:v>
                </c:pt>
                <c:pt idx="921">
                  <c:v>7.2</c:v>
                </c:pt>
                <c:pt idx="922">
                  <c:v>8.9</c:v>
                </c:pt>
                <c:pt idx="923">
                  <c:v>6.8</c:v>
                </c:pt>
                <c:pt idx="924">
                  <c:v>5.4</c:v>
                </c:pt>
                <c:pt idx="925">
                  <c:v>7.3</c:v>
                </c:pt>
                <c:pt idx="926">
                  <c:v>9.3000000000000007</c:v>
                </c:pt>
                <c:pt idx="927">
                  <c:v>5.6</c:v>
                </c:pt>
                <c:pt idx="928">
                  <c:v>6.4</c:v>
                </c:pt>
                <c:pt idx="929">
                  <c:v>7.3</c:v>
                </c:pt>
                <c:pt idx="930">
                  <c:v>6.7</c:v>
                </c:pt>
                <c:pt idx="931">
                  <c:v>5.6</c:v>
                </c:pt>
                <c:pt idx="932">
                  <c:v>8.1</c:v>
                </c:pt>
                <c:pt idx="933">
                  <c:v>9.6</c:v>
                </c:pt>
                <c:pt idx="934">
                  <c:v>7</c:v>
                </c:pt>
                <c:pt idx="935">
                  <c:v>5.7</c:v>
                </c:pt>
                <c:pt idx="936">
                  <c:v>4.9000000000000004</c:v>
                </c:pt>
                <c:pt idx="937">
                  <c:v>7.1</c:v>
                </c:pt>
                <c:pt idx="938">
                  <c:v>8.1</c:v>
                </c:pt>
                <c:pt idx="939">
                  <c:v>7.4</c:v>
                </c:pt>
                <c:pt idx="940">
                  <c:v>6.8</c:v>
                </c:pt>
                <c:pt idx="941">
                  <c:v>6.1</c:v>
                </c:pt>
                <c:pt idx="942">
                  <c:v>5.5</c:v>
                </c:pt>
                <c:pt idx="943">
                  <c:v>7.8</c:v>
                </c:pt>
                <c:pt idx="944">
                  <c:v>7.9</c:v>
                </c:pt>
                <c:pt idx="945">
                  <c:v>4.9000000000000004</c:v>
                </c:pt>
                <c:pt idx="946">
                  <c:v>8.6999999999999993</c:v>
                </c:pt>
                <c:pt idx="947">
                  <c:v>7.5</c:v>
                </c:pt>
                <c:pt idx="948">
                  <c:v>8.5</c:v>
                </c:pt>
                <c:pt idx="949">
                  <c:v>5.2</c:v>
                </c:pt>
                <c:pt idx="950">
                  <c:v>5.2</c:v>
                </c:pt>
                <c:pt idx="951">
                  <c:v>6.6</c:v>
                </c:pt>
                <c:pt idx="952">
                  <c:v>7.4</c:v>
                </c:pt>
                <c:pt idx="953">
                  <c:v>9</c:v>
                </c:pt>
                <c:pt idx="954">
                  <c:v>7.6</c:v>
                </c:pt>
                <c:pt idx="955">
                  <c:v>6.5</c:v>
                </c:pt>
                <c:pt idx="956">
                  <c:v>5.6</c:v>
                </c:pt>
                <c:pt idx="957">
                  <c:v>8.3000000000000007</c:v>
                </c:pt>
                <c:pt idx="958">
                  <c:v>5.6</c:v>
                </c:pt>
                <c:pt idx="959">
                  <c:v>8.8000000000000007</c:v>
                </c:pt>
                <c:pt idx="960">
                  <c:v>6.5</c:v>
                </c:pt>
                <c:pt idx="961">
                  <c:v>8.6999999999999993</c:v>
                </c:pt>
                <c:pt idx="962">
                  <c:v>7.6</c:v>
                </c:pt>
                <c:pt idx="963">
                  <c:v>6.6</c:v>
                </c:pt>
                <c:pt idx="964">
                  <c:v>6.2</c:v>
                </c:pt>
                <c:pt idx="965">
                  <c:v>6.4</c:v>
                </c:pt>
                <c:pt idx="966">
                  <c:v>7.3</c:v>
                </c:pt>
                <c:pt idx="967">
                  <c:v>6.9</c:v>
                </c:pt>
                <c:pt idx="968">
                  <c:v>6.1</c:v>
                </c:pt>
                <c:pt idx="969">
                  <c:v>6.6</c:v>
                </c:pt>
                <c:pt idx="970">
                  <c:v>6.9</c:v>
                </c:pt>
                <c:pt idx="971">
                  <c:v>4.2</c:v>
                </c:pt>
                <c:pt idx="972">
                  <c:v>7.3</c:v>
                </c:pt>
                <c:pt idx="973">
                  <c:v>5.6</c:v>
                </c:pt>
                <c:pt idx="974">
                  <c:v>5.4</c:v>
                </c:pt>
                <c:pt idx="975">
                  <c:v>4.8</c:v>
                </c:pt>
                <c:pt idx="976">
                  <c:v>4.5999999999999996</c:v>
                </c:pt>
                <c:pt idx="977">
                  <c:v>5.2</c:v>
                </c:pt>
                <c:pt idx="978">
                  <c:v>5.9</c:v>
                </c:pt>
                <c:pt idx="979">
                  <c:v>9.1</c:v>
                </c:pt>
                <c:pt idx="980">
                  <c:v>6.2</c:v>
                </c:pt>
                <c:pt idx="981">
                  <c:v>7</c:v>
                </c:pt>
                <c:pt idx="982">
                  <c:v>7.3</c:v>
                </c:pt>
                <c:pt idx="983">
                  <c:v>7</c:v>
                </c:pt>
                <c:pt idx="984">
                  <c:v>6.7</c:v>
                </c:pt>
                <c:pt idx="985">
                  <c:v>5.4</c:v>
                </c:pt>
                <c:pt idx="986">
                  <c:v>8.5</c:v>
                </c:pt>
                <c:pt idx="987">
                  <c:v>9</c:v>
                </c:pt>
                <c:pt idx="988">
                  <c:v>4.8</c:v>
                </c:pt>
                <c:pt idx="989">
                  <c:v>5.6</c:v>
                </c:pt>
                <c:pt idx="990">
                  <c:v>6.5</c:v>
                </c:pt>
                <c:pt idx="991">
                  <c:v>5.6</c:v>
                </c:pt>
                <c:pt idx="992">
                  <c:v>7.4</c:v>
                </c:pt>
                <c:pt idx="993">
                  <c:v>5.9</c:v>
                </c:pt>
                <c:pt idx="994">
                  <c:v>9.4</c:v>
                </c:pt>
                <c:pt idx="995">
                  <c:v>8.1999999999999993</c:v>
                </c:pt>
                <c:pt idx="996">
                  <c:v>7.1</c:v>
                </c:pt>
                <c:pt idx="997">
                  <c:v>8</c:v>
                </c:pt>
                <c:pt idx="998">
                  <c:v>8.1</c:v>
                </c:pt>
                <c:pt idx="999">
                  <c:v>6.1</c:v>
                </c:pt>
              </c:numCache>
            </c:numRef>
          </c:xVal>
          <c:yVal>
            <c:numRef>
              <c:f>'03_Clean_Data_Analysis'!$K$2:$K$1001</c:f>
              <c:numCache>
                <c:formatCode>General</c:formatCode>
                <c:ptCount val="1000"/>
                <c:pt idx="0">
                  <c:v>100</c:v>
                </c:pt>
                <c:pt idx="1">
                  <c:v>100</c:v>
                </c:pt>
                <c:pt idx="2">
                  <c:v>97.3</c:v>
                </c:pt>
                <c:pt idx="3">
                  <c:v>83.8</c:v>
                </c:pt>
                <c:pt idx="4">
                  <c:v>68.3</c:v>
                </c:pt>
                <c:pt idx="5">
                  <c:v>81.599999999999994</c:v>
                </c:pt>
                <c:pt idx="6">
                  <c:v>69.599999999999994</c:v>
                </c:pt>
                <c:pt idx="7">
                  <c:v>88</c:v>
                </c:pt>
                <c:pt idx="8">
                  <c:v>84.4</c:v>
                </c:pt>
                <c:pt idx="9">
                  <c:v>74.3</c:v>
                </c:pt>
                <c:pt idx="10">
                  <c:v>68.900000000000006</c:v>
                </c:pt>
                <c:pt idx="11">
                  <c:v>76.7</c:v>
                </c:pt>
                <c:pt idx="12">
                  <c:v>82.6</c:v>
                </c:pt>
                <c:pt idx="13">
                  <c:v>93.3</c:v>
                </c:pt>
                <c:pt idx="14">
                  <c:v>73.900000000000006</c:v>
                </c:pt>
                <c:pt idx="15">
                  <c:v>84.8</c:v>
                </c:pt>
                <c:pt idx="16">
                  <c:v>81.5</c:v>
                </c:pt>
                <c:pt idx="17">
                  <c:v>75.5</c:v>
                </c:pt>
                <c:pt idx="18">
                  <c:v>89.7</c:v>
                </c:pt>
                <c:pt idx="19">
                  <c:v>92.8</c:v>
                </c:pt>
                <c:pt idx="20">
                  <c:v>73.5</c:v>
                </c:pt>
                <c:pt idx="21">
                  <c:v>100</c:v>
                </c:pt>
                <c:pt idx="22">
                  <c:v>73.400000000000006</c:v>
                </c:pt>
                <c:pt idx="23">
                  <c:v>71.2</c:v>
                </c:pt>
                <c:pt idx="24">
                  <c:v>97.2</c:v>
                </c:pt>
                <c:pt idx="25">
                  <c:v>76</c:v>
                </c:pt>
                <c:pt idx="26">
                  <c:v>78.7</c:v>
                </c:pt>
                <c:pt idx="27">
                  <c:v>97.4</c:v>
                </c:pt>
                <c:pt idx="28">
                  <c:v>84.2</c:v>
                </c:pt>
                <c:pt idx="29">
                  <c:v>89.8</c:v>
                </c:pt>
                <c:pt idx="30">
                  <c:v>82.4</c:v>
                </c:pt>
                <c:pt idx="31">
                  <c:v>87.7</c:v>
                </c:pt>
                <c:pt idx="32">
                  <c:v>100</c:v>
                </c:pt>
                <c:pt idx="33">
                  <c:v>93.3</c:v>
                </c:pt>
                <c:pt idx="34">
                  <c:v>100</c:v>
                </c:pt>
                <c:pt idx="35">
                  <c:v>92.9</c:v>
                </c:pt>
                <c:pt idx="36">
                  <c:v>83.2</c:v>
                </c:pt>
                <c:pt idx="37">
                  <c:v>81.099999999999994</c:v>
                </c:pt>
                <c:pt idx="38">
                  <c:v>89.5</c:v>
                </c:pt>
                <c:pt idx="39">
                  <c:v>91.6</c:v>
                </c:pt>
                <c:pt idx="40">
                  <c:v>75.3</c:v>
                </c:pt>
                <c:pt idx="41">
                  <c:v>79</c:v>
                </c:pt>
                <c:pt idx="42">
                  <c:v>100</c:v>
                </c:pt>
                <c:pt idx="43">
                  <c:v>79.2</c:v>
                </c:pt>
                <c:pt idx="44">
                  <c:v>70.8</c:v>
                </c:pt>
                <c:pt idx="45">
                  <c:v>61.8</c:v>
                </c:pt>
                <c:pt idx="46">
                  <c:v>68</c:v>
                </c:pt>
                <c:pt idx="47">
                  <c:v>80.3</c:v>
                </c:pt>
                <c:pt idx="48">
                  <c:v>88.6</c:v>
                </c:pt>
                <c:pt idx="49">
                  <c:v>69.400000000000006</c:v>
                </c:pt>
                <c:pt idx="50">
                  <c:v>100</c:v>
                </c:pt>
                <c:pt idx="51">
                  <c:v>81.8</c:v>
                </c:pt>
                <c:pt idx="52">
                  <c:v>72.599999999999994</c:v>
                </c:pt>
                <c:pt idx="53">
                  <c:v>85.3</c:v>
                </c:pt>
                <c:pt idx="54">
                  <c:v>99.8</c:v>
                </c:pt>
                <c:pt idx="55">
                  <c:v>84.3</c:v>
                </c:pt>
                <c:pt idx="56">
                  <c:v>71.5</c:v>
                </c:pt>
                <c:pt idx="57">
                  <c:v>84.3</c:v>
                </c:pt>
                <c:pt idx="58">
                  <c:v>74.5</c:v>
                </c:pt>
                <c:pt idx="59">
                  <c:v>89.5</c:v>
                </c:pt>
                <c:pt idx="60">
                  <c:v>80.400000000000006</c:v>
                </c:pt>
                <c:pt idx="61">
                  <c:v>71.099999999999994</c:v>
                </c:pt>
                <c:pt idx="62">
                  <c:v>87.8</c:v>
                </c:pt>
                <c:pt idx="63">
                  <c:v>73</c:v>
                </c:pt>
                <c:pt idx="64">
                  <c:v>80.8</c:v>
                </c:pt>
                <c:pt idx="65">
                  <c:v>97.4</c:v>
                </c:pt>
                <c:pt idx="66">
                  <c:v>67.8</c:v>
                </c:pt>
                <c:pt idx="67">
                  <c:v>79.2</c:v>
                </c:pt>
                <c:pt idx="68">
                  <c:v>73.5</c:v>
                </c:pt>
                <c:pt idx="69">
                  <c:v>85.1</c:v>
                </c:pt>
                <c:pt idx="70">
                  <c:v>79.599999999999994</c:v>
                </c:pt>
                <c:pt idx="71">
                  <c:v>77.400000000000006</c:v>
                </c:pt>
                <c:pt idx="72">
                  <c:v>94.6</c:v>
                </c:pt>
                <c:pt idx="73">
                  <c:v>77.599999999999994</c:v>
                </c:pt>
                <c:pt idx="74">
                  <c:v>99.9</c:v>
                </c:pt>
                <c:pt idx="75">
                  <c:v>64.400000000000006</c:v>
                </c:pt>
                <c:pt idx="76">
                  <c:v>71.900000000000006</c:v>
                </c:pt>
                <c:pt idx="77">
                  <c:v>79.3</c:v>
                </c:pt>
                <c:pt idx="78">
                  <c:v>74.900000000000006</c:v>
                </c:pt>
                <c:pt idx="79">
                  <c:v>87.4</c:v>
                </c:pt>
                <c:pt idx="80">
                  <c:v>97.6</c:v>
                </c:pt>
                <c:pt idx="81">
                  <c:v>74.5</c:v>
                </c:pt>
                <c:pt idx="82">
                  <c:v>64.099999999999994</c:v>
                </c:pt>
                <c:pt idx="83">
                  <c:v>90</c:v>
                </c:pt>
                <c:pt idx="84">
                  <c:v>99.3</c:v>
                </c:pt>
                <c:pt idx="85">
                  <c:v>63.9</c:v>
                </c:pt>
                <c:pt idx="86">
                  <c:v>79</c:v>
                </c:pt>
                <c:pt idx="87">
                  <c:v>100</c:v>
                </c:pt>
                <c:pt idx="88">
                  <c:v>78.900000000000006</c:v>
                </c:pt>
                <c:pt idx="89">
                  <c:v>84.5</c:v>
                </c:pt>
                <c:pt idx="90">
                  <c:v>71.7</c:v>
                </c:pt>
                <c:pt idx="91">
                  <c:v>86.3</c:v>
                </c:pt>
                <c:pt idx="92">
                  <c:v>98.3</c:v>
                </c:pt>
                <c:pt idx="93">
                  <c:v>88.1</c:v>
                </c:pt>
                <c:pt idx="94">
                  <c:v>99.6</c:v>
                </c:pt>
                <c:pt idx="95">
                  <c:v>74.8</c:v>
                </c:pt>
                <c:pt idx="96">
                  <c:v>87.4</c:v>
                </c:pt>
                <c:pt idx="97">
                  <c:v>88.5</c:v>
                </c:pt>
                <c:pt idx="98">
                  <c:v>65.2</c:v>
                </c:pt>
                <c:pt idx="99">
                  <c:v>79.2</c:v>
                </c:pt>
                <c:pt idx="100">
                  <c:v>74.5</c:v>
                </c:pt>
                <c:pt idx="101">
                  <c:v>66.3</c:v>
                </c:pt>
                <c:pt idx="102">
                  <c:v>89.5</c:v>
                </c:pt>
                <c:pt idx="103">
                  <c:v>92.7</c:v>
                </c:pt>
                <c:pt idx="104">
                  <c:v>87.2</c:v>
                </c:pt>
                <c:pt idx="105">
                  <c:v>92.5</c:v>
                </c:pt>
                <c:pt idx="106">
                  <c:v>75.7</c:v>
                </c:pt>
                <c:pt idx="107">
                  <c:v>74</c:v>
                </c:pt>
                <c:pt idx="108">
                  <c:v>100</c:v>
                </c:pt>
                <c:pt idx="109">
                  <c:v>75.5</c:v>
                </c:pt>
                <c:pt idx="110">
                  <c:v>61.7</c:v>
                </c:pt>
                <c:pt idx="111">
                  <c:v>91.4</c:v>
                </c:pt>
                <c:pt idx="112">
                  <c:v>72.7</c:v>
                </c:pt>
                <c:pt idx="113">
                  <c:v>74.599999999999994</c:v>
                </c:pt>
                <c:pt idx="114">
                  <c:v>96.5</c:v>
                </c:pt>
                <c:pt idx="115">
                  <c:v>94.5</c:v>
                </c:pt>
                <c:pt idx="116">
                  <c:v>59.3</c:v>
                </c:pt>
                <c:pt idx="117">
                  <c:v>96.2</c:v>
                </c:pt>
                <c:pt idx="118">
                  <c:v>75.3</c:v>
                </c:pt>
                <c:pt idx="119">
                  <c:v>73.3</c:v>
                </c:pt>
                <c:pt idx="120">
                  <c:v>95.8</c:v>
                </c:pt>
                <c:pt idx="121">
                  <c:v>81</c:v>
                </c:pt>
                <c:pt idx="122">
                  <c:v>76.5</c:v>
                </c:pt>
                <c:pt idx="123">
                  <c:v>88.1</c:v>
                </c:pt>
                <c:pt idx="124">
                  <c:v>88.1</c:v>
                </c:pt>
                <c:pt idx="125">
                  <c:v>92.1</c:v>
                </c:pt>
                <c:pt idx="126">
                  <c:v>85.2</c:v>
                </c:pt>
                <c:pt idx="127">
                  <c:v>63</c:v>
                </c:pt>
                <c:pt idx="128">
                  <c:v>81.099999999999994</c:v>
                </c:pt>
                <c:pt idx="129">
                  <c:v>87.1</c:v>
                </c:pt>
                <c:pt idx="130">
                  <c:v>100</c:v>
                </c:pt>
                <c:pt idx="131">
                  <c:v>75.7</c:v>
                </c:pt>
                <c:pt idx="132">
                  <c:v>77.3</c:v>
                </c:pt>
                <c:pt idx="133">
                  <c:v>85.6</c:v>
                </c:pt>
                <c:pt idx="134">
                  <c:v>80.8</c:v>
                </c:pt>
                <c:pt idx="135">
                  <c:v>94.5</c:v>
                </c:pt>
                <c:pt idx="136">
                  <c:v>59.7</c:v>
                </c:pt>
                <c:pt idx="137">
                  <c:v>80.900000000000006</c:v>
                </c:pt>
                <c:pt idx="138">
                  <c:v>82.6</c:v>
                </c:pt>
                <c:pt idx="139">
                  <c:v>80.2</c:v>
                </c:pt>
                <c:pt idx="140">
                  <c:v>82.4</c:v>
                </c:pt>
                <c:pt idx="141">
                  <c:v>75.900000000000006</c:v>
                </c:pt>
                <c:pt idx="142">
                  <c:v>88.5</c:v>
                </c:pt>
                <c:pt idx="143">
                  <c:v>69.599999999999994</c:v>
                </c:pt>
                <c:pt idx="144">
                  <c:v>86.8</c:v>
                </c:pt>
                <c:pt idx="145">
                  <c:v>65.2</c:v>
                </c:pt>
                <c:pt idx="146">
                  <c:v>82</c:v>
                </c:pt>
                <c:pt idx="147">
                  <c:v>46.8</c:v>
                </c:pt>
                <c:pt idx="148">
                  <c:v>68.599999999999994</c:v>
                </c:pt>
                <c:pt idx="149">
                  <c:v>69.2</c:v>
                </c:pt>
                <c:pt idx="150">
                  <c:v>84.7</c:v>
                </c:pt>
                <c:pt idx="151">
                  <c:v>75.900000000000006</c:v>
                </c:pt>
                <c:pt idx="152">
                  <c:v>84.7</c:v>
                </c:pt>
                <c:pt idx="153">
                  <c:v>75.7</c:v>
                </c:pt>
                <c:pt idx="154">
                  <c:v>95.4</c:v>
                </c:pt>
                <c:pt idx="155">
                  <c:v>87.6</c:v>
                </c:pt>
                <c:pt idx="156">
                  <c:v>87.7</c:v>
                </c:pt>
                <c:pt idx="157">
                  <c:v>89.3</c:v>
                </c:pt>
                <c:pt idx="158">
                  <c:v>63.7</c:v>
                </c:pt>
                <c:pt idx="159">
                  <c:v>74</c:v>
                </c:pt>
                <c:pt idx="160">
                  <c:v>87.9</c:v>
                </c:pt>
                <c:pt idx="161">
                  <c:v>76.599999999999994</c:v>
                </c:pt>
                <c:pt idx="162">
                  <c:v>97.3</c:v>
                </c:pt>
                <c:pt idx="163">
                  <c:v>90.2</c:v>
                </c:pt>
                <c:pt idx="164">
                  <c:v>88.7</c:v>
                </c:pt>
                <c:pt idx="165">
                  <c:v>84.8</c:v>
                </c:pt>
                <c:pt idx="166">
                  <c:v>100</c:v>
                </c:pt>
                <c:pt idx="167">
                  <c:v>82.1</c:v>
                </c:pt>
                <c:pt idx="168">
                  <c:v>75.099999999999994</c:v>
                </c:pt>
                <c:pt idx="169">
                  <c:v>78.099999999999994</c:v>
                </c:pt>
                <c:pt idx="170">
                  <c:v>92.9</c:v>
                </c:pt>
                <c:pt idx="171">
                  <c:v>71.8</c:v>
                </c:pt>
                <c:pt idx="172">
                  <c:v>78.5</c:v>
                </c:pt>
                <c:pt idx="173">
                  <c:v>82.6</c:v>
                </c:pt>
                <c:pt idx="174">
                  <c:v>79.2</c:v>
                </c:pt>
                <c:pt idx="175">
                  <c:v>89.7</c:v>
                </c:pt>
                <c:pt idx="176">
                  <c:v>89.2</c:v>
                </c:pt>
                <c:pt idx="177">
                  <c:v>81.7</c:v>
                </c:pt>
                <c:pt idx="178">
                  <c:v>96.7</c:v>
                </c:pt>
                <c:pt idx="179">
                  <c:v>73.7</c:v>
                </c:pt>
                <c:pt idx="180">
                  <c:v>77.099999999999994</c:v>
                </c:pt>
                <c:pt idx="181">
                  <c:v>76.5</c:v>
                </c:pt>
                <c:pt idx="182">
                  <c:v>73.2</c:v>
                </c:pt>
                <c:pt idx="183">
                  <c:v>83.6</c:v>
                </c:pt>
                <c:pt idx="184">
                  <c:v>85.8</c:v>
                </c:pt>
                <c:pt idx="185">
                  <c:v>95.7</c:v>
                </c:pt>
                <c:pt idx="186">
                  <c:v>89.2</c:v>
                </c:pt>
                <c:pt idx="187">
                  <c:v>83.1</c:v>
                </c:pt>
                <c:pt idx="188">
                  <c:v>100</c:v>
                </c:pt>
                <c:pt idx="189">
                  <c:v>67.2</c:v>
                </c:pt>
                <c:pt idx="190">
                  <c:v>84.6</c:v>
                </c:pt>
                <c:pt idx="191">
                  <c:v>100</c:v>
                </c:pt>
                <c:pt idx="192">
                  <c:v>75.2</c:v>
                </c:pt>
                <c:pt idx="193">
                  <c:v>81.099999999999994</c:v>
                </c:pt>
                <c:pt idx="194">
                  <c:v>96.5</c:v>
                </c:pt>
                <c:pt idx="195">
                  <c:v>79.8</c:v>
                </c:pt>
                <c:pt idx="196">
                  <c:v>73.400000000000006</c:v>
                </c:pt>
                <c:pt idx="197">
                  <c:v>92.2</c:v>
                </c:pt>
                <c:pt idx="198">
                  <c:v>87.3</c:v>
                </c:pt>
                <c:pt idx="199">
                  <c:v>92.5</c:v>
                </c:pt>
                <c:pt idx="200">
                  <c:v>94.6</c:v>
                </c:pt>
                <c:pt idx="201">
                  <c:v>75.5</c:v>
                </c:pt>
                <c:pt idx="202">
                  <c:v>85.3</c:v>
                </c:pt>
                <c:pt idx="203">
                  <c:v>76.7</c:v>
                </c:pt>
                <c:pt idx="204">
                  <c:v>86.8</c:v>
                </c:pt>
                <c:pt idx="205">
                  <c:v>61.1</c:v>
                </c:pt>
                <c:pt idx="206">
                  <c:v>100</c:v>
                </c:pt>
                <c:pt idx="207">
                  <c:v>90.9</c:v>
                </c:pt>
                <c:pt idx="208">
                  <c:v>96.1</c:v>
                </c:pt>
                <c:pt idx="209">
                  <c:v>73.099999999999994</c:v>
                </c:pt>
                <c:pt idx="210">
                  <c:v>81.2</c:v>
                </c:pt>
                <c:pt idx="211">
                  <c:v>81.8</c:v>
                </c:pt>
                <c:pt idx="212">
                  <c:v>70</c:v>
                </c:pt>
                <c:pt idx="213">
                  <c:v>78.5</c:v>
                </c:pt>
                <c:pt idx="214">
                  <c:v>84.7</c:v>
                </c:pt>
                <c:pt idx="215">
                  <c:v>74.7</c:v>
                </c:pt>
                <c:pt idx="216">
                  <c:v>91.2</c:v>
                </c:pt>
                <c:pt idx="217">
                  <c:v>93.4</c:v>
                </c:pt>
                <c:pt idx="218">
                  <c:v>86.8</c:v>
                </c:pt>
                <c:pt idx="219">
                  <c:v>100</c:v>
                </c:pt>
                <c:pt idx="220">
                  <c:v>84.3</c:v>
                </c:pt>
                <c:pt idx="221">
                  <c:v>71.5</c:v>
                </c:pt>
                <c:pt idx="222">
                  <c:v>70.5</c:v>
                </c:pt>
                <c:pt idx="223">
                  <c:v>89.9</c:v>
                </c:pt>
                <c:pt idx="224">
                  <c:v>81.099999999999994</c:v>
                </c:pt>
                <c:pt idx="225">
                  <c:v>67.400000000000006</c:v>
                </c:pt>
                <c:pt idx="226">
                  <c:v>82.2</c:v>
                </c:pt>
                <c:pt idx="227">
                  <c:v>90</c:v>
                </c:pt>
                <c:pt idx="228">
                  <c:v>100</c:v>
                </c:pt>
                <c:pt idx="229">
                  <c:v>82.7</c:v>
                </c:pt>
                <c:pt idx="230">
                  <c:v>98.3</c:v>
                </c:pt>
                <c:pt idx="231">
                  <c:v>91.5</c:v>
                </c:pt>
                <c:pt idx="232">
                  <c:v>82.2</c:v>
                </c:pt>
                <c:pt idx="233">
                  <c:v>100</c:v>
                </c:pt>
                <c:pt idx="234">
                  <c:v>80.2</c:v>
                </c:pt>
                <c:pt idx="235">
                  <c:v>85.7</c:v>
                </c:pt>
                <c:pt idx="236">
                  <c:v>100</c:v>
                </c:pt>
                <c:pt idx="237">
                  <c:v>84.4</c:v>
                </c:pt>
                <c:pt idx="238">
                  <c:v>100</c:v>
                </c:pt>
                <c:pt idx="239">
                  <c:v>84.6</c:v>
                </c:pt>
                <c:pt idx="240">
                  <c:v>80.599999999999994</c:v>
                </c:pt>
                <c:pt idx="241">
                  <c:v>85.1</c:v>
                </c:pt>
                <c:pt idx="242">
                  <c:v>69.400000000000006</c:v>
                </c:pt>
                <c:pt idx="243">
                  <c:v>92.2</c:v>
                </c:pt>
                <c:pt idx="244">
                  <c:v>76.2</c:v>
                </c:pt>
                <c:pt idx="245">
                  <c:v>100</c:v>
                </c:pt>
                <c:pt idx="246">
                  <c:v>92.2</c:v>
                </c:pt>
                <c:pt idx="247">
                  <c:v>76.5</c:v>
                </c:pt>
                <c:pt idx="248">
                  <c:v>82.7</c:v>
                </c:pt>
                <c:pt idx="249">
                  <c:v>67.099999999999994</c:v>
                </c:pt>
                <c:pt idx="250">
                  <c:v>88.4</c:v>
                </c:pt>
                <c:pt idx="251">
                  <c:v>91</c:v>
                </c:pt>
                <c:pt idx="252">
                  <c:v>75.8</c:v>
                </c:pt>
                <c:pt idx="253">
                  <c:v>88.3</c:v>
                </c:pt>
                <c:pt idx="254">
                  <c:v>87.6</c:v>
                </c:pt>
                <c:pt idx="255">
                  <c:v>96.8</c:v>
                </c:pt>
                <c:pt idx="256">
                  <c:v>86.7</c:v>
                </c:pt>
                <c:pt idx="257">
                  <c:v>63.7</c:v>
                </c:pt>
                <c:pt idx="258">
                  <c:v>73</c:v>
                </c:pt>
                <c:pt idx="259">
                  <c:v>94.3</c:v>
                </c:pt>
                <c:pt idx="260">
                  <c:v>71.3</c:v>
                </c:pt>
                <c:pt idx="261">
                  <c:v>79.7</c:v>
                </c:pt>
                <c:pt idx="262">
                  <c:v>81.2</c:v>
                </c:pt>
                <c:pt idx="263">
                  <c:v>91.1</c:v>
                </c:pt>
                <c:pt idx="264">
                  <c:v>97.5</c:v>
                </c:pt>
                <c:pt idx="265">
                  <c:v>100</c:v>
                </c:pt>
                <c:pt idx="266">
                  <c:v>81.599999999999994</c:v>
                </c:pt>
                <c:pt idx="267">
                  <c:v>83.9</c:v>
                </c:pt>
                <c:pt idx="268">
                  <c:v>100</c:v>
                </c:pt>
                <c:pt idx="269">
                  <c:v>80.2</c:v>
                </c:pt>
                <c:pt idx="270">
                  <c:v>75.099999999999994</c:v>
                </c:pt>
                <c:pt idx="271">
                  <c:v>78.2</c:v>
                </c:pt>
                <c:pt idx="272">
                  <c:v>64.7</c:v>
                </c:pt>
                <c:pt idx="273">
                  <c:v>97.8</c:v>
                </c:pt>
                <c:pt idx="274">
                  <c:v>74.400000000000006</c:v>
                </c:pt>
                <c:pt idx="275">
                  <c:v>76.400000000000006</c:v>
                </c:pt>
                <c:pt idx="276">
                  <c:v>76.3</c:v>
                </c:pt>
                <c:pt idx="277">
                  <c:v>88.3</c:v>
                </c:pt>
                <c:pt idx="278">
                  <c:v>94</c:v>
                </c:pt>
                <c:pt idx="279">
                  <c:v>58.8</c:v>
                </c:pt>
                <c:pt idx="280">
                  <c:v>81.099999999999994</c:v>
                </c:pt>
                <c:pt idx="281">
                  <c:v>84.5</c:v>
                </c:pt>
                <c:pt idx="282">
                  <c:v>69.900000000000006</c:v>
                </c:pt>
                <c:pt idx="283">
                  <c:v>82.2</c:v>
                </c:pt>
                <c:pt idx="284">
                  <c:v>83.3</c:v>
                </c:pt>
                <c:pt idx="285">
                  <c:v>69.5</c:v>
                </c:pt>
                <c:pt idx="286">
                  <c:v>68.5</c:v>
                </c:pt>
                <c:pt idx="287">
                  <c:v>61.5</c:v>
                </c:pt>
                <c:pt idx="288">
                  <c:v>72.3</c:v>
                </c:pt>
                <c:pt idx="289">
                  <c:v>74.099999999999994</c:v>
                </c:pt>
                <c:pt idx="290">
                  <c:v>94.9</c:v>
                </c:pt>
                <c:pt idx="291">
                  <c:v>100</c:v>
                </c:pt>
                <c:pt idx="292">
                  <c:v>84.5</c:v>
                </c:pt>
                <c:pt idx="293">
                  <c:v>93.7</c:v>
                </c:pt>
                <c:pt idx="294">
                  <c:v>100</c:v>
                </c:pt>
                <c:pt idx="295">
                  <c:v>81.599999999999994</c:v>
                </c:pt>
                <c:pt idx="296">
                  <c:v>70.900000000000006</c:v>
                </c:pt>
                <c:pt idx="297">
                  <c:v>89.6</c:v>
                </c:pt>
                <c:pt idx="298">
                  <c:v>69.2</c:v>
                </c:pt>
                <c:pt idx="299">
                  <c:v>82.3</c:v>
                </c:pt>
                <c:pt idx="300">
                  <c:v>80.900000000000006</c:v>
                </c:pt>
                <c:pt idx="301">
                  <c:v>82.4</c:v>
                </c:pt>
                <c:pt idx="302">
                  <c:v>91</c:v>
                </c:pt>
                <c:pt idx="303">
                  <c:v>81.599999999999994</c:v>
                </c:pt>
                <c:pt idx="304">
                  <c:v>83.2</c:v>
                </c:pt>
                <c:pt idx="305">
                  <c:v>80.7</c:v>
                </c:pt>
                <c:pt idx="306">
                  <c:v>87.2</c:v>
                </c:pt>
                <c:pt idx="307">
                  <c:v>72.8</c:v>
                </c:pt>
                <c:pt idx="308">
                  <c:v>85.2</c:v>
                </c:pt>
                <c:pt idx="309">
                  <c:v>83.3</c:v>
                </c:pt>
                <c:pt idx="310">
                  <c:v>82.6</c:v>
                </c:pt>
                <c:pt idx="311">
                  <c:v>63.4</c:v>
                </c:pt>
                <c:pt idx="312">
                  <c:v>100</c:v>
                </c:pt>
                <c:pt idx="313">
                  <c:v>79.400000000000006</c:v>
                </c:pt>
                <c:pt idx="314">
                  <c:v>100</c:v>
                </c:pt>
                <c:pt idx="315">
                  <c:v>100</c:v>
                </c:pt>
                <c:pt idx="316">
                  <c:v>72.900000000000006</c:v>
                </c:pt>
                <c:pt idx="317">
                  <c:v>79.2</c:v>
                </c:pt>
                <c:pt idx="318">
                  <c:v>84.2</c:v>
                </c:pt>
                <c:pt idx="319">
                  <c:v>80.7</c:v>
                </c:pt>
                <c:pt idx="320">
                  <c:v>85.3</c:v>
                </c:pt>
                <c:pt idx="321">
                  <c:v>93.1</c:v>
                </c:pt>
                <c:pt idx="322">
                  <c:v>73.5</c:v>
                </c:pt>
                <c:pt idx="323">
                  <c:v>90.8</c:v>
                </c:pt>
                <c:pt idx="324">
                  <c:v>80.8</c:v>
                </c:pt>
                <c:pt idx="325">
                  <c:v>88.9</c:v>
                </c:pt>
                <c:pt idx="326">
                  <c:v>63.7</c:v>
                </c:pt>
                <c:pt idx="327">
                  <c:v>82.6</c:v>
                </c:pt>
                <c:pt idx="328">
                  <c:v>63.7</c:v>
                </c:pt>
                <c:pt idx="329">
                  <c:v>96.6</c:v>
                </c:pt>
                <c:pt idx="330">
                  <c:v>97</c:v>
                </c:pt>
                <c:pt idx="331">
                  <c:v>93.3</c:v>
                </c:pt>
                <c:pt idx="332">
                  <c:v>82.8</c:v>
                </c:pt>
                <c:pt idx="333">
                  <c:v>81.2</c:v>
                </c:pt>
                <c:pt idx="334">
                  <c:v>88.7</c:v>
                </c:pt>
                <c:pt idx="335">
                  <c:v>71.2</c:v>
                </c:pt>
                <c:pt idx="336">
                  <c:v>87.1</c:v>
                </c:pt>
                <c:pt idx="337">
                  <c:v>94.9</c:v>
                </c:pt>
                <c:pt idx="338">
                  <c:v>76.099999999999994</c:v>
                </c:pt>
                <c:pt idx="339">
                  <c:v>85.1</c:v>
                </c:pt>
                <c:pt idx="340">
                  <c:v>96.3</c:v>
                </c:pt>
                <c:pt idx="341">
                  <c:v>100</c:v>
                </c:pt>
                <c:pt idx="342">
                  <c:v>92</c:v>
                </c:pt>
                <c:pt idx="343">
                  <c:v>77.2</c:v>
                </c:pt>
                <c:pt idx="344">
                  <c:v>97.5</c:v>
                </c:pt>
                <c:pt idx="345">
                  <c:v>70.599999999999994</c:v>
                </c:pt>
                <c:pt idx="346">
                  <c:v>87.2</c:v>
                </c:pt>
                <c:pt idx="347">
                  <c:v>69</c:v>
                </c:pt>
                <c:pt idx="348">
                  <c:v>90.2</c:v>
                </c:pt>
                <c:pt idx="349">
                  <c:v>74</c:v>
                </c:pt>
                <c:pt idx="350">
                  <c:v>75.3</c:v>
                </c:pt>
                <c:pt idx="351">
                  <c:v>86.5</c:v>
                </c:pt>
                <c:pt idx="352">
                  <c:v>100</c:v>
                </c:pt>
                <c:pt idx="353">
                  <c:v>93.6</c:v>
                </c:pt>
                <c:pt idx="354">
                  <c:v>72</c:v>
                </c:pt>
                <c:pt idx="355">
                  <c:v>76.2</c:v>
                </c:pt>
                <c:pt idx="356">
                  <c:v>80.900000000000006</c:v>
                </c:pt>
                <c:pt idx="357">
                  <c:v>85.3</c:v>
                </c:pt>
                <c:pt idx="358">
                  <c:v>81.900000000000006</c:v>
                </c:pt>
                <c:pt idx="359">
                  <c:v>78</c:v>
                </c:pt>
                <c:pt idx="360">
                  <c:v>93.6</c:v>
                </c:pt>
                <c:pt idx="361">
                  <c:v>95.1</c:v>
                </c:pt>
                <c:pt idx="362">
                  <c:v>66.7</c:v>
                </c:pt>
                <c:pt idx="363">
                  <c:v>75.599999999999994</c:v>
                </c:pt>
                <c:pt idx="364">
                  <c:v>57.4</c:v>
                </c:pt>
                <c:pt idx="365">
                  <c:v>75.400000000000006</c:v>
                </c:pt>
                <c:pt idx="366">
                  <c:v>80.5</c:v>
                </c:pt>
                <c:pt idx="367">
                  <c:v>75.099999999999994</c:v>
                </c:pt>
                <c:pt idx="368">
                  <c:v>67.8</c:v>
                </c:pt>
                <c:pt idx="369">
                  <c:v>97.4</c:v>
                </c:pt>
                <c:pt idx="370">
                  <c:v>80.2</c:v>
                </c:pt>
                <c:pt idx="371">
                  <c:v>82.8</c:v>
                </c:pt>
                <c:pt idx="372">
                  <c:v>87.8</c:v>
                </c:pt>
                <c:pt idx="373">
                  <c:v>85.8</c:v>
                </c:pt>
                <c:pt idx="374">
                  <c:v>91.7</c:v>
                </c:pt>
                <c:pt idx="375">
                  <c:v>84.9</c:v>
                </c:pt>
                <c:pt idx="376">
                  <c:v>99.3</c:v>
                </c:pt>
                <c:pt idx="377">
                  <c:v>74.3</c:v>
                </c:pt>
                <c:pt idx="378">
                  <c:v>93.3</c:v>
                </c:pt>
                <c:pt idx="379">
                  <c:v>79.400000000000006</c:v>
                </c:pt>
                <c:pt idx="380">
                  <c:v>77.400000000000006</c:v>
                </c:pt>
                <c:pt idx="381">
                  <c:v>100</c:v>
                </c:pt>
                <c:pt idx="382">
                  <c:v>76.8</c:v>
                </c:pt>
                <c:pt idx="383">
                  <c:v>100</c:v>
                </c:pt>
                <c:pt idx="384">
                  <c:v>88.6</c:v>
                </c:pt>
                <c:pt idx="385">
                  <c:v>79.099999999999994</c:v>
                </c:pt>
                <c:pt idx="386">
                  <c:v>79.400000000000006</c:v>
                </c:pt>
                <c:pt idx="387">
                  <c:v>100</c:v>
                </c:pt>
                <c:pt idx="388">
                  <c:v>86.7</c:v>
                </c:pt>
                <c:pt idx="389">
                  <c:v>69.5</c:v>
                </c:pt>
                <c:pt idx="390">
                  <c:v>86.3</c:v>
                </c:pt>
                <c:pt idx="391">
                  <c:v>87.3</c:v>
                </c:pt>
                <c:pt idx="392">
                  <c:v>72.099999999999994</c:v>
                </c:pt>
                <c:pt idx="393">
                  <c:v>92.3</c:v>
                </c:pt>
                <c:pt idx="394">
                  <c:v>67.599999999999994</c:v>
                </c:pt>
                <c:pt idx="395">
                  <c:v>72.7</c:v>
                </c:pt>
                <c:pt idx="396">
                  <c:v>76.099999999999994</c:v>
                </c:pt>
                <c:pt idx="397">
                  <c:v>81.2</c:v>
                </c:pt>
                <c:pt idx="398">
                  <c:v>90.4</c:v>
                </c:pt>
                <c:pt idx="399">
                  <c:v>73.2</c:v>
                </c:pt>
                <c:pt idx="400">
                  <c:v>85.2</c:v>
                </c:pt>
                <c:pt idx="401">
                  <c:v>96.4</c:v>
                </c:pt>
                <c:pt idx="402">
                  <c:v>81.900000000000006</c:v>
                </c:pt>
                <c:pt idx="403">
                  <c:v>86.5</c:v>
                </c:pt>
                <c:pt idx="404">
                  <c:v>84.7</c:v>
                </c:pt>
                <c:pt idx="405">
                  <c:v>93</c:v>
                </c:pt>
                <c:pt idx="406">
                  <c:v>78.900000000000006</c:v>
                </c:pt>
                <c:pt idx="407">
                  <c:v>90.4</c:v>
                </c:pt>
                <c:pt idx="408">
                  <c:v>80.099999999999994</c:v>
                </c:pt>
                <c:pt idx="409">
                  <c:v>78.099999999999994</c:v>
                </c:pt>
                <c:pt idx="410">
                  <c:v>70.099999999999994</c:v>
                </c:pt>
                <c:pt idx="411">
                  <c:v>90.2</c:v>
                </c:pt>
                <c:pt idx="412">
                  <c:v>86.5</c:v>
                </c:pt>
                <c:pt idx="413">
                  <c:v>93.5</c:v>
                </c:pt>
                <c:pt idx="414">
                  <c:v>83.3</c:v>
                </c:pt>
                <c:pt idx="415">
                  <c:v>81.2</c:v>
                </c:pt>
                <c:pt idx="416">
                  <c:v>76</c:v>
                </c:pt>
                <c:pt idx="417">
                  <c:v>84.9</c:v>
                </c:pt>
                <c:pt idx="418">
                  <c:v>79.2</c:v>
                </c:pt>
                <c:pt idx="419">
                  <c:v>72.8</c:v>
                </c:pt>
                <c:pt idx="420">
                  <c:v>69.900000000000006</c:v>
                </c:pt>
                <c:pt idx="421">
                  <c:v>89.6</c:v>
                </c:pt>
                <c:pt idx="422">
                  <c:v>77.3</c:v>
                </c:pt>
                <c:pt idx="423">
                  <c:v>64.599999999999994</c:v>
                </c:pt>
                <c:pt idx="424">
                  <c:v>81.8</c:v>
                </c:pt>
                <c:pt idx="425">
                  <c:v>86.2</c:v>
                </c:pt>
                <c:pt idx="426">
                  <c:v>100</c:v>
                </c:pt>
                <c:pt idx="427">
                  <c:v>100</c:v>
                </c:pt>
                <c:pt idx="428">
                  <c:v>100</c:v>
                </c:pt>
                <c:pt idx="429">
                  <c:v>72</c:v>
                </c:pt>
                <c:pt idx="430">
                  <c:v>81.2</c:v>
                </c:pt>
                <c:pt idx="431">
                  <c:v>100</c:v>
                </c:pt>
                <c:pt idx="432">
                  <c:v>79.7</c:v>
                </c:pt>
                <c:pt idx="433">
                  <c:v>89.4</c:v>
                </c:pt>
                <c:pt idx="434">
                  <c:v>77.8</c:v>
                </c:pt>
                <c:pt idx="435">
                  <c:v>93.4</c:v>
                </c:pt>
                <c:pt idx="436">
                  <c:v>100</c:v>
                </c:pt>
                <c:pt idx="437">
                  <c:v>76.5</c:v>
                </c:pt>
                <c:pt idx="438">
                  <c:v>79.3</c:v>
                </c:pt>
                <c:pt idx="439">
                  <c:v>100</c:v>
                </c:pt>
                <c:pt idx="440">
                  <c:v>98.9</c:v>
                </c:pt>
                <c:pt idx="441">
                  <c:v>87.5</c:v>
                </c:pt>
                <c:pt idx="442">
                  <c:v>85.2</c:v>
                </c:pt>
                <c:pt idx="443">
                  <c:v>86</c:v>
                </c:pt>
                <c:pt idx="444">
                  <c:v>80.7</c:v>
                </c:pt>
                <c:pt idx="445">
                  <c:v>79.900000000000006</c:v>
                </c:pt>
                <c:pt idx="446">
                  <c:v>79.099999999999994</c:v>
                </c:pt>
                <c:pt idx="447">
                  <c:v>87.1</c:v>
                </c:pt>
                <c:pt idx="448">
                  <c:v>90.7</c:v>
                </c:pt>
                <c:pt idx="449">
                  <c:v>64.599999999999994</c:v>
                </c:pt>
                <c:pt idx="450">
                  <c:v>77.900000000000006</c:v>
                </c:pt>
                <c:pt idx="451">
                  <c:v>82</c:v>
                </c:pt>
                <c:pt idx="452">
                  <c:v>92.8</c:v>
                </c:pt>
                <c:pt idx="453">
                  <c:v>85.4</c:v>
                </c:pt>
                <c:pt idx="454">
                  <c:v>80.7</c:v>
                </c:pt>
                <c:pt idx="455">
                  <c:v>72.7</c:v>
                </c:pt>
                <c:pt idx="456">
                  <c:v>68.8</c:v>
                </c:pt>
                <c:pt idx="457">
                  <c:v>89.9</c:v>
                </c:pt>
                <c:pt idx="458">
                  <c:v>83.3</c:v>
                </c:pt>
                <c:pt idx="459">
                  <c:v>86.8</c:v>
                </c:pt>
                <c:pt idx="460">
                  <c:v>98.2</c:v>
                </c:pt>
                <c:pt idx="461">
                  <c:v>100</c:v>
                </c:pt>
                <c:pt idx="462">
                  <c:v>95.1</c:v>
                </c:pt>
                <c:pt idx="463">
                  <c:v>93.5</c:v>
                </c:pt>
                <c:pt idx="464">
                  <c:v>63.2</c:v>
                </c:pt>
                <c:pt idx="465">
                  <c:v>100</c:v>
                </c:pt>
                <c:pt idx="466">
                  <c:v>77.099999999999994</c:v>
                </c:pt>
                <c:pt idx="467">
                  <c:v>88.8</c:v>
                </c:pt>
                <c:pt idx="468">
                  <c:v>100</c:v>
                </c:pt>
                <c:pt idx="469">
                  <c:v>89.9</c:v>
                </c:pt>
                <c:pt idx="470">
                  <c:v>87.6</c:v>
                </c:pt>
                <c:pt idx="471">
                  <c:v>68</c:v>
                </c:pt>
                <c:pt idx="472">
                  <c:v>82.2</c:v>
                </c:pt>
                <c:pt idx="473">
                  <c:v>94</c:v>
                </c:pt>
                <c:pt idx="474">
                  <c:v>90.9</c:v>
                </c:pt>
                <c:pt idx="475">
                  <c:v>85</c:v>
                </c:pt>
                <c:pt idx="476">
                  <c:v>100</c:v>
                </c:pt>
                <c:pt idx="477">
                  <c:v>100</c:v>
                </c:pt>
                <c:pt idx="478">
                  <c:v>87.4</c:v>
                </c:pt>
                <c:pt idx="479">
                  <c:v>84.8</c:v>
                </c:pt>
                <c:pt idx="480">
                  <c:v>89.5</c:v>
                </c:pt>
                <c:pt idx="481">
                  <c:v>92.3</c:v>
                </c:pt>
                <c:pt idx="482">
                  <c:v>86.6</c:v>
                </c:pt>
                <c:pt idx="483">
                  <c:v>100</c:v>
                </c:pt>
                <c:pt idx="484">
                  <c:v>75.7</c:v>
                </c:pt>
                <c:pt idx="485">
                  <c:v>87.3</c:v>
                </c:pt>
                <c:pt idx="486">
                  <c:v>66.599999999999994</c:v>
                </c:pt>
                <c:pt idx="487">
                  <c:v>74.099999999999994</c:v>
                </c:pt>
                <c:pt idx="488">
                  <c:v>100</c:v>
                </c:pt>
                <c:pt idx="489">
                  <c:v>100</c:v>
                </c:pt>
                <c:pt idx="490">
                  <c:v>74.3</c:v>
                </c:pt>
                <c:pt idx="491">
                  <c:v>71.099999999999994</c:v>
                </c:pt>
                <c:pt idx="492">
                  <c:v>66.7</c:v>
                </c:pt>
                <c:pt idx="493">
                  <c:v>82.1</c:v>
                </c:pt>
                <c:pt idx="494">
                  <c:v>88.5</c:v>
                </c:pt>
                <c:pt idx="495">
                  <c:v>79.400000000000006</c:v>
                </c:pt>
                <c:pt idx="496">
                  <c:v>71</c:v>
                </c:pt>
                <c:pt idx="497">
                  <c:v>85.4</c:v>
                </c:pt>
                <c:pt idx="498">
                  <c:v>61.8</c:v>
                </c:pt>
                <c:pt idx="499">
                  <c:v>99.6</c:v>
                </c:pt>
                <c:pt idx="500">
                  <c:v>76.099999999999994</c:v>
                </c:pt>
                <c:pt idx="501">
                  <c:v>90.4</c:v>
                </c:pt>
                <c:pt idx="502">
                  <c:v>93.3</c:v>
                </c:pt>
                <c:pt idx="503">
                  <c:v>88.9</c:v>
                </c:pt>
                <c:pt idx="504">
                  <c:v>99</c:v>
                </c:pt>
                <c:pt idx="505">
                  <c:v>100</c:v>
                </c:pt>
                <c:pt idx="506">
                  <c:v>74.5</c:v>
                </c:pt>
                <c:pt idx="507">
                  <c:v>72.8</c:v>
                </c:pt>
                <c:pt idx="508">
                  <c:v>76.099999999999994</c:v>
                </c:pt>
                <c:pt idx="509">
                  <c:v>99.5</c:v>
                </c:pt>
                <c:pt idx="510">
                  <c:v>79.900000000000006</c:v>
                </c:pt>
                <c:pt idx="511">
                  <c:v>88.2</c:v>
                </c:pt>
                <c:pt idx="512">
                  <c:v>88.9</c:v>
                </c:pt>
                <c:pt idx="513">
                  <c:v>77.900000000000006</c:v>
                </c:pt>
                <c:pt idx="514">
                  <c:v>97.2</c:v>
                </c:pt>
                <c:pt idx="515">
                  <c:v>79.3</c:v>
                </c:pt>
                <c:pt idx="516">
                  <c:v>84.2</c:v>
                </c:pt>
                <c:pt idx="517">
                  <c:v>86.3</c:v>
                </c:pt>
                <c:pt idx="518">
                  <c:v>67.599999999999994</c:v>
                </c:pt>
                <c:pt idx="519">
                  <c:v>80.7</c:v>
                </c:pt>
                <c:pt idx="520">
                  <c:v>64.7</c:v>
                </c:pt>
                <c:pt idx="521">
                  <c:v>71.8</c:v>
                </c:pt>
                <c:pt idx="522">
                  <c:v>84.9</c:v>
                </c:pt>
                <c:pt idx="523">
                  <c:v>100</c:v>
                </c:pt>
                <c:pt idx="524">
                  <c:v>82.4</c:v>
                </c:pt>
                <c:pt idx="525">
                  <c:v>87.3</c:v>
                </c:pt>
                <c:pt idx="526">
                  <c:v>84.8</c:v>
                </c:pt>
                <c:pt idx="527">
                  <c:v>96.4</c:v>
                </c:pt>
                <c:pt idx="528">
                  <c:v>84.3</c:v>
                </c:pt>
                <c:pt idx="529">
                  <c:v>84.5</c:v>
                </c:pt>
                <c:pt idx="530">
                  <c:v>94.7</c:v>
                </c:pt>
                <c:pt idx="531">
                  <c:v>89.6</c:v>
                </c:pt>
                <c:pt idx="532">
                  <c:v>68.599999999999994</c:v>
                </c:pt>
                <c:pt idx="533">
                  <c:v>92.8</c:v>
                </c:pt>
                <c:pt idx="534">
                  <c:v>80.7</c:v>
                </c:pt>
                <c:pt idx="535">
                  <c:v>77.599999999999994</c:v>
                </c:pt>
                <c:pt idx="536">
                  <c:v>87.7</c:v>
                </c:pt>
                <c:pt idx="537">
                  <c:v>86</c:v>
                </c:pt>
                <c:pt idx="538">
                  <c:v>100</c:v>
                </c:pt>
                <c:pt idx="539">
                  <c:v>57.3</c:v>
                </c:pt>
                <c:pt idx="540">
                  <c:v>75.599999999999994</c:v>
                </c:pt>
                <c:pt idx="541">
                  <c:v>87.3</c:v>
                </c:pt>
                <c:pt idx="542">
                  <c:v>88.8</c:v>
                </c:pt>
                <c:pt idx="543">
                  <c:v>91.8</c:v>
                </c:pt>
                <c:pt idx="544">
                  <c:v>66</c:v>
                </c:pt>
                <c:pt idx="545">
                  <c:v>100</c:v>
                </c:pt>
                <c:pt idx="546">
                  <c:v>71.099999999999994</c:v>
                </c:pt>
                <c:pt idx="547">
                  <c:v>88.8</c:v>
                </c:pt>
                <c:pt idx="548">
                  <c:v>100</c:v>
                </c:pt>
                <c:pt idx="549">
                  <c:v>85.2</c:v>
                </c:pt>
                <c:pt idx="550">
                  <c:v>75.400000000000006</c:v>
                </c:pt>
                <c:pt idx="551">
                  <c:v>100</c:v>
                </c:pt>
                <c:pt idx="552">
                  <c:v>78.900000000000006</c:v>
                </c:pt>
                <c:pt idx="553">
                  <c:v>83.4</c:v>
                </c:pt>
                <c:pt idx="554">
                  <c:v>63.4</c:v>
                </c:pt>
                <c:pt idx="555">
                  <c:v>80.7</c:v>
                </c:pt>
                <c:pt idx="556">
                  <c:v>80.8</c:v>
                </c:pt>
                <c:pt idx="557">
                  <c:v>73.099999999999994</c:v>
                </c:pt>
                <c:pt idx="558">
                  <c:v>99.8</c:v>
                </c:pt>
                <c:pt idx="559">
                  <c:v>73.5</c:v>
                </c:pt>
                <c:pt idx="560">
                  <c:v>68.2</c:v>
                </c:pt>
                <c:pt idx="561">
                  <c:v>83.9</c:v>
                </c:pt>
                <c:pt idx="562">
                  <c:v>75.3</c:v>
                </c:pt>
                <c:pt idx="563">
                  <c:v>78.7</c:v>
                </c:pt>
                <c:pt idx="564">
                  <c:v>82.8</c:v>
                </c:pt>
                <c:pt idx="565">
                  <c:v>100</c:v>
                </c:pt>
                <c:pt idx="566">
                  <c:v>92.6</c:v>
                </c:pt>
                <c:pt idx="567">
                  <c:v>99.1</c:v>
                </c:pt>
                <c:pt idx="568">
                  <c:v>76.2</c:v>
                </c:pt>
                <c:pt idx="569">
                  <c:v>90.9</c:v>
                </c:pt>
                <c:pt idx="570">
                  <c:v>63.3</c:v>
                </c:pt>
                <c:pt idx="571">
                  <c:v>85</c:v>
                </c:pt>
                <c:pt idx="572">
                  <c:v>88.7</c:v>
                </c:pt>
                <c:pt idx="573">
                  <c:v>75.3</c:v>
                </c:pt>
                <c:pt idx="574">
                  <c:v>84.9</c:v>
                </c:pt>
                <c:pt idx="575">
                  <c:v>81.099999999999994</c:v>
                </c:pt>
                <c:pt idx="576">
                  <c:v>75.599999999999994</c:v>
                </c:pt>
                <c:pt idx="577">
                  <c:v>95.5</c:v>
                </c:pt>
                <c:pt idx="578">
                  <c:v>83.3</c:v>
                </c:pt>
                <c:pt idx="579">
                  <c:v>95.7</c:v>
                </c:pt>
                <c:pt idx="580">
                  <c:v>70.400000000000006</c:v>
                </c:pt>
                <c:pt idx="581">
                  <c:v>82.7</c:v>
                </c:pt>
                <c:pt idx="582">
                  <c:v>76.7</c:v>
                </c:pt>
                <c:pt idx="583">
                  <c:v>68.400000000000006</c:v>
                </c:pt>
                <c:pt idx="584">
                  <c:v>84.6</c:v>
                </c:pt>
                <c:pt idx="585">
                  <c:v>67.7</c:v>
                </c:pt>
                <c:pt idx="586">
                  <c:v>89.2</c:v>
                </c:pt>
                <c:pt idx="587">
                  <c:v>85</c:v>
                </c:pt>
                <c:pt idx="588">
                  <c:v>77.3</c:v>
                </c:pt>
                <c:pt idx="589">
                  <c:v>72.2</c:v>
                </c:pt>
                <c:pt idx="590">
                  <c:v>89</c:v>
                </c:pt>
                <c:pt idx="591">
                  <c:v>63.2</c:v>
                </c:pt>
                <c:pt idx="592">
                  <c:v>73.2</c:v>
                </c:pt>
                <c:pt idx="593">
                  <c:v>87</c:v>
                </c:pt>
                <c:pt idx="594">
                  <c:v>88.5</c:v>
                </c:pt>
                <c:pt idx="595">
                  <c:v>80.400000000000006</c:v>
                </c:pt>
                <c:pt idx="596">
                  <c:v>80.2</c:v>
                </c:pt>
                <c:pt idx="597">
                  <c:v>80.900000000000006</c:v>
                </c:pt>
                <c:pt idx="598">
                  <c:v>86.4</c:v>
                </c:pt>
                <c:pt idx="599">
                  <c:v>86.3</c:v>
                </c:pt>
                <c:pt idx="600">
                  <c:v>93.4</c:v>
                </c:pt>
                <c:pt idx="601">
                  <c:v>95.1</c:v>
                </c:pt>
                <c:pt idx="602">
                  <c:v>83.9</c:v>
                </c:pt>
                <c:pt idx="603">
                  <c:v>100</c:v>
                </c:pt>
                <c:pt idx="604">
                  <c:v>80.900000000000006</c:v>
                </c:pt>
                <c:pt idx="605">
                  <c:v>76.400000000000006</c:v>
                </c:pt>
                <c:pt idx="606">
                  <c:v>73.599999999999994</c:v>
                </c:pt>
                <c:pt idx="607">
                  <c:v>84</c:v>
                </c:pt>
                <c:pt idx="608">
                  <c:v>58.6</c:v>
                </c:pt>
                <c:pt idx="609">
                  <c:v>96.3</c:v>
                </c:pt>
                <c:pt idx="610">
                  <c:v>78.8</c:v>
                </c:pt>
                <c:pt idx="611">
                  <c:v>79.8</c:v>
                </c:pt>
                <c:pt idx="612">
                  <c:v>70</c:v>
                </c:pt>
                <c:pt idx="613">
                  <c:v>75</c:v>
                </c:pt>
                <c:pt idx="614">
                  <c:v>95</c:v>
                </c:pt>
                <c:pt idx="615">
                  <c:v>92.4</c:v>
                </c:pt>
                <c:pt idx="616">
                  <c:v>86.4</c:v>
                </c:pt>
                <c:pt idx="617">
                  <c:v>79.099999999999994</c:v>
                </c:pt>
                <c:pt idx="618">
                  <c:v>91.5</c:v>
                </c:pt>
                <c:pt idx="619">
                  <c:v>80.3</c:v>
                </c:pt>
                <c:pt idx="620">
                  <c:v>98.3</c:v>
                </c:pt>
                <c:pt idx="621">
                  <c:v>79.3</c:v>
                </c:pt>
                <c:pt idx="622">
                  <c:v>89.5</c:v>
                </c:pt>
                <c:pt idx="623">
                  <c:v>75.7</c:v>
                </c:pt>
                <c:pt idx="624">
                  <c:v>89.6</c:v>
                </c:pt>
                <c:pt idx="625">
                  <c:v>71</c:v>
                </c:pt>
                <c:pt idx="626">
                  <c:v>96.8</c:v>
                </c:pt>
                <c:pt idx="627">
                  <c:v>61.9</c:v>
                </c:pt>
                <c:pt idx="628">
                  <c:v>93.9</c:v>
                </c:pt>
                <c:pt idx="629">
                  <c:v>81.3</c:v>
                </c:pt>
                <c:pt idx="630">
                  <c:v>77.599999999999994</c:v>
                </c:pt>
                <c:pt idx="631">
                  <c:v>71.400000000000006</c:v>
                </c:pt>
                <c:pt idx="632">
                  <c:v>89.4</c:v>
                </c:pt>
                <c:pt idx="633">
                  <c:v>74.3</c:v>
                </c:pt>
                <c:pt idx="634">
                  <c:v>76</c:v>
                </c:pt>
                <c:pt idx="635">
                  <c:v>96.3</c:v>
                </c:pt>
                <c:pt idx="636">
                  <c:v>100</c:v>
                </c:pt>
                <c:pt idx="637">
                  <c:v>99.9</c:v>
                </c:pt>
                <c:pt idx="638">
                  <c:v>83.8</c:v>
                </c:pt>
                <c:pt idx="639">
                  <c:v>79.400000000000006</c:v>
                </c:pt>
                <c:pt idx="640">
                  <c:v>86</c:v>
                </c:pt>
                <c:pt idx="641">
                  <c:v>97.9</c:v>
                </c:pt>
                <c:pt idx="642">
                  <c:v>90.5</c:v>
                </c:pt>
                <c:pt idx="643">
                  <c:v>70.400000000000006</c:v>
                </c:pt>
                <c:pt idx="644">
                  <c:v>82.9</c:v>
                </c:pt>
                <c:pt idx="645">
                  <c:v>75.5</c:v>
                </c:pt>
                <c:pt idx="646">
                  <c:v>100</c:v>
                </c:pt>
                <c:pt idx="647">
                  <c:v>94</c:v>
                </c:pt>
                <c:pt idx="648">
                  <c:v>88.9</c:v>
                </c:pt>
                <c:pt idx="649">
                  <c:v>97.3</c:v>
                </c:pt>
                <c:pt idx="650">
                  <c:v>59.5</c:v>
                </c:pt>
                <c:pt idx="651">
                  <c:v>73.3</c:v>
                </c:pt>
                <c:pt idx="652">
                  <c:v>88</c:v>
                </c:pt>
                <c:pt idx="653">
                  <c:v>74.8</c:v>
                </c:pt>
                <c:pt idx="654">
                  <c:v>89.9</c:v>
                </c:pt>
                <c:pt idx="655">
                  <c:v>72.599999999999994</c:v>
                </c:pt>
                <c:pt idx="656">
                  <c:v>83.6</c:v>
                </c:pt>
                <c:pt idx="657">
                  <c:v>100</c:v>
                </c:pt>
                <c:pt idx="658">
                  <c:v>84.3</c:v>
                </c:pt>
                <c:pt idx="659">
                  <c:v>85.4</c:v>
                </c:pt>
                <c:pt idx="660">
                  <c:v>95.2</c:v>
                </c:pt>
                <c:pt idx="661">
                  <c:v>69</c:v>
                </c:pt>
                <c:pt idx="662">
                  <c:v>94.2</c:v>
                </c:pt>
                <c:pt idx="663">
                  <c:v>99.7</c:v>
                </c:pt>
                <c:pt idx="664">
                  <c:v>85.8</c:v>
                </c:pt>
                <c:pt idx="665">
                  <c:v>91.7</c:v>
                </c:pt>
                <c:pt idx="666">
                  <c:v>92.2</c:v>
                </c:pt>
                <c:pt idx="667">
                  <c:v>96.3</c:v>
                </c:pt>
                <c:pt idx="668">
                  <c:v>97.6</c:v>
                </c:pt>
                <c:pt idx="669">
                  <c:v>66.400000000000006</c:v>
                </c:pt>
                <c:pt idx="670">
                  <c:v>60.8</c:v>
                </c:pt>
                <c:pt idx="671">
                  <c:v>99.8</c:v>
                </c:pt>
                <c:pt idx="672">
                  <c:v>85.2</c:v>
                </c:pt>
                <c:pt idx="673">
                  <c:v>73.2</c:v>
                </c:pt>
                <c:pt idx="674">
                  <c:v>83.8</c:v>
                </c:pt>
                <c:pt idx="675">
                  <c:v>61.3</c:v>
                </c:pt>
                <c:pt idx="676">
                  <c:v>90.6</c:v>
                </c:pt>
                <c:pt idx="677">
                  <c:v>67.7</c:v>
                </c:pt>
                <c:pt idx="678">
                  <c:v>63.6</c:v>
                </c:pt>
                <c:pt idx="679">
                  <c:v>84.1</c:v>
                </c:pt>
                <c:pt idx="680">
                  <c:v>86.2</c:v>
                </c:pt>
                <c:pt idx="681">
                  <c:v>93.9</c:v>
                </c:pt>
                <c:pt idx="682">
                  <c:v>73.900000000000006</c:v>
                </c:pt>
                <c:pt idx="683">
                  <c:v>79.3</c:v>
                </c:pt>
                <c:pt idx="684">
                  <c:v>83.8</c:v>
                </c:pt>
                <c:pt idx="685">
                  <c:v>91.7</c:v>
                </c:pt>
                <c:pt idx="686">
                  <c:v>91.7</c:v>
                </c:pt>
                <c:pt idx="687">
                  <c:v>74.400000000000006</c:v>
                </c:pt>
                <c:pt idx="688">
                  <c:v>81.5</c:v>
                </c:pt>
                <c:pt idx="689">
                  <c:v>67.7</c:v>
                </c:pt>
                <c:pt idx="690">
                  <c:v>71</c:v>
                </c:pt>
                <c:pt idx="691">
                  <c:v>79.900000000000006</c:v>
                </c:pt>
                <c:pt idx="692">
                  <c:v>92.2</c:v>
                </c:pt>
                <c:pt idx="693">
                  <c:v>100</c:v>
                </c:pt>
                <c:pt idx="694">
                  <c:v>89.6</c:v>
                </c:pt>
                <c:pt idx="695">
                  <c:v>77.5</c:v>
                </c:pt>
                <c:pt idx="696">
                  <c:v>72.599999999999994</c:v>
                </c:pt>
                <c:pt idx="697">
                  <c:v>97.9</c:v>
                </c:pt>
                <c:pt idx="698">
                  <c:v>85.5</c:v>
                </c:pt>
                <c:pt idx="699">
                  <c:v>92.1</c:v>
                </c:pt>
                <c:pt idx="700">
                  <c:v>84.5</c:v>
                </c:pt>
                <c:pt idx="701">
                  <c:v>82.8</c:v>
                </c:pt>
                <c:pt idx="702">
                  <c:v>65.400000000000006</c:v>
                </c:pt>
                <c:pt idx="703">
                  <c:v>89.6</c:v>
                </c:pt>
                <c:pt idx="704">
                  <c:v>83.1</c:v>
                </c:pt>
                <c:pt idx="705">
                  <c:v>94.2</c:v>
                </c:pt>
                <c:pt idx="706">
                  <c:v>92.9</c:v>
                </c:pt>
                <c:pt idx="707">
                  <c:v>77.099999999999994</c:v>
                </c:pt>
                <c:pt idx="708">
                  <c:v>98.3</c:v>
                </c:pt>
                <c:pt idx="709">
                  <c:v>72.099999999999994</c:v>
                </c:pt>
                <c:pt idx="710">
                  <c:v>94.6</c:v>
                </c:pt>
                <c:pt idx="711">
                  <c:v>67.099999999999994</c:v>
                </c:pt>
                <c:pt idx="712">
                  <c:v>72.2</c:v>
                </c:pt>
                <c:pt idx="713">
                  <c:v>95.6</c:v>
                </c:pt>
                <c:pt idx="714">
                  <c:v>91.9</c:v>
                </c:pt>
                <c:pt idx="715">
                  <c:v>54.1</c:v>
                </c:pt>
                <c:pt idx="716">
                  <c:v>98.5</c:v>
                </c:pt>
                <c:pt idx="717">
                  <c:v>85</c:v>
                </c:pt>
                <c:pt idx="718">
                  <c:v>99.1</c:v>
                </c:pt>
                <c:pt idx="719">
                  <c:v>78.2</c:v>
                </c:pt>
                <c:pt idx="720">
                  <c:v>83.8</c:v>
                </c:pt>
                <c:pt idx="721">
                  <c:v>70.7</c:v>
                </c:pt>
                <c:pt idx="722">
                  <c:v>69.900000000000006</c:v>
                </c:pt>
                <c:pt idx="723">
                  <c:v>93.7</c:v>
                </c:pt>
                <c:pt idx="724">
                  <c:v>84.9</c:v>
                </c:pt>
                <c:pt idx="725">
                  <c:v>100</c:v>
                </c:pt>
                <c:pt idx="726">
                  <c:v>97.5</c:v>
                </c:pt>
                <c:pt idx="727">
                  <c:v>88</c:v>
                </c:pt>
                <c:pt idx="728">
                  <c:v>85</c:v>
                </c:pt>
                <c:pt idx="729">
                  <c:v>98.9</c:v>
                </c:pt>
                <c:pt idx="730">
                  <c:v>100</c:v>
                </c:pt>
                <c:pt idx="731">
                  <c:v>85</c:v>
                </c:pt>
                <c:pt idx="732">
                  <c:v>74.3</c:v>
                </c:pt>
                <c:pt idx="733">
                  <c:v>99.6</c:v>
                </c:pt>
                <c:pt idx="734">
                  <c:v>79.8</c:v>
                </c:pt>
                <c:pt idx="735">
                  <c:v>91.3</c:v>
                </c:pt>
                <c:pt idx="736">
                  <c:v>95</c:v>
                </c:pt>
                <c:pt idx="737">
                  <c:v>66.599999999999994</c:v>
                </c:pt>
                <c:pt idx="738">
                  <c:v>93.1</c:v>
                </c:pt>
                <c:pt idx="739">
                  <c:v>81.8</c:v>
                </c:pt>
                <c:pt idx="740">
                  <c:v>62.9</c:v>
                </c:pt>
                <c:pt idx="741">
                  <c:v>94</c:v>
                </c:pt>
                <c:pt idx="742">
                  <c:v>85</c:v>
                </c:pt>
                <c:pt idx="743">
                  <c:v>82.4</c:v>
                </c:pt>
                <c:pt idx="744">
                  <c:v>89.5</c:v>
                </c:pt>
                <c:pt idx="745">
                  <c:v>83.3</c:v>
                </c:pt>
                <c:pt idx="746">
                  <c:v>100</c:v>
                </c:pt>
                <c:pt idx="747">
                  <c:v>92.4</c:v>
                </c:pt>
                <c:pt idx="748">
                  <c:v>77</c:v>
                </c:pt>
                <c:pt idx="749">
                  <c:v>95.1</c:v>
                </c:pt>
                <c:pt idx="750">
                  <c:v>88.8</c:v>
                </c:pt>
                <c:pt idx="751">
                  <c:v>93.2</c:v>
                </c:pt>
                <c:pt idx="752">
                  <c:v>96.4</c:v>
                </c:pt>
                <c:pt idx="753">
                  <c:v>67.2</c:v>
                </c:pt>
                <c:pt idx="754">
                  <c:v>84.6</c:v>
                </c:pt>
                <c:pt idx="755">
                  <c:v>89.8</c:v>
                </c:pt>
                <c:pt idx="756">
                  <c:v>90.3</c:v>
                </c:pt>
                <c:pt idx="757">
                  <c:v>82.5</c:v>
                </c:pt>
                <c:pt idx="758">
                  <c:v>84.5</c:v>
                </c:pt>
                <c:pt idx="759">
                  <c:v>72.099999999999994</c:v>
                </c:pt>
                <c:pt idx="760">
                  <c:v>53.2</c:v>
                </c:pt>
                <c:pt idx="761">
                  <c:v>74</c:v>
                </c:pt>
                <c:pt idx="762">
                  <c:v>96.8</c:v>
                </c:pt>
                <c:pt idx="763">
                  <c:v>81.2</c:v>
                </c:pt>
                <c:pt idx="764">
                  <c:v>85.4</c:v>
                </c:pt>
                <c:pt idx="765">
                  <c:v>81.099999999999994</c:v>
                </c:pt>
                <c:pt idx="766">
                  <c:v>83.9</c:v>
                </c:pt>
                <c:pt idx="767">
                  <c:v>71.2</c:v>
                </c:pt>
                <c:pt idx="768">
                  <c:v>85.5</c:v>
                </c:pt>
                <c:pt idx="769">
                  <c:v>98.4</c:v>
                </c:pt>
                <c:pt idx="770">
                  <c:v>82.6</c:v>
                </c:pt>
                <c:pt idx="771">
                  <c:v>91.6</c:v>
                </c:pt>
                <c:pt idx="772">
                  <c:v>91.3</c:v>
                </c:pt>
                <c:pt idx="773">
                  <c:v>84.3</c:v>
                </c:pt>
                <c:pt idx="774">
                  <c:v>74.599999999999994</c:v>
                </c:pt>
                <c:pt idx="775">
                  <c:v>88.6</c:v>
                </c:pt>
                <c:pt idx="776">
                  <c:v>73.599999999999994</c:v>
                </c:pt>
                <c:pt idx="777">
                  <c:v>95.8</c:v>
                </c:pt>
                <c:pt idx="778">
                  <c:v>87.1</c:v>
                </c:pt>
                <c:pt idx="779">
                  <c:v>89.9</c:v>
                </c:pt>
                <c:pt idx="780">
                  <c:v>79.099999999999994</c:v>
                </c:pt>
                <c:pt idx="781">
                  <c:v>97.6</c:v>
                </c:pt>
                <c:pt idx="782">
                  <c:v>90.3</c:v>
                </c:pt>
                <c:pt idx="783">
                  <c:v>78.099999999999994</c:v>
                </c:pt>
                <c:pt idx="784">
                  <c:v>92.6</c:v>
                </c:pt>
                <c:pt idx="785">
                  <c:v>97</c:v>
                </c:pt>
                <c:pt idx="786">
                  <c:v>77</c:v>
                </c:pt>
                <c:pt idx="787">
                  <c:v>96.8</c:v>
                </c:pt>
                <c:pt idx="788">
                  <c:v>72.099999999999994</c:v>
                </c:pt>
                <c:pt idx="789">
                  <c:v>75.400000000000006</c:v>
                </c:pt>
                <c:pt idx="790">
                  <c:v>57.6</c:v>
                </c:pt>
                <c:pt idx="791">
                  <c:v>67.599999999999994</c:v>
                </c:pt>
                <c:pt idx="792">
                  <c:v>91.2</c:v>
                </c:pt>
                <c:pt idx="793">
                  <c:v>86.8</c:v>
                </c:pt>
                <c:pt idx="794">
                  <c:v>89.5</c:v>
                </c:pt>
                <c:pt idx="795">
                  <c:v>100</c:v>
                </c:pt>
                <c:pt idx="796">
                  <c:v>93.4</c:v>
                </c:pt>
                <c:pt idx="797">
                  <c:v>78.7</c:v>
                </c:pt>
                <c:pt idx="798">
                  <c:v>60.8</c:v>
                </c:pt>
                <c:pt idx="799">
                  <c:v>96.1</c:v>
                </c:pt>
                <c:pt idx="800">
                  <c:v>83</c:v>
                </c:pt>
                <c:pt idx="801">
                  <c:v>94</c:v>
                </c:pt>
                <c:pt idx="802">
                  <c:v>100</c:v>
                </c:pt>
                <c:pt idx="803">
                  <c:v>94.6</c:v>
                </c:pt>
                <c:pt idx="804">
                  <c:v>87.7</c:v>
                </c:pt>
                <c:pt idx="805">
                  <c:v>82.1</c:v>
                </c:pt>
                <c:pt idx="806">
                  <c:v>80.099999999999994</c:v>
                </c:pt>
                <c:pt idx="807">
                  <c:v>57.8</c:v>
                </c:pt>
                <c:pt idx="808">
                  <c:v>74.3</c:v>
                </c:pt>
                <c:pt idx="809">
                  <c:v>82.5</c:v>
                </c:pt>
                <c:pt idx="810">
                  <c:v>85.9</c:v>
                </c:pt>
                <c:pt idx="811">
                  <c:v>88.4</c:v>
                </c:pt>
                <c:pt idx="812">
                  <c:v>100</c:v>
                </c:pt>
                <c:pt idx="813">
                  <c:v>75.599999999999994</c:v>
                </c:pt>
                <c:pt idx="814">
                  <c:v>78</c:v>
                </c:pt>
                <c:pt idx="815">
                  <c:v>80</c:v>
                </c:pt>
                <c:pt idx="816">
                  <c:v>80.2</c:v>
                </c:pt>
                <c:pt idx="817">
                  <c:v>82.2</c:v>
                </c:pt>
                <c:pt idx="818">
                  <c:v>79.599999999999994</c:v>
                </c:pt>
                <c:pt idx="819">
                  <c:v>96.3</c:v>
                </c:pt>
                <c:pt idx="820">
                  <c:v>65.400000000000006</c:v>
                </c:pt>
                <c:pt idx="821">
                  <c:v>79.900000000000006</c:v>
                </c:pt>
                <c:pt idx="822">
                  <c:v>71.599999999999994</c:v>
                </c:pt>
                <c:pt idx="823">
                  <c:v>100</c:v>
                </c:pt>
                <c:pt idx="824">
                  <c:v>93.9</c:v>
                </c:pt>
                <c:pt idx="825">
                  <c:v>87.5</c:v>
                </c:pt>
                <c:pt idx="826">
                  <c:v>86.3</c:v>
                </c:pt>
                <c:pt idx="827">
                  <c:v>77.599999999999994</c:v>
                </c:pt>
                <c:pt idx="828">
                  <c:v>70.2</c:v>
                </c:pt>
                <c:pt idx="829">
                  <c:v>100</c:v>
                </c:pt>
                <c:pt idx="830">
                  <c:v>73.5</c:v>
                </c:pt>
                <c:pt idx="831">
                  <c:v>91.2</c:v>
                </c:pt>
                <c:pt idx="832">
                  <c:v>78.099999999999994</c:v>
                </c:pt>
                <c:pt idx="833">
                  <c:v>89</c:v>
                </c:pt>
                <c:pt idx="834">
                  <c:v>82</c:v>
                </c:pt>
                <c:pt idx="835">
                  <c:v>89.5</c:v>
                </c:pt>
                <c:pt idx="836">
                  <c:v>100</c:v>
                </c:pt>
                <c:pt idx="837">
                  <c:v>88.7</c:v>
                </c:pt>
                <c:pt idx="838">
                  <c:v>86</c:v>
                </c:pt>
                <c:pt idx="839">
                  <c:v>82.9</c:v>
                </c:pt>
                <c:pt idx="840">
                  <c:v>88.6</c:v>
                </c:pt>
                <c:pt idx="841">
                  <c:v>79.2</c:v>
                </c:pt>
                <c:pt idx="842">
                  <c:v>85.1</c:v>
                </c:pt>
                <c:pt idx="843">
                  <c:v>80.2</c:v>
                </c:pt>
                <c:pt idx="844">
                  <c:v>80.2</c:v>
                </c:pt>
                <c:pt idx="845">
                  <c:v>80.3</c:v>
                </c:pt>
                <c:pt idx="846">
                  <c:v>69.8</c:v>
                </c:pt>
                <c:pt idx="847">
                  <c:v>100</c:v>
                </c:pt>
                <c:pt idx="848">
                  <c:v>80.8</c:v>
                </c:pt>
                <c:pt idx="849">
                  <c:v>100</c:v>
                </c:pt>
                <c:pt idx="850">
                  <c:v>99.5</c:v>
                </c:pt>
                <c:pt idx="851">
                  <c:v>80.7</c:v>
                </c:pt>
                <c:pt idx="852">
                  <c:v>86.6</c:v>
                </c:pt>
                <c:pt idx="853">
                  <c:v>98.8</c:v>
                </c:pt>
                <c:pt idx="854">
                  <c:v>81.900000000000006</c:v>
                </c:pt>
                <c:pt idx="855">
                  <c:v>79</c:v>
                </c:pt>
                <c:pt idx="856">
                  <c:v>91.7</c:v>
                </c:pt>
                <c:pt idx="857">
                  <c:v>78.8</c:v>
                </c:pt>
                <c:pt idx="858">
                  <c:v>84.8</c:v>
                </c:pt>
                <c:pt idx="859">
                  <c:v>66.5</c:v>
                </c:pt>
                <c:pt idx="860">
                  <c:v>91.1</c:v>
                </c:pt>
                <c:pt idx="861">
                  <c:v>74.2</c:v>
                </c:pt>
                <c:pt idx="862">
                  <c:v>86.3</c:v>
                </c:pt>
                <c:pt idx="863">
                  <c:v>71.2</c:v>
                </c:pt>
                <c:pt idx="864">
                  <c:v>83.5</c:v>
                </c:pt>
                <c:pt idx="865">
                  <c:v>89.8</c:v>
                </c:pt>
                <c:pt idx="866">
                  <c:v>80.3</c:v>
                </c:pt>
                <c:pt idx="867">
                  <c:v>91.6</c:v>
                </c:pt>
                <c:pt idx="868">
                  <c:v>95.8</c:v>
                </c:pt>
                <c:pt idx="869">
                  <c:v>84.4</c:v>
                </c:pt>
                <c:pt idx="870">
                  <c:v>96.1</c:v>
                </c:pt>
                <c:pt idx="871">
                  <c:v>92.6</c:v>
                </c:pt>
                <c:pt idx="872">
                  <c:v>75.5</c:v>
                </c:pt>
                <c:pt idx="873">
                  <c:v>85.1</c:v>
                </c:pt>
                <c:pt idx="874">
                  <c:v>93.8</c:v>
                </c:pt>
                <c:pt idx="875">
                  <c:v>81.400000000000006</c:v>
                </c:pt>
                <c:pt idx="876">
                  <c:v>98.8</c:v>
                </c:pt>
                <c:pt idx="877">
                  <c:v>65.400000000000006</c:v>
                </c:pt>
                <c:pt idx="878">
                  <c:v>77.599999999999994</c:v>
                </c:pt>
                <c:pt idx="879">
                  <c:v>85.6</c:v>
                </c:pt>
                <c:pt idx="880">
                  <c:v>81.400000000000006</c:v>
                </c:pt>
                <c:pt idx="881">
                  <c:v>85.4</c:v>
                </c:pt>
                <c:pt idx="882">
                  <c:v>71.900000000000006</c:v>
                </c:pt>
                <c:pt idx="883">
                  <c:v>94.4</c:v>
                </c:pt>
                <c:pt idx="884">
                  <c:v>100</c:v>
                </c:pt>
                <c:pt idx="885">
                  <c:v>77.099999999999994</c:v>
                </c:pt>
                <c:pt idx="886">
                  <c:v>76.8</c:v>
                </c:pt>
                <c:pt idx="887">
                  <c:v>79.8</c:v>
                </c:pt>
                <c:pt idx="888">
                  <c:v>82.2</c:v>
                </c:pt>
                <c:pt idx="889">
                  <c:v>77.400000000000006</c:v>
                </c:pt>
                <c:pt idx="890">
                  <c:v>100</c:v>
                </c:pt>
                <c:pt idx="891">
                  <c:v>87.2</c:v>
                </c:pt>
                <c:pt idx="892">
                  <c:v>76.400000000000006</c:v>
                </c:pt>
                <c:pt idx="893">
                  <c:v>79.599999999999994</c:v>
                </c:pt>
                <c:pt idx="894">
                  <c:v>71.400000000000006</c:v>
                </c:pt>
                <c:pt idx="895">
                  <c:v>80.8</c:v>
                </c:pt>
                <c:pt idx="896">
                  <c:v>91.1</c:v>
                </c:pt>
                <c:pt idx="897">
                  <c:v>78.8</c:v>
                </c:pt>
                <c:pt idx="898">
                  <c:v>66.7</c:v>
                </c:pt>
                <c:pt idx="899">
                  <c:v>68.8</c:v>
                </c:pt>
                <c:pt idx="900">
                  <c:v>69.900000000000006</c:v>
                </c:pt>
                <c:pt idx="901">
                  <c:v>80.7</c:v>
                </c:pt>
                <c:pt idx="902">
                  <c:v>73.3</c:v>
                </c:pt>
                <c:pt idx="903">
                  <c:v>68.8</c:v>
                </c:pt>
                <c:pt idx="904">
                  <c:v>90.8</c:v>
                </c:pt>
                <c:pt idx="905">
                  <c:v>100</c:v>
                </c:pt>
                <c:pt idx="906">
                  <c:v>85</c:v>
                </c:pt>
                <c:pt idx="907">
                  <c:v>86</c:v>
                </c:pt>
                <c:pt idx="908">
                  <c:v>73.099999999999994</c:v>
                </c:pt>
                <c:pt idx="909">
                  <c:v>87.6</c:v>
                </c:pt>
                <c:pt idx="910">
                  <c:v>96.5</c:v>
                </c:pt>
                <c:pt idx="911">
                  <c:v>100</c:v>
                </c:pt>
                <c:pt idx="912">
                  <c:v>82.1</c:v>
                </c:pt>
                <c:pt idx="913">
                  <c:v>80.3</c:v>
                </c:pt>
                <c:pt idx="914">
                  <c:v>76.900000000000006</c:v>
                </c:pt>
                <c:pt idx="915">
                  <c:v>81.7</c:v>
                </c:pt>
                <c:pt idx="916">
                  <c:v>88.1</c:v>
                </c:pt>
                <c:pt idx="917">
                  <c:v>88.1</c:v>
                </c:pt>
                <c:pt idx="918">
                  <c:v>97.3</c:v>
                </c:pt>
                <c:pt idx="919">
                  <c:v>83.4</c:v>
                </c:pt>
                <c:pt idx="920">
                  <c:v>72.8</c:v>
                </c:pt>
                <c:pt idx="921">
                  <c:v>90.5</c:v>
                </c:pt>
                <c:pt idx="922">
                  <c:v>83.8</c:v>
                </c:pt>
                <c:pt idx="923">
                  <c:v>93.1</c:v>
                </c:pt>
                <c:pt idx="924">
                  <c:v>71.2</c:v>
                </c:pt>
                <c:pt idx="925">
                  <c:v>95.3</c:v>
                </c:pt>
                <c:pt idx="926">
                  <c:v>99.6</c:v>
                </c:pt>
                <c:pt idx="927">
                  <c:v>92.4</c:v>
                </c:pt>
                <c:pt idx="928">
                  <c:v>75.400000000000006</c:v>
                </c:pt>
                <c:pt idx="929">
                  <c:v>80.8</c:v>
                </c:pt>
                <c:pt idx="930">
                  <c:v>72.900000000000006</c:v>
                </c:pt>
                <c:pt idx="931">
                  <c:v>63.7</c:v>
                </c:pt>
                <c:pt idx="932">
                  <c:v>75.3</c:v>
                </c:pt>
                <c:pt idx="933">
                  <c:v>71.7</c:v>
                </c:pt>
                <c:pt idx="934">
                  <c:v>100</c:v>
                </c:pt>
                <c:pt idx="935">
                  <c:v>83.3</c:v>
                </c:pt>
                <c:pt idx="936">
                  <c:v>85.6</c:v>
                </c:pt>
                <c:pt idx="937">
                  <c:v>93.1</c:v>
                </c:pt>
                <c:pt idx="938">
                  <c:v>77.3</c:v>
                </c:pt>
                <c:pt idx="939">
                  <c:v>74.8</c:v>
                </c:pt>
                <c:pt idx="940">
                  <c:v>76.7</c:v>
                </c:pt>
                <c:pt idx="941">
                  <c:v>85.3</c:v>
                </c:pt>
                <c:pt idx="942">
                  <c:v>68.599999999999994</c:v>
                </c:pt>
                <c:pt idx="943">
                  <c:v>96.4</c:v>
                </c:pt>
                <c:pt idx="944">
                  <c:v>95.7</c:v>
                </c:pt>
                <c:pt idx="945">
                  <c:v>96.1</c:v>
                </c:pt>
                <c:pt idx="946">
                  <c:v>70.400000000000006</c:v>
                </c:pt>
                <c:pt idx="947">
                  <c:v>85.8</c:v>
                </c:pt>
                <c:pt idx="948">
                  <c:v>100</c:v>
                </c:pt>
                <c:pt idx="949">
                  <c:v>65.8</c:v>
                </c:pt>
                <c:pt idx="950">
                  <c:v>72.400000000000006</c:v>
                </c:pt>
                <c:pt idx="951">
                  <c:v>83.6</c:v>
                </c:pt>
                <c:pt idx="952">
                  <c:v>89.5</c:v>
                </c:pt>
                <c:pt idx="953">
                  <c:v>77.900000000000006</c:v>
                </c:pt>
                <c:pt idx="954">
                  <c:v>100</c:v>
                </c:pt>
                <c:pt idx="955">
                  <c:v>88.3</c:v>
                </c:pt>
                <c:pt idx="956">
                  <c:v>93.5</c:v>
                </c:pt>
                <c:pt idx="957">
                  <c:v>89</c:v>
                </c:pt>
                <c:pt idx="958">
                  <c:v>87.6</c:v>
                </c:pt>
                <c:pt idx="959">
                  <c:v>80.5</c:v>
                </c:pt>
                <c:pt idx="960">
                  <c:v>75.400000000000006</c:v>
                </c:pt>
                <c:pt idx="961">
                  <c:v>80.7</c:v>
                </c:pt>
                <c:pt idx="962">
                  <c:v>73</c:v>
                </c:pt>
                <c:pt idx="963">
                  <c:v>78.400000000000006</c:v>
                </c:pt>
                <c:pt idx="964">
                  <c:v>69.5</c:v>
                </c:pt>
                <c:pt idx="965">
                  <c:v>76.2</c:v>
                </c:pt>
                <c:pt idx="966">
                  <c:v>90</c:v>
                </c:pt>
                <c:pt idx="967">
                  <c:v>100</c:v>
                </c:pt>
                <c:pt idx="968">
                  <c:v>60</c:v>
                </c:pt>
                <c:pt idx="969">
                  <c:v>78.3</c:v>
                </c:pt>
                <c:pt idx="970">
                  <c:v>100</c:v>
                </c:pt>
                <c:pt idx="971">
                  <c:v>75.599999999999994</c:v>
                </c:pt>
                <c:pt idx="972">
                  <c:v>84.1</c:v>
                </c:pt>
                <c:pt idx="973">
                  <c:v>77.900000000000006</c:v>
                </c:pt>
                <c:pt idx="974">
                  <c:v>67.900000000000006</c:v>
                </c:pt>
                <c:pt idx="975">
                  <c:v>67</c:v>
                </c:pt>
                <c:pt idx="976">
                  <c:v>80.900000000000006</c:v>
                </c:pt>
                <c:pt idx="977">
                  <c:v>72.099999999999994</c:v>
                </c:pt>
                <c:pt idx="978">
                  <c:v>83</c:v>
                </c:pt>
                <c:pt idx="979">
                  <c:v>93.9</c:v>
                </c:pt>
                <c:pt idx="980">
                  <c:v>91.4</c:v>
                </c:pt>
                <c:pt idx="981">
                  <c:v>79.7</c:v>
                </c:pt>
                <c:pt idx="982">
                  <c:v>77.7</c:v>
                </c:pt>
                <c:pt idx="983">
                  <c:v>85</c:v>
                </c:pt>
                <c:pt idx="984">
                  <c:v>75.400000000000006</c:v>
                </c:pt>
                <c:pt idx="985">
                  <c:v>96.4</c:v>
                </c:pt>
                <c:pt idx="986">
                  <c:v>81.8</c:v>
                </c:pt>
                <c:pt idx="987">
                  <c:v>85.8</c:v>
                </c:pt>
                <c:pt idx="988">
                  <c:v>80.900000000000006</c:v>
                </c:pt>
                <c:pt idx="989">
                  <c:v>93.9</c:v>
                </c:pt>
                <c:pt idx="990">
                  <c:v>81.900000000000006</c:v>
                </c:pt>
                <c:pt idx="991">
                  <c:v>80.400000000000006</c:v>
                </c:pt>
                <c:pt idx="992">
                  <c:v>78.8</c:v>
                </c:pt>
                <c:pt idx="993">
                  <c:v>92.7</c:v>
                </c:pt>
                <c:pt idx="994">
                  <c:v>79.099999999999994</c:v>
                </c:pt>
                <c:pt idx="995">
                  <c:v>70.7</c:v>
                </c:pt>
                <c:pt idx="996">
                  <c:v>99.5</c:v>
                </c:pt>
                <c:pt idx="997">
                  <c:v>79.2</c:v>
                </c:pt>
                <c:pt idx="998">
                  <c:v>82.2</c:v>
                </c:pt>
                <c:pt idx="999">
                  <c:v>70.400000000000006</c:v>
                </c:pt>
              </c:numCache>
            </c:numRef>
          </c:yVal>
          <c:smooth val="0"/>
          <c:extLst>
            <c:ext xmlns:c16="http://schemas.microsoft.com/office/drawing/2014/chart" uri="{C3380CC4-5D6E-409C-BE32-E72D297353CC}">
              <c16:uniqueId val="{00000000-4441-4279-98F4-095D4E6041A1}"/>
            </c:ext>
          </c:extLst>
        </c:ser>
        <c:dLbls>
          <c:showLegendKey val="0"/>
          <c:showVal val="0"/>
          <c:showCatName val="0"/>
          <c:showSerName val="0"/>
          <c:showPercent val="0"/>
          <c:showBubbleSize val="0"/>
        </c:dLbls>
        <c:axId val="1141648735"/>
        <c:axId val="134099023"/>
      </c:scatterChart>
      <c:valAx>
        <c:axId val="11416487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Sleep 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99023"/>
        <c:crosses val="autoZero"/>
        <c:crossBetween val="midCat"/>
      </c:valAx>
      <c:valAx>
        <c:axId val="134099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ln>
                      <a:noFill/>
                    </a:ln>
                    <a:solidFill>
                      <a:sysClr val="windowText" lastClr="000000">
                        <a:lumMod val="65000"/>
                        <a:lumOff val="35000"/>
                      </a:sysClr>
                    </a:solidFill>
                  </a:rPr>
                  <a:t>Final Exam Score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64873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Attendance vs Final Exam Score</a:t>
            </a:r>
            <a:endParaRPr lang="en-US"/>
          </a:p>
        </c:rich>
      </c:tx>
      <c:layout>
        <c:manualLayout>
          <c:xMode val="edge"/>
          <c:yMode val="edge"/>
          <c:x val="0.37092344706911634"/>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'03_Clean_Data_Analysis'!$K$1</c:f>
              <c:strCache>
                <c:ptCount val="1"/>
                <c:pt idx="0">
                  <c:v>final_exam_score</c:v>
                </c:pt>
              </c:strCache>
            </c:strRef>
          </c:tx>
          <c:spPr>
            <a:ln w="38100" cap="rnd">
              <a:noFill/>
              <a:round/>
            </a:ln>
            <a:effectLst/>
          </c:spPr>
          <c:marker>
            <c:symbol val="circle"/>
            <c:size val="5"/>
            <c:spPr>
              <a:solidFill>
                <a:schemeClr val="dk1">
                  <a:tint val="88500"/>
                </a:schemeClr>
              </a:solidFill>
              <a:ln w="9525">
                <a:solidFill>
                  <a:schemeClr val="dk1">
                    <a:tint val="88500"/>
                  </a:schemeClr>
                </a:solidFill>
              </a:ln>
              <a:effectLst/>
            </c:spPr>
          </c:marker>
          <c:trendline>
            <c:spPr>
              <a:ln w="19050" cap="rnd">
                <a:solidFill>
                  <a:schemeClr val="dk1">
                    <a:tint val="88500"/>
                  </a:schemeClr>
                </a:solidFill>
                <a:prstDash val="sysDot"/>
              </a:ln>
              <a:effectLst/>
            </c:spPr>
            <c:trendlineType val="linear"/>
            <c:dispRSqr val="0"/>
            <c:dispEq val="0"/>
          </c:trendline>
          <c:xVal>
            <c:numRef>
              <c:f>'03_Clean_Data_Analysis'!$D$2:$D$1001</c:f>
              <c:numCache>
                <c:formatCode>General</c:formatCode>
                <c:ptCount val="1000"/>
                <c:pt idx="0">
                  <c:v>98</c:v>
                </c:pt>
                <c:pt idx="1">
                  <c:v>100</c:v>
                </c:pt>
                <c:pt idx="2">
                  <c:v>85.3</c:v>
                </c:pt>
                <c:pt idx="3">
                  <c:v>77.5</c:v>
                </c:pt>
                <c:pt idx="4">
                  <c:v>89.6</c:v>
                </c:pt>
                <c:pt idx="5">
                  <c:v>78.2</c:v>
                </c:pt>
                <c:pt idx="6">
                  <c:v>100</c:v>
                </c:pt>
                <c:pt idx="7">
                  <c:v>86.4</c:v>
                </c:pt>
                <c:pt idx="8">
                  <c:v>81.3</c:v>
                </c:pt>
                <c:pt idx="9">
                  <c:v>86.8</c:v>
                </c:pt>
                <c:pt idx="10">
                  <c:v>71.5</c:v>
                </c:pt>
                <c:pt idx="11">
                  <c:v>75.3</c:v>
                </c:pt>
                <c:pt idx="12">
                  <c:v>97</c:v>
                </c:pt>
                <c:pt idx="13">
                  <c:v>78.400000000000006</c:v>
                </c:pt>
                <c:pt idx="14">
                  <c:v>74.5</c:v>
                </c:pt>
                <c:pt idx="15">
                  <c:v>90.4</c:v>
                </c:pt>
                <c:pt idx="16">
                  <c:v>96.9</c:v>
                </c:pt>
                <c:pt idx="17">
                  <c:v>92.2</c:v>
                </c:pt>
                <c:pt idx="18">
                  <c:v>95</c:v>
                </c:pt>
                <c:pt idx="19">
                  <c:v>77.400000000000006</c:v>
                </c:pt>
                <c:pt idx="20">
                  <c:v>70.8</c:v>
                </c:pt>
                <c:pt idx="21">
                  <c:v>100</c:v>
                </c:pt>
                <c:pt idx="22">
                  <c:v>81.8</c:v>
                </c:pt>
                <c:pt idx="23">
                  <c:v>82.5</c:v>
                </c:pt>
                <c:pt idx="24">
                  <c:v>98.3</c:v>
                </c:pt>
                <c:pt idx="25">
                  <c:v>90.6</c:v>
                </c:pt>
                <c:pt idx="26">
                  <c:v>89.6</c:v>
                </c:pt>
                <c:pt idx="27">
                  <c:v>100</c:v>
                </c:pt>
                <c:pt idx="28">
                  <c:v>78.599999999999994</c:v>
                </c:pt>
                <c:pt idx="29">
                  <c:v>94.3</c:v>
                </c:pt>
                <c:pt idx="30">
                  <c:v>85.6</c:v>
                </c:pt>
                <c:pt idx="31">
                  <c:v>87.7</c:v>
                </c:pt>
                <c:pt idx="32">
                  <c:v>100</c:v>
                </c:pt>
                <c:pt idx="33">
                  <c:v>90.1</c:v>
                </c:pt>
                <c:pt idx="34">
                  <c:v>90.4</c:v>
                </c:pt>
                <c:pt idx="35">
                  <c:v>95.7</c:v>
                </c:pt>
                <c:pt idx="36">
                  <c:v>81.400000000000006</c:v>
                </c:pt>
                <c:pt idx="37">
                  <c:v>76.599999999999994</c:v>
                </c:pt>
                <c:pt idx="38">
                  <c:v>74.599999999999994</c:v>
                </c:pt>
                <c:pt idx="39">
                  <c:v>65.3</c:v>
                </c:pt>
                <c:pt idx="40">
                  <c:v>100</c:v>
                </c:pt>
                <c:pt idx="41">
                  <c:v>74</c:v>
                </c:pt>
                <c:pt idx="42">
                  <c:v>82.8</c:v>
                </c:pt>
                <c:pt idx="43">
                  <c:v>82.2</c:v>
                </c:pt>
                <c:pt idx="44">
                  <c:v>88.1</c:v>
                </c:pt>
                <c:pt idx="45">
                  <c:v>93.2</c:v>
                </c:pt>
                <c:pt idx="46">
                  <c:v>93.6</c:v>
                </c:pt>
                <c:pt idx="47">
                  <c:v>79.2</c:v>
                </c:pt>
                <c:pt idx="48">
                  <c:v>83.3</c:v>
                </c:pt>
                <c:pt idx="49">
                  <c:v>87.8</c:v>
                </c:pt>
                <c:pt idx="50">
                  <c:v>82.5</c:v>
                </c:pt>
                <c:pt idx="51">
                  <c:v>100</c:v>
                </c:pt>
                <c:pt idx="52">
                  <c:v>89.9</c:v>
                </c:pt>
                <c:pt idx="53">
                  <c:v>92.3</c:v>
                </c:pt>
                <c:pt idx="54">
                  <c:v>91.6</c:v>
                </c:pt>
                <c:pt idx="55">
                  <c:v>96.7</c:v>
                </c:pt>
                <c:pt idx="56">
                  <c:v>86.8</c:v>
                </c:pt>
                <c:pt idx="57">
                  <c:v>72</c:v>
                </c:pt>
                <c:pt idx="58">
                  <c:v>89</c:v>
                </c:pt>
                <c:pt idx="59">
                  <c:v>78.5</c:v>
                </c:pt>
                <c:pt idx="60">
                  <c:v>79.7</c:v>
                </c:pt>
                <c:pt idx="61">
                  <c:v>90.9</c:v>
                </c:pt>
                <c:pt idx="62">
                  <c:v>97.4</c:v>
                </c:pt>
                <c:pt idx="63">
                  <c:v>85.2</c:v>
                </c:pt>
                <c:pt idx="64">
                  <c:v>88.1</c:v>
                </c:pt>
                <c:pt idx="65">
                  <c:v>100</c:v>
                </c:pt>
                <c:pt idx="66">
                  <c:v>87.4</c:v>
                </c:pt>
                <c:pt idx="67">
                  <c:v>100</c:v>
                </c:pt>
                <c:pt idx="68">
                  <c:v>90.7</c:v>
                </c:pt>
                <c:pt idx="69">
                  <c:v>67.400000000000006</c:v>
                </c:pt>
                <c:pt idx="70">
                  <c:v>92.5</c:v>
                </c:pt>
                <c:pt idx="71">
                  <c:v>88.8</c:v>
                </c:pt>
                <c:pt idx="72">
                  <c:v>97.9</c:v>
                </c:pt>
                <c:pt idx="73">
                  <c:v>91.7</c:v>
                </c:pt>
                <c:pt idx="74">
                  <c:v>83.6</c:v>
                </c:pt>
                <c:pt idx="75">
                  <c:v>72.8</c:v>
                </c:pt>
                <c:pt idx="76">
                  <c:v>82.9</c:v>
                </c:pt>
                <c:pt idx="77">
                  <c:v>76.5</c:v>
                </c:pt>
                <c:pt idx="78">
                  <c:v>79.2</c:v>
                </c:pt>
                <c:pt idx="79">
                  <c:v>90.9</c:v>
                </c:pt>
                <c:pt idx="80">
                  <c:v>100</c:v>
                </c:pt>
                <c:pt idx="81">
                  <c:v>88.9</c:v>
                </c:pt>
                <c:pt idx="82">
                  <c:v>73</c:v>
                </c:pt>
                <c:pt idx="83">
                  <c:v>89.4</c:v>
                </c:pt>
                <c:pt idx="84">
                  <c:v>97</c:v>
                </c:pt>
                <c:pt idx="85">
                  <c:v>78.900000000000006</c:v>
                </c:pt>
                <c:pt idx="86">
                  <c:v>83.7</c:v>
                </c:pt>
                <c:pt idx="87">
                  <c:v>85.1</c:v>
                </c:pt>
                <c:pt idx="88">
                  <c:v>77.2</c:v>
                </c:pt>
                <c:pt idx="89">
                  <c:v>91.5</c:v>
                </c:pt>
                <c:pt idx="90">
                  <c:v>83.8</c:v>
                </c:pt>
                <c:pt idx="91">
                  <c:v>89.2</c:v>
                </c:pt>
                <c:pt idx="92">
                  <c:v>76.099999999999994</c:v>
                </c:pt>
                <c:pt idx="93">
                  <c:v>80.599999999999994</c:v>
                </c:pt>
                <c:pt idx="94">
                  <c:v>92.2</c:v>
                </c:pt>
                <c:pt idx="95">
                  <c:v>81.3</c:v>
                </c:pt>
                <c:pt idx="96">
                  <c:v>100</c:v>
                </c:pt>
                <c:pt idx="97">
                  <c:v>81</c:v>
                </c:pt>
                <c:pt idx="98">
                  <c:v>87.2</c:v>
                </c:pt>
                <c:pt idx="99">
                  <c:v>94.3</c:v>
                </c:pt>
                <c:pt idx="100">
                  <c:v>70.8</c:v>
                </c:pt>
                <c:pt idx="101">
                  <c:v>67.400000000000006</c:v>
                </c:pt>
                <c:pt idx="102">
                  <c:v>69.7</c:v>
                </c:pt>
                <c:pt idx="103">
                  <c:v>97.6</c:v>
                </c:pt>
                <c:pt idx="104">
                  <c:v>79.5</c:v>
                </c:pt>
                <c:pt idx="105">
                  <c:v>100</c:v>
                </c:pt>
                <c:pt idx="106">
                  <c:v>79.400000000000006</c:v>
                </c:pt>
                <c:pt idx="107">
                  <c:v>86.8</c:v>
                </c:pt>
                <c:pt idx="108">
                  <c:v>100</c:v>
                </c:pt>
                <c:pt idx="109">
                  <c:v>100</c:v>
                </c:pt>
                <c:pt idx="110">
                  <c:v>100</c:v>
                </c:pt>
                <c:pt idx="111">
                  <c:v>97.1</c:v>
                </c:pt>
                <c:pt idx="112">
                  <c:v>95.2</c:v>
                </c:pt>
                <c:pt idx="113">
                  <c:v>90.9</c:v>
                </c:pt>
                <c:pt idx="114">
                  <c:v>92.8</c:v>
                </c:pt>
                <c:pt idx="115">
                  <c:v>79.5</c:v>
                </c:pt>
                <c:pt idx="116">
                  <c:v>76.8</c:v>
                </c:pt>
                <c:pt idx="117">
                  <c:v>85</c:v>
                </c:pt>
                <c:pt idx="118">
                  <c:v>83.3</c:v>
                </c:pt>
                <c:pt idx="119">
                  <c:v>80.5</c:v>
                </c:pt>
                <c:pt idx="120">
                  <c:v>92</c:v>
                </c:pt>
                <c:pt idx="121">
                  <c:v>94.6</c:v>
                </c:pt>
                <c:pt idx="122">
                  <c:v>85.9</c:v>
                </c:pt>
                <c:pt idx="123">
                  <c:v>99.8</c:v>
                </c:pt>
                <c:pt idx="124">
                  <c:v>73.599999999999994</c:v>
                </c:pt>
                <c:pt idx="125">
                  <c:v>83.1</c:v>
                </c:pt>
                <c:pt idx="126">
                  <c:v>77.8</c:v>
                </c:pt>
                <c:pt idx="127">
                  <c:v>66.3</c:v>
                </c:pt>
                <c:pt idx="128">
                  <c:v>84.2</c:v>
                </c:pt>
                <c:pt idx="129">
                  <c:v>83.8</c:v>
                </c:pt>
                <c:pt idx="130">
                  <c:v>100</c:v>
                </c:pt>
                <c:pt idx="131">
                  <c:v>91.3</c:v>
                </c:pt>
                <c:pt idx="132">
                  <c:v>74.8</c:v>
                </c:pt>
                <c:pt idx="133">
                  <c:v>100</c:v>
                </c:pt>
                <c:pt idx="134">
                  <c:v>97.2</c:v>
                </c:pt>
                <c:pt idx="135">
                  <c:v>90.8</c:v>
                </c:pt>
                <c:pt idx="136">
                  <c:v>82.7</c:v>
                </c:pt>
                <c:pt idx="137">
                  <c:v>75.400000000000006</c:v>
                </c:pt>
                <c:pt idx="138">
                  <c:v>81.3</c:v>
                </c:pt>
                <c:pt idx="139">
                  <c:v>95.9</c:v>
                </c:pt>
                <c:pt idx="140">
                  <c:v>100</c:v>
                </c:pt>
                <c:pt idx="141">
                  <c:v>100</c:v>
                </c:pt>
                <c:pt idx="142">
                  <c:v>80.099999999999994</c:v>
                </c:pt>
                <c:pt idx="143">
                  <c:v>73.8</c:v>
                </c:pt>
                <c:pt idx="144">
                  <c:v>86.4</c:v>
                </c:pt>
                <c:pt idx="145">
                  <c:v>67.3</c:v>
                </c:pt>
                <c:pt idx="146">
                  <c:v>88.2</c:v>
                </c:pt>
                <c:pt idx="147">
                  <c:v>83.5</c:v>
                </c:pt>
                <c:pt idx="148">
                  <c:v>80.3</c:v>
                </c:pt>
                <c:pt idx="149">
                  <c:v>69.099999999999994</c:v>
                </c:pt>
                <c:pt idx="150">
                  <c:v>90.1</c:v>
                </c:pt>
                <c:pt idx="151">
                  <c:v>79.7</c:v>
                </c:pt>
                <c:pt idx="152">
                  <c:v>73.3</c:v>
                </c:pt>
                <c:pt idx="153">
                  <c:v>56.3</c:v>
                </c:pt>
                <c:pt idx="154">
                  <c:v>84.7</c:v>
                </c:pt>
                <c:pt idx="155">
                  <c:v>100</c:v>
                </c:pt>
                <c:pt idx="156">
                  <c:v>100</c:v>
                </c:pt>
                <c:pt idx="157">
                  <c:v>80.400000000000006</c:v>
                </c:pt>
                <c:pt idx="158">
                  <c:v>79</c:v>
                </c:pt>
                <c:pt idx="159">
                  <c:v>89.7</c:v>
                </c:pt>
                <c:pt idx="160">
                  <c:v>75</c:v>
                </c:pt>
                <c:pt idx="161">
                  <c:v>88</c:v>
                </c:pt>
                <c:pt idx="162">
                  <c:v>92.7</c:v>
                </c:pt>
                <c:pt idx="163">
                  <c:v>97.3</c:v>
                </c:pt>
                <c:pt idx="164">
                  <c:v>84</c:v>
                </c:pt>
                <c:pt idx="165">
                  <c:v>83</c:v>
                </c:pt>
                <c:pt idx="166">
                  <c:v>76.2</c:v>
                </c:pt>
                <c:pt idx="167">
                  <c:v>76.7</c:v>
                </c:pt>
                <c:pt idx="168">
                  <c:v>82.7</c:v>
                </c:pt>
                <c:pt idx="169">
                  <c:v>88.7</c:v>
                </c:pt>
                <c:pt idx="170">
                  <c:v>94.1</c:v>
                </c:pt>
                <c:pt idx="171">
                  <c:v>77</c:v>
                </c:pt>
                <c:pt idx="172">
                  <c:v>99.9</c:v>
                </c:pt>
                <c:pt idx="173">
                  <c:v>82.3</c:v>
                </c:pt>
                <c:pt idx="174">
                  <c:v>84.8</c:v>
                </c:pt>
                <c:pt idx="175">
                  <c:v>77.5</c:v>
                </c:pt>
                <c:pt idx="176">
                  <c:v>60.8</c:v>
                </c:pt>
                <c:pt idx="177">
                  <c:v>93.8</c:v>
                </c:pt>
                <c:pt idx="178">
                  <c:v>92.4</c:v>
                </c:pt>
                <c:pt idx="179">
                  <c:v>82.2</c:v>
                </c:pt>
                <c:pt idx="180">
                  <c:v>85.7</c:v>
                </c:pt>
                <c:pt idx="181">
                  <c:v>90.2</c:v>
                </c:pt>
                <c:pt idx="182">
                  <c:v>69.400000000000006</c:v>
                </c:pt>
                <c:pt idx="183">
                  <c:v>79.7</c:v>
                </c:pt>
                <c:pt idx="184">
                  <c:v>92.9</c:v>
                </c:pt>
                <c:pt idx="185">
                  <c:v>72.5</c:v>
                </c:pt>
                <c:pt idx="186">
                  <c:v>87.9</c:v>
                </c:pt>
                <c:pt idx="187">
                  <c:v>71.400000000000006</c:v>
                </c:pt>
                <c:pt idx="188">
                  <c:v>89.7</c:v>
                </c:pt>
                <c:pt idx="189">
                  <c:v>84.6</c:v>
                </c:pt>
                <c:pt idx="190">
                  <c:v>68.8</c:v>
                </c:pt>
                <c:pt idx="191">
                  <c:v>96.6</c:v>
                </c:pt>
                <c:pt idx="192">
                  <c:v>77.7</c:v>
                </c:pt>
                <c:pt idx="193">
                  <c:v>76.900000000000006</c:v>
                </c:pt>
                <c:pt idx="194">
                  <c:v>87</c:v>
                </c:pt>
                <c:pt idx="195">
                  <c:v>96.5</c:v>
                </c:pt>
                <c:pt idx="196">
                  <c:v>74.8</c:v>
                </c:pt>
                <c:pt idx="197">
                  <c:v>85.6</c:v>
                </c:pt>
                <c:pt idx="198">
                  <c:v>89.3</c:v>
                </c:pt>
                <c:pt idx="199">
                  <c:v>91.9</c:v>
                </c:pt>
                <c:pt idx="200">
                  <c:v>86.8</c:v>
                </c:pt>
                <c:pt idx="201">
                  <c:v>81.3</c:v>
                </c:pt>
                <c:pt idx="202">
                  <c:v>76.7</c:v>
                </c:pt>
                <c:pt idx="203">
                  <c:v>85.9</c:v>
                </c:pt>
                <c:pt idx="204">
                  <c:v>74.3</c:v>
                </c:pt>
                <c:pt idx="205">
                  <c:v>55.8</c:v>
                </c:pt>
                <c:pt idx="206">
                  <c:v>89.4</c:v>
                </c:pt>
                <c:pt idx="207">
                  <c:v>94</c:v>
                </c:pt>
                <c:pt idx="208">
                  <c:v>61.4</c:v>
                </c:pt>
                <c:pt idx="209">
                  <c:v>74.900000000000006</c:v>
                </c:pt>
                <c:pt idx="210">
                  <c:v>91.2</c:v>
                </c:pt>
                <c:pt idx="211">
                  <c:v>100</c:v>
                </c:pt>
                <c:pt idx="212">
                  <c:v>85.2</c:v>
                </c:pt>
                <c:pt idx="213">
                  <c:v>77.7</c:v>
                </c:pt>
                <c:pt idx="214">
                  <c:v>83.2</c:v>
                </c:pt>
                <c:pt idx="215">
                  <c:v>98.7</c:v>
                </c:pt>
                <c:pt idx="216">
                  <c:v>78.5</c:v>
                </c:pt>
                <c:pt idx="217">
                  <c:v>77</c:v>
                </c:pt>
                <c:pt idx="218">
                  <c:v>80.2</c:v>
                </c:pt>
                <c:pt idx="219">
                  <c:v>75.5</c:v>
                </c:pt>
                <c:pt idx="220">
                  <c:v>86.2</c:v>
                </c:pt>
                <c:pt idx="221">
                  <c:v>100</c:v>
                </c:pt>
                <c:pt idx="222">
                  <c:v>88.2</c:v>
                </c:pt>
                <c:pt idx="223">
                  <c:v>82.5</c:v>
                </c:pt>
                <c:pt idx="224">
                  <c:v>82.1</c:v>
                </c:pt>
                <c:pt idx="225">
                  <c:v>69.400000000000006</c:v>
                </c:pt>
                <c:pt idx="226">
                  <c:v>93.8</c:v>
                </c:pt>
                <c:pt idx="227">
                  <c:v>84.2</c:v>
                </c:pt>
                <c:pt idx="228">
                  <c:v>83.2</c:v>
                </c:pt>
                <c:pt idx="229">
                  <c:v>100</c:v>
                </c:pt>
                <c:pt idx="230">
                  <c:v>88</c:v>
                </c:pt>
                <c:pt idx="231">
                  <c:v>77.5</c:v>
                </c:pt>
                <c:pt idx="232">
                  <c:v>80.7</c:v>
                </c:pt>
                <c:pt idx="233">
                  <c:v>96.5</c:v>
                </c:pt>
                <c:pt idx="234">
                  <c:v>86.1</c:v>
                </c:pt>
                <c:pt idx="235">
                  <c:v>70.599999999999994</c:v>
                </c:pt>
                <c:pt idx="236">
                  <c:v>94.2</c:v>
                </c:pt>
                <c:pt idx="237">
                  <c:v>78.3</c:v>
                </c:pt>
                <c:pt idx="238">
                  <c:v>100</c:v>
                </c:pt>
                <c:pt idx="239">
                  <c:v>95.8</c:v>
                </c:pt>
                <c:pt idx="240">
                  <c:v>80.5</c:v>
                </c:pt>
                <c:pt idx="241">
                  <c:v>97.8</c:v>
                </c:pt>
                <c:pt idx="242">
                  <c:v>85.7</c:v>
                </c:pt>
                <c:pt idx="243">
                  <c:v>93.5</c:v>
                </c:pt>
                <c:pt idx="244">
                  <c:v>89.8</c:v>
                </c:pt>
                <c:pt idx="245">
                  <c:v>76.5</c:v>
                </c:pt>
                <c:pt idx="246">
                  <c:v>78.599999999999994</c:v>
                </c:pt>
                <c:pt idx="247">
                  <c:v>95.3</c:v>
                </c:pt>
                <c:pt idx="248">
                  <c:v>81.7</c:v>
                </c:pt>
                <c:pt idx="249">
                  <c:v>81</c:v>
                </c:pt>
                <c:pt idx="250">
                  <c:v>75.400000000000006</c:v>
                </c:pt>
                <c:pt idx="251">
                  <c:v>89.2</c:v>
                </c:pt>
                <c:pt idx="252">
                  <c:v>100</c:v>
                </c:pt>
                <c:pt idx="253">
                  <c:v>74.3</c:v>
                </c:pt>
                <c:pt idx="254">
                  <c:v>85.2</c:v>
                </c:pt>
                <c:pt idx="255">
                  <c:v>99.1</c:v>
                </c:pt>
                <c:pt idx="256">
                  <c:v>84.2</c:v>
                </c:pt>
                <c:pt idx="257">
                  <c:v>89.5</c:v>
                </c:pt>
                <c:pt idx="258">
                  <c:v>74.400000000000006</c:v>
                </c:pt>
                <c:pt idx="259">
                  <c:v>89.3</c:v>
                </c:pt>
                <c:pt idx="260">
                  <c:v>83.1</c:v>
                </c:pt>
                <c:pt idx="261">
                  <c:v>94.9</c:v>
                </c:pt>
                <c:pt idx="262">
                  <c:v>96.9</c:v>
                </c:pt>
                <c:pt idx="263">
                  <c:v>100</c:v>
                </c:pt>
                <c:pt idx="264">
                  <c:v>90.8</c:v>
                </c:pt>
                <c:pt idx="265">
                  <c:v>88.3</c:v>
                </c:pt>
                <c:pt idx="266">
                  <c:v>86.9</c:v>
                </c:pt>
                <c:pt idx="267">
                  <c:v>81.5</c:v>
                </c:pt>
                <c:pt idx="268">
                  <c:v>88.4</c:v>
                </c:pt>
                <c:pt idx="269">
                  <c:v>82</c:v>
                </c:pt>
                <c:pt idx="270">
                  <c:v>86.7</c:v>
                </c:pt>
                <c:pt idx="271">
                  <c:v>98.2</c:v>
                </c:pt>
                <c:pt idx="272">
                  <c:v>74.900000000000006</c:v>
                </c:pt>
                <c:pt idx="273">
                  <c:v>96.4</c:v>
                </c:pt>
                <c:pt idx="274">
                  <c:v>98.2</c:v>
                </c:pt>
                <c:pt idx="275">
                  <c:v>83.8</c:v>
                </c:pt>
                <c:pt idx="276">
                  <c:v>63.8</c:v>
                </c:pt>
                <c:pt idx="277">
                  <c:v>78.900000000000006</c:v>
                </c:pt>
                <c:pt idx="278">
                  <c:v>98</c:v>
                </c:pt>
                <c:pt idx="279">
                  <c:v>84.8</c:v>
                </c:pt>
                <c:pt idx="280">
                  <c:v>75</c:v>
                </c:pt>
                <c:pt idx="281">
                  <c:v>80</c:v>
                </c:pt>
                <c:pt idx="282">
                  <c:v>93.4</c:v>
                </c:pt>
                <c:pt idx="283">
                  <c:v>90.5</c:v>
                </c:pt>
                <c:pt idx="284">
                  <c:v>82.6</c:v>
                </c:pt>
                <c:pt idx="285">
                  <c:v>81.3</c:v>
                </c:pt>
                <c:pt idx="286">
                  <c:v>81.099999999999994</c:v>
                </c:pt>
                <c:pt idx="287">
                  <c:v>75.8</c:v>
                </c:pt>
                <c:pt idx="288">
                  <c:v>100</c:v>
                </c:pt>
                <c:pt idx="289">
                  <c:v>81.8</c:v>
                </c:pt>
                <c:pt idx="290">
                  <c:v>97.2</c:v>
                </c:pt>
                <c:pt idx="291">
                  <c:v>100</c:v>
                </c:pt>
                <c:pt idx="292">
                  <c:v>95</c:v>
                </c:pt>
                <c:pt idx="293">
                  <c:v>80.7</c:v>
                </c:pt>
                <c:pt idx="294">
                  <c:v>89</c:v>
                </c:pt>
                <c:pt idx="295">
                  <c:v>84.8</c:v>
                </c:pt>
                <c:pt idx="296">
                  <c:v>76</c:v>
                </c:pt>
                <c:pt idx="297">
                  <c:v>88.2</c:v>
                </c:pt>
                <c:pt idx="298">
                  <c:v>73.2</c:v>
                </c:pt>
                <c:pt idx="299">
                  <c:v>96.9</c:v>
                </c:pt>
                <c:pt idx="300">
                  <c:v>80.400000000000006</c:v>
                </c:pt>
                <c:pt idx="301">
                  <c:v>87</c:v>
                </c:pt>
                <c:pt idx="302">
                  <c:v>87.8</c:v>
                </c:pt>
                <c:pt idx="303">
                  <c:v>82.4</c:v>
                </c:pt>
                <c:pt idx="304">
                  <c:v>90.9</c:v>
                </c:pt>
                <c:pt idx="305">
                  <c:v>80.3</c:v>
                </c:pt>
                <c:pt idx="306">
                  <c:v>93.7</c:v>
                </c:pt>
                <c:pt idx="307">
                  <c:v>71.5</c:v>
                </c:pt>
                <c:pt idx="308">
                  <c:v>86.3</c:v>
                </c:pt>
                <c:pt idx="309">
                  <c:v>100</c:v>
                </c:pt>
                <c:pt idx="310">
                  <c:v>75</c:v>
                </c:pt>
                <c:pt idx="311">
                  <c:v>78.2</c:v>
                </c:pt>
                <c:pt idx="312">
                  <c:v>90.1</c:v>
                </c:pt>
                <c:pt idx="313">
                  <c:v>86.8</c:v>
                </c:pt>
                <c:pt idx="314">
                  <c:v>88.5</c:v>
                </c:pt>
                <c:pt idx="315">
                  <c:v>89.9</c:v>
                </c:pt>
                <c:pt idx="316">
                  <c:v>91.3</c:v>
                </c:pt>
                <c:pt idx="317">
                  <c:v>96.1</c:v>
                </c:pt>
                <c:pt idx="318">
                  <c:v>89.1</c:v>
                </c:pt>
                <c:pt idx="319">
                  <c:v>82.6</c:v>
                </c:pt>
                <c:pt idx="320">
                  <c:v>91.7</c:v>
                </c:pt>
                <c:pt idx="321">
                  <c:v>100</c:v>
                </c:pt>
                <c:pt idx="322">
                  <c:v>83.7</c:v>
                </c:pt>
                <c:pt idx="323">
                  <c:v>75.3</c:v>
                </c:pt>
                <c:pt idx="324">
                  <c:v>96.1</c:v>
                </c:pt>
                <c:pt idx="325">
                  <c:v>83.8</c:v>
                </c:pt>
                <c:pt idx="326">
                  <c:v>63.3</c:v>
                </c:pt>
                <c:pt idx="327">
                  <c:v>93.5</c:v>
                </c:pt>
                <c:pt idx="328">
                  <c:v>79.599999999999994</c:v>
                </c:pt>
                <c:pt idx="329">
                  <c:v>84.1</c:v>
                </c:pt>
                <c:pt idx="330">
                  <c:v>88.3</c:v>
                </c:pt>
                <c:pt idx="331">
                  <c:v>86.9</c:v>
                </c:pt>
                <c:pt idx="332">
                  <c:v>92.1</c:v>
                </c:pt>
                <c:pt idx="333">
                  <c:v>80.599999999999994</c:v>
                </c:pt>
                <c:pt idx="334">
                  <c:v>90.1</c:v>
                </c:pt>
                <c:pt idx="335">
                  <c:v>82.4</c:v>
                </c:pt>
                <c:pt idx="336">
                  <c:v>92.4</c:v>
                </c:pt>
                <c:pt idx="337">
                  <c:v>91.2</c:v>
                </c:pt>
                <c:pt idx="338">
                  <c:v>75.599999999999994</c:v>
                </c:pt>
                <c:pt idx="339">
                  <c:v>95.9</c:v>
                </c:pt>
                <c:pt idx="340">
                  <c:v>79.599999999999994</c:v>
                </c:pt>
                <c:pt idx="341">
                  <c:v>93.1</c:v>
                </c:pt>
                <c:pt idx="342">
                  <c:v>88.7</c:v>
                </c:pt>
                <c:pt idx="343">
                  <c:v>100</c:v>
                </c:pt>
                <c:pt idx="344">
                  <c:v>82.8</c:v>
                </c:pt>
                <c:pt idx="345">
                  <c:v>81.5</c:v>
                </c:pt>
                <c:pt idx="346">
                  <c:v>84.8</c:v>
                </c:pt>
                <c:pt idx="347">
                  <c:v>82</c:v>
                </c:pt>
                <c:pt idx="348">
                  <c:v>93</c:v>
                </c:pt>
                <c:pt idx="349">
                  <c:v>68.8</c:v>
                </c:pt>
                <c:pt idx="350">
                  <c:v>74.5</c:v>
                </c:pt>
                <c:pt idx="351">
                  <c:v>74.3</c:v>
                </c:pt>
                <c:pt idx="352">
                  <c:v>94.5</c:v>
                </c:pt>
                <c:pt idx="353">
                  <c:v>100</c:v>
                </c:pt>
                <c:pt idx="354">
                  <c:v>84</c:v>
                </c:pt>
                <c:pt idx="355">
                  <c:v>83.3</c:v>
                </c:pt>
                <c:pt idx="356">
                  <c:v>85.7</c:v>
                </c:pt>
                <c:pt idx="357">
                  <c:v>96.6</c:v>
                </c:pt>
                <c:pt idx="358">
                  <c:v>75.7</c:v>
                </c:pt>
                <c:pt idx="359">
                  <c:v>87.4</c:v>
                </c:pt>
                <c:pt idx="360">
                  <c:v>94.8</c:v>
                </c:pt>
                <c:pt idx="361">
                  <c:v>90</c:v>
                </c:pt>
                <c:pt idx="362">
                  <c:v>86.9</c:v>
                </c:pt>
                <c:pt idx="363">
                  <c:v>95</c:v>
                </c:pt>
                <c:pt idx="364">
                  <c:v>58</c:v>
                </c:pt>
                <c:pt idx="365">
                  <c:v>91.8</c:v>
                </c:pt>
                <c:pt idx="366">
                  <c:v>78.5</c:v>
                </c:pt>
                <c:pt idx="367">
                  <c:v>66.7</c:v>
                </c:pt>
                <c:pt idx="368">
                  <c:v>90.1</c:v>
                </c:pt>
                <c:pt idx="369">
                  <c:v>98.7</c:v>
                </c:pt>
                <c:pt idx="370">
                  <c:v>83.6</c:v>
                </c:pt>
                <c:pt idx="371">
                  <c:v>94.5</c:v>
                </c:pt>
                <c:pt idx="372">
                  <c:v>100</c:v>
                </c:pt>
                <c:pt idx="373">
                  <c:v>98.1</c:v>
                </c:pt>
                <c:pt idx="374">
                  <c:v>100</c:v>
                </c:pt>
                <c:pt idx="375">
                  <c:v>92.4</c:v>
                </c:pt>
                <c:pt idx="376">
                  <c:v>85.8</c:v>
                </c:pt>
                <c:pt idx="377">
                  <c:v>69</c:v>
                </c:pt>
                <c:pt idx="378">
                  <c:v>82.5</c:v>
                </c:pt>
                <c:pt idx="379">
                  <c:v>76.599999999999994</c:v>
                </c:pt>
                <c:pt idx="380">
                  <c:v>100</c:v>
                </c:pt>
                <c:pt idx="381">
                  <c:v>83.2</c:v>
                </c:pt>
                <c:pt idx="382">
                  <c:v>86.2</c:v>
                </c:pt>
                <c:pt idx="383">
                  <c:v>90.5</c:v>
                </c:pt>
                <c:pt idx="384">
                  <c:v>85.4</c:v>
                </c:pt>
                <c:pt idx="385">
                  <c:v>100</c:v>
                </c:pt>
                <c:pt idx="386">
                  <c:v>78.8</c:v>
                </c:pt>
                <c:pt idx="387">
                  <c:v>86.9</c:v>
                </c:pt>
                <c:pt idx="388">
                  <c:v>77.599999999999994</c:v>
                </c:pt>
                <c:pt idx="389">
                  <c:v>71.8</c:v>
                </c:pt>
                <c:pt idx="390">
                  <c:v>78.900000000000006</c:v>
                </c:pt>
                <c:pt idx="391">
                  <c:v>84.6</c:v>
                </c:pt>
                <c:pt idx="392">
                  <c:v>80.7</c:v>
                </c:pt>
                <c:pt idx="393">
                  <c:v>78.099999999999994</c:v>
                </c:pt>
                <c:pt idx="394">
                  <c:v>70.900000000000006</c:v>
                </c:pt>
                <c:pt idx="395">
                  <c:v>84.2</c:v>
                </c:pt>
                <c:pt idx="396">
                  <c:v>70</c:v>
                </c:pt>
                <c:pt idx="397">
                  <c:v>92.6</c:v>
                </c:pt>
                <c:pt idx="398">
                  <c:v>85.8</c:v>
                </c:pt>
                <c:pt idx="399">
                  <c:v>70.400000000000006</c:v>
                </c:pt>
                <c:pt idx="400">
                  <c:v>81.900000000000006</c:v>
                </c:pt>
                <c:pt idx="401">
                  <c:v>77.5</c:v>
                </c:pt>
                <c:pt idx="402">
                  <c:v>88.2</c:v>
                </c:pt>
                <c:pt idx="403">
                  <c:v>98.4</c:v>
                </c:pt>
                <c:pt idx="404">
                  <c:v>66.2</c:v>
                </c:pt>
                <c:pt idx="405">
                  <c:v>86.2</c:v>
                </c:pt>
                <c:pt idx="406">
                  <c:v>83.4</c:v>
                </c:pt>
                <c:pt idx="407">
                  <c:v>91.7</c:v>
                </c:pt>
                <c:pt idx="408">
                  <c:v>87.1</c:v>
                </c:pt>
                <c:pt idx="409">
                  <c:v>77.5</c:v>
                </c:pt>
                <c:pt idx="410">
                  <c:v>81.8</c:v>
                </c:pt>
                <c:pt idx="411">
                  <c:v>77</c:v>
                </c:pt>
                <c:pt idx="412">
                  <c:v>95.8</c:v>
                </c:pt>
                <c:pt idx="413">
                  <c:v>85.2</c:v>
                </c:pt>
                <c:pt idx="414">
                  <c:v>100</c:v>
                </c:pt>
                <c:pt idx="415">
                  <c:v>84.4</c:v>
                </c:pt>
                <c:pt idx="416">
                  <c:v>77.900000000000006</c:v>
                </c:pt>
                <c:pt idx="417">
                  <c:v>69.900000000000006</c:v>
                </c:pt>
                <c:pt idx="418">
                  <c:v>67</c:v>
                </c:pt>
                <c:pt idx="419">
                  <c:v>69.2</c:v>
                </c:pt>
                <c:pt idx="420">
                  <c:v>87.7</c:v>
                </c:pt>
                <c:pt idx="421">
                  <c:v>90.1</c:v>
                </c:pt>
                <c:pt idx="422">
                  <c:v>69.2</c:v>
                </c:pt>
                <c:pt idx="423">
                  <c:v>94</c:v>
                </c:pt>
                <c:pt idx="424">
                  <c:v>80.2</c:v>
                </c:pt>
                <c:pt idx="425">
                  <c:v>86.5</c:v>
                </c:pt>
                <c:pt idx="426">
                  <c:v>100</c:v>
                </c:pt>
                <c:pt idx="427">
                  <c:v>94</c:v>
                </c:pt>
                <c:pt idx="428">
                  <c:v>82.3</c:v>
                </c:pt>
                <c:pt idx="429">
                  <c:v>76.099999999999994</c:v>
                </c:pt>
                <c:pt idx="430">
                  <c:v>63.5</c:v>
                </c:pt>
                <c:pt idx="431">
                  <c:v>77.8</c:v>
                </c:pt>
                <c:pt idx="432">
                  <c:v>82.9</c:v>
                </c:pt>
                <c:pt idx="433">
                  <c:v>75.099999999999994</c:v>
                </c:pt>
                <c:pt idx="434">
                  <c:v>83.7</c:v>
                </c:pt>
                <c:pt idx="435">
                  <c:v>85.8</c:v>
                </c:pt>
                <c:pt idx="436">
                  <c:v>82.8</c:v>
                </c:pt>
                <c:pt idx="437">
                  <c:v>78.5</c:v>
                </c:pt>
                <c:pt idx="438">
                  <c:v>86.7</c:v>
                </c:pt>
                <c:pt idx="439">
                  <c:v>89.4</c:v>
                </c:pt>
                <c:pt idx="440">
                  <c:v>74.099999999999994</c:v>
                </c:pt>
                <c:pt idx="441">
                  <c:v>99.1</c:v>
                </c:pt>
                <c:pt idx="442">
                  <c:v>84</c:v>
                </c:pt>
                <c:pt idx="443">
                  <c:v>85.2</c:v>
                </c:pt>
                <c:pt idx="444">
                  <c:v>92.1</c:v>
                </c:pt>
                <c:pt idx="445">
                  <c:v>87.3</c:v>
                </c:pt>
                <c:pt idx="446">
                  <c:v>94.5</c:v>
                </c:pt>
                <c:pt idx="447">
                  <c:v>87.9</c:v>
                </c:pt>
                <c:pt idx="448">
                  <c:v>78.900000000000006</c:v>
                </c:pt>
                <c:pt idx="449">
                  <c:v>88.6</c:v>
                </c:pt>
                <c:pt idx="450">
                  <c:v>73.599999999999994</c:v>
                </c:pt>
                <c:pt idx="451">
                  <c:v>86.1</c:v>
                </c:pt>
                <c:pt idx="452">
                  <c:v>84.7</c:v>
                </c:pt>
                <c:pt idx="453">
                  <c:v>82.9</c:v>
                </c:pt>
                <c:pt idx="454">
                  <c:v>83.7</c:v>
                </c:pt>
                <c:pt idx="455">
                  <c:v>66.2</c:v>
                </c:pt>
                <c:pt idx="456">
                  <c:v>79.5</c:v>
                </c:pt>
                <c:pt idx="457">
                  <c:v>85.9</c:v>
                </c:pt>
                <c:pt idx="458">
                  <c:v>86.6</c:v>
                </c:pt>
                <c:pt idx="459">
                  <c:v>74.7</c:v>
                </c:pt>
                <c:pt idx="460">
                  <c:v>97.7</c:v>
                </c:pt>
                <c:pt idx="461">
                  <c:v>76.3</c:v>
                </c:pt>
                <c:pt idx="462">
                  <c:v>94.7</c:v>
                </c:pt>
                <c:pt idx="463">
                  <c:v>89.3</c:v>
                </c:pt>
                <c:pt idx="464">
                  <c:v>78.5</c:v>
                </c:pt>
                <c:pt idx="465">
                  <c:v>100</c:v>
                </c:pt>
                <c:pt idx="466">
                  <c:v>73.099999999999994</c:v>
                </c:pt>
                <c:pt idx="467">
                  <c:v>94.2</c:v>
                </c:pt>
                <c:pt idx="468">
                  <c:v>95</c:v>
                </c:pt>
                <c:pt idx="469">
                  <c:v>78.3</c:v>
                </c:pt>
                <c:pt idx="470">
                  <c:v>98.9</c:v>
                </c:pt>
                <c:pt idx="471">
                  <c:v>82.5</c:v>
                </c:pt>
                <c:pt idx="472">
                  <c:v>87.9</c:v>
                </c:pt>
                <c:pt idx="473">
                  <c:v>87.6</c:v>
                </c:pt>
                <c:pt idx="474">
                  <c:v>83.7</c:v>
                </c:pt>
                <c:pt idx="475">
                  <c:v>93.1</c:v>
                </c:pt>
                <c:pt idx="476">
                  <c:v>92.9</c:v>
                </c:pt>
                <c:pt idx="477">
                  <c:v>67.5</c:v>
                </c:pt>
                <c:pt idx="478">
                  <c:v>98</c:v>
                </c:pt>
                <c:pt idx="479">
                  <c:v>68.400000000000006</c:v>
                </c:pt>
                <c:pt idx="480">
                  <c:v>95.3</c:v>
                </c:pt>
                <c:pt idx="481">
                  <c:v>96.3</c:v>
                </c:pt>
                <c:pt idx="482">
                  <c:v>74.099999999999994</c:v>
                </c:pt>
                <c:pt idx="483">
                  <c:v>80.900000000000006</c:v>
                </c:pt>
                <c:pt idx="484">
                  <c:v>73.900000000000006</c:v>
                </c:pt>
                <c:pt idx="485">
                  <c:v>82.9</c:v>
                </c:pt>
                <c:pt idx="486">
                  <c:v>81.900000000000006</c:v>
                </c:pt>
                <c:pt idx="487">
                  <c:v>92.8</c:v>
                </c:pt>
                <c:pt idx="488">
                  <c:v>98.1</c:v>
                </c:pt>
                <c:pt idx="489">
                  <c:v>99</c:v>
                </c:pt>
                <c:pt idx="490">
                  <c:v>79.400000000000006</c:v>
                </c:pt>
                <c:pt idx="491">
                  <c:v>82.9</c:v>
                </c:pt>
                <c:pt idx="492">
                  <c:v>68.2</c:v>
                </c:pt>
                <c:pt idx="493">
                  <c:v>76.900000000000006</c:v>
                </c:pt>
                <c:pt idx="494">
                  <c:v>94.6</c:v>
                </c:pt>
                <c:pt idx="495">
                  <c:v>100</c:v>
                </c:pt>
                <c:pt idx="496">
                  <c:v>72.7</c:v>
                </c:pt>
                <c:pt idx="497">
                  <c:v>79.099999999999994</c:v>
                </c:pt>
                <c:pt idx="498">
                  <c:v>84.7</c:v>
                </c:pt>
                <c:pt idx="499">
                  <c:v>87.8</c:v>
                </c:pt>
                <c:pt idx="500">
                  <c:v>76.900000000000006</c:v>
                </c:pt>
                <c:pt idx="501">
                  <c:v>89.2</c:v>
                </c:pt>
                <c:pt idx="502">
                  <c:v>80.3</c:v>
                </c:pt>
                <c:pt idx="503">
                  <c:v>84.9</c:v>
                </c:pt>
                <c:pt idx="504">
                  <c:v>90.5</c:v>
                </c:pt>
                <c:pt idx="505">
                  <c:v>85.1</c:v>
                </c:pt>
                <c:pt idx="506">
                  <c:v>80.599999999999994</c:v>
                </c:pt>
                <c:pt idx="507">
                  <c:v>83.9</c:v>
                </c:pt>
                <c:pt idx="508">
                  <c:v>84.1</c:v>
                </c:pt>
                <c:pt idx="509">
                  <c:v>81.3</c:v>
                </c:pt>
                <c:pt idx="510">
                  <c:v>82.4</c:v>
                </c:pt>
                <c:pt idx="511">
                  <c:v>100</c:v>
                </c:pt>
                <c:pt idx="512">
                  <c:v>90.6</c:v>
                </c:pt>
                <c:pt idx="513">
                  <c:v>82</c:v>
                </c:pt>
                <c:pt idx="514">
                  <c:v>92</c:v>
                </c:pt>
                <c:pt idx="515">
                  <c:v>81.7</c:v>
                </c:pt>
                <c:pt idx="516">
                  <c:v>96.7</c:v>
                </c:pt>
                <c:pt idx="517">
                  <c:v>88.7</c:v>
                </c:pt>
                <c:pt idx="518">
                  <c:v>83.9</c:v>
                </c:pt>
                <c:pt idx="519">
                  <c:v>89.5</c:v>
                </c:pt>
                <c:pt idx="520">
                  <c:v>69.3</c:v>
                </c:pt>
                <c:pt idx="521">
                  <c:v>73.7</c:v>
                </c:pt>
                <c:pt idx="522">
                  <c:v>73.099999999999994</c:v>
                </c:pt>
                <c:pt idx="523">
                  <c:v>86.4</c:v>
                </c:pt>
                <c:pt idx="524">
                  <c:v>100</c:v>
                </c:pt>
                <c:pt idx="525">
                  <c:v>100</c:v>
                </c:pt>
                <c:pt idx="526">
                  <c:v>91.4</c:v>
                </c:pt>
                <c:pt idx="527">
                  <c:v>90</c:v>
                </c:pt>
                <c:pt idx="528">
                  <c:v>67</c:v>
                </c:pt>
                <c:pt idx="529">
                  <c:v>79.599999999999994</c:v>
                </c:pt>
                <c:pt idx="530">
                  <c:v>77.099999999999994</c:v>
                </c:pt>
                <c:pt idx="531">
                  <c:v>78.8</c:v>
                </c:pt>
                <c:pt idx="532">
                  <c:v>83.3</c:v>
                </c:pt>
                <c:pt idx="533">
                  <c:v>80.3</c:v>
                </c:pt>
                <c:pt idx="534">
                  <c:v>65.2</c:v>
                </c:pt>
                <c:pt idx="535">
                  <c:v>92.5</c:v>
                </c:pt>
                <c:pt idx="536">
                  <c:v>74.3</c:v>
                </c:pt>
                <c:pt idx="537">
                  <c:v>87.4</c:v>
                </c:pt>
                <c:pt idx="538">
                  <c:v>100</c:v>
                </c:pt>
                <c:pt idx="539">
                  <c:v>75.8</c:v>
                </c:pt>
                <c:pt idx="540">
                  <c:v>59.7</c:v>
                </c:pt>
                <c:pt idx="541">
                  <c:v>82.1</c:v>
                </c:pt>
                <c:pt idx="542">
                  <c:v>96</c:v>
                </c:pt>
                <c:pt idx="543">
                  <c:v>100</c:v>
                </c:pt>
                <c:pt idx="544">
                  <c:v>72.7</c:v>
                </c:pt>
                <c:pt idx="545">
                  <c:v>90</c:v>
                </c:pt>
                <c:pt idx="546">
                  <c:v>80.3</c:v>
                </c:pt>
                <c:pt idx="547">
                  <c:v>83.9</c:v>
                </c:pt>
                <c:pt idx="548">
                  <c:v>100</c:v>
                </c:pt>
                <c:pt idx="549">
                  <c:v>70</c:v>
                </c:pt>
                <c:pt idx="550">
                  <c:v>87.5</c:v>
                </c:pt>
                <c:pt idx="551">
                  <c:v>89.7</c:v>
                </c:pt>
                <c:pt idx="552">
                  <c:v>95.9</c:v>
                </c:pt>
                <c:pt idx="553">
                  <c:v>86</c:v>
                </c:pt>
                <c:pt idx="554">
                  <c:v>88.1</c:v>
                </c:pt>
                <c:pt idx="555">
                  <c:v>81.099999999999994</c:v>
                </c:pt>
                <c:pt idx="556">
                  <c:v>87.7</c:v>
                </c:pt>
                <c:pt idx="557">
                  <c:v>81.599999999999994</c:v>
                </c:pt>
                <c:pt idx="558">
                  <c:v>91.2</c:v>
                </c:pt>
                <c:pt idx="559">
                  <c:v>81.3</c:v>
                </c:pt>
                <c:pt idx="560">
                  <c:v>88.8</c:v>
                </c:pt>
                <c:pt idx="561">
                  <c:v>84.7</c:v>
                </c:pt>
                <c:pt idx="562">
                  <c:v>96.3</c:v>
                </c:pt>
                <c:pt idx="563">
                  <c:v>84.5</c:v>
                </c:pt>
                <c:pt idx="564">
                  <c:v>67.3</c:v>
                </c:pt>
                <c:pt idx="565">
                  <c:v>97.6</c:v>
                </c:pt>
                <c:pt idx="566">
                  <c:v>75.900000000000006</c:v>
                </c:pt>
                <c:pt idx="567">
                  <c:v>78.5</c:v>
                </c:pt>
                <c:pt idx="568">
                  <c:v>79</c:v>
                </c:pt>
                <c:pt idx="569">
                  <c:v>98.7</c:v>
                </c:pt>
                <c:pt idx="570">
                  <c:v>63.6</c:v>
                </c:pt>
                <c:pt idx="571">
                  <c:v>100</c:v>
                </c:pt>
                <c:pt idx="572">
                  <c:v>95.6</c:v>
                </c:pt>
                <c:pt idx="573">
                  <c:v>87.2</c:v>
                </c:pt>
                <c:pt idx="574">
                  <c:v>84.5</c:v>
                </c:pt>
                <c:pt idx="575">
                  <c:v>87.9</c:v>
                </c:pt>
                <c:pt idx="576">
                  <c:v>90.2</c:v>
                </c:pt>
                <c:pt idx="577">
                  <c:v>91.5</c:v>
                </c:pt>
                <c:pt idx="578">
                  <c:v>90.6</c:v>
                </c:pt>
                <c:pt idx="579">
                  <c:v>85.9</c:v>
                </c:pt>
                <c:pt idx="580">
                  <c:v>83</c:v>
                </c:pt>
                <c:pt idx="581">
                  <c:v>83.5</c:v>
                </c:pt>
                <c:pt idx="582">
                  <c:v>83.1</c:v>
                </c:pt>
                <c:pt idx="583">
                  <c:v>96.3</c:v>
                </c:pt>
                <c:pt idx="584">
                  <c:v>90.9</c:v>
                </c:pt>
                <c:pt idx="585">
                  <c:v>55.6</c:v>
                </c:pt>
                <c:pt idx="586">
                  <c:v>91.6</c:v>
                </c:pt>
                <c:pt idx="587">
                  <c:v>86.9</c:v>
                </c:pt>
                <c:pt idx="588">
                  <c:v>84.8</c:v>
                </c:pt>
                <c:pt idx="589">
                  <c:v>81.099999999999994</c:v>
                </c:pt>
                <c:pt idx="590">
                  <c:v>96.2</c:v>
                </c:pt>
                <c:pt idx="591">
                  <c:v>94.5</c:v>
                </c:pt>
                <c:pt idx="592">
                  <c:v>77.3</c:v>
                </c:pt>
                <c:pt idx="593">
                  <c:v>89.1</c:v>
                </c:pt>
                <c:pt idx="594">
                  <c:v>75.3</c:v>
                </c:pt>
                <c:pt idx="595">
                  <c:v>71.2</c:v>
                </c:pt>
                <c:pt idx="596">
                  <c:v>78.7</c:v>
                </c:pt>
                <c:pt idx="597">
                  <c:v>93.6</c:v>
                </c:pt>
                <c:pt idx="598">
                  <c:v>94.5</c:v>
                </c:pt>
                <c:pt idx="599">
                  <c:v>90.1</c:v>
                </c:pt>
                <c:pt idx="600">
                  <c:v>92.3</c:v>
                </c:pt>
                <c:pt idx="601">
                  <c:v>90.2</c:v>
                </c:pt>
                <c:pt idx="602">
                  <c:v>78.599999999999994</c:v>
                </c:pt>
                <c:pt idx="603">
                  <c:v>89.3</c:v>
                </c:pt>
                <c:pt idx="604">
                  <c:v>93</c:v>
                </c:pt>
                <c:pt idx="605">
                  <c:v>92.5</c:v>
                </c:pt>
                <c:pt idx="606">
                  <c:v>96.9</c:v>
                </c:pt>
                <c:pt idx="607">
                  <c:v>92.1</c:v>
                </c:pt>
                <c:pt idx="608">
                  <c:v>88.5</c:v>
                </c:pt>
                <c:pt idx="609">
                  <c:v>95.7</c:v>
                </c:pt>
                <c:pt idx="610">
                  <c:v>84.7</c:v>
                </c:pt>
                <c:pt idx="611">
                  <c:v>76.2</c:v>
                </c:pt>
                <c:pt idx="612">
                  <c:v>83.4</c:v>
                </c:pt>
                <c:pt idx="613">
                  <c:v>77.599999999999994</c:v>
                </c:pt>
                <c:pt idx="614">
                  <c:v>78.2</c:v>
                </c:pt>
                <c:pt idx="615">
                  <c:v>83.6</c:v>
                </c:pt>
                <c:pt idx="616">
                  <c:v>77.099999999999994</c:v>
                </c:pt>
                <c:pt idx="617">
                  <c:v>81.900000000000006</c:v>
                </c:pt>
                <c:pt idx="618">
                  <c:v>66.099999999999994</c:v>
                </c:pt>
                <c:pt idx="619">
                  <c:v>87.1</c:v>
                </c:pt>
                <c:pt idx="620">
                  <c:v>85</c:v>
                </c:pt>
                <c:pt idx="621">
                  <c:v>76.8</c:v>
                </c:pt>
                <c:pt idx="622">
                  <c:v>91.6</c:v>
                </c:pt>
                <c:pt idx="623">
                  <c:v>94.4</c:v>
                </c:pt>
                <c:pt idx="624">
                  <c:v>68.900000000000006</c:v>
                </c:pt>
                <c:pt idx="625">
                  <c:v>77.400000000000006</c:v>
                </c:pt>
                <c:pt idx="626">
                  <c:v>77.3</c:v>
                </c:pt>
                <c:pt idx="627">
                  <c:v>75.599999999999994</c:v>
                </c:pt>
                <c:pt idx="628">
                  <c:v>93.3</c:v>
                </c:pt>
                <c:pt idx="629">
                  <c:v>83.1</c:v>
                </c:pt>
                <c:pt idx="630">
                  <c:v>82.4</c:v>
                </c:pt>
                <c:pt idx="631">
                  <c:v>65</c:v>
                </c:pt>
                <c:pt idx="632">
                  <c:v>91.4</c:v>
                </c:pt>
                <c:pt idx="633">
                  <c:v>72.599999999999994</c:v>
                </c:pt>
                <c:pt idx="634">
                  <c:v>85.6</c:v>
                </c:pt>
                <c:pt idx="635">
                  <c:v>87.8</c:v>
                </c:pt>
                <c:pt idx="636">
                  <c:v>98.6</c:v>
                </c:pt>
                <c:pt idx="637">
                  <c:v>71.900000000000006</c:v>
                </c:pt>
                <c:pt idx="638">
                  <c:v>54.8</c:v>
                </c:pt>
                <c:pt idx="639">
                  <c:v>86.8</c:v>
                </c:pt>
                <c:pt idx="640">
                  <c:v>100</c:v>
                </c:pt>
                <c:pt idx="641">
                  <c:v>97.4</c:v>
                </c:pt>
                <c:pt idx="642">
                  <c:v>87.1</c:v>
                </c:pt>
                <c:pt idx="643">
                  <c:v>80.099999999999994</c:v>
                </c:pt>
                <c:pt idx="644">
                  <c:v>93.1</c:v>
                </c:pt>
                <c:pt idx="645">
                  <c:v>75.3</c:v>
                </c:pt>
                <c:pt idx="646">
                  <c:v>89.8</c:v>
                </c:pt>
                <c:pt idx="647">
                  <c:v>90.1</c:v>
                </c:pt>
                <c:pt idx="648">
                  <c:v>95.6</c:v>
                </c:pt>
                <c:pt idx="649">
                  <c:v>100</c:v>
                </c:pt>
                <c:pt idx="650">
                  <c:v>88.9</c:v>
                </c:pt>
                <c:pt idx="651">
                  <c:v>79.900000000000006</c:v>
                </c:pt>
                <c:pt idx="652">
                  <c:v>84.7</c:v>
                </c:pt>
                <c:pt idx="653">
                  <c:v>67.3</c:v>
                </c:pt>
                <c:pt idx="654">
                  <c:v>78.099999999999994</c:v>
                </c:pt>
                <c:pt idx="655">
                  <c:v>80.900000000000006</c:v>
                </c:pt>
                <c:pt idx="656">
                  <c:v>79.8</c:v>
                </c:pt>
                <c:pt idx="657">
                  <c:v>86.5</c:v>
                </c:pt>
                <c:pt idx="658">
                  <c:v>76.8</c:v>
                </c:pt>
                <c:pt idx="659">
                  <c:v>96.2</c:v>
                </c:pt>
                <c:pt idx="660">
                  <c:v>85</c:v>
                </c:pt>
                <c:pt idx="661">
                  <c:v>84.9</c:v>
                </c:pt>
                <c:pt idx="662">
                  <c:v>81.7</c:v>
                </c:pt>
                <c:pt idx="663">
                  <c:v>86.6</c:v>
                </c:pt>
                <c:pt idx="664">
                  <c:v>93.3</c:v>
                </c:pt>
                <c:pt idx="665">
                  <c:v>76.3</c:v>
                </c:pt>
                <c:pt idx="666">
                  <c:v>78.400000000000006</c:v>
                </c:pt>
                <c:pt idx="667">
                  <c:v>82</c:v>
                </c:pt>
                <c:pt idx="668">
                  <c:v>71.5</c:v>
                </c:pt>
                <c:pt idx="669">
                  <c:v>76.8</c:v>
                </c:pt>
                <c:pt idx="670">
                  <c:v>80.2</c:v>
                </c:pt>
                <c:pt idx="671">
                  <c:v>93.7</c:v>
                </c:pt>
                <c:pt idx="672">
                  <c:v>87.6</c:v>
                </c:pt>
                <c:pt idx="673">
                  <c:v>86.9</c:v>
                </c:pt>
                <c:pt idx="674">
                  <c:v>93.5</c:v>
                </c:pt>
                <c:pt idx="675">
                  <c:v>83.6</c:v>
                </c:pt>
                <c:pt idx="676">
                  <c:v>88.9</c:v>
                </c:pt>
                <c:pt idx="677">
                  <c:v>84</c:v>
                </c:pt>
                <c:pt idx="678">
                  <c:v>87.7</c:v>
                </c:pt>
                <c:pt idx="679">
                  <c:v>79.2</c:v>
                </c:pt>
                <c:pt idx="680">
                  <c:v>60.6</c:v>
                </c:pt>
                <c:pt idx="681">
                  <c:v>83.7</c:v>
                </c:pt>
                <c:pt idx="682">
                  <c:v>99.2</c:v>
                </c:pt>
                <c:pt idx="683">
                  <c:v>94.3</c:v>
                </c:pt>
                <c:pt idx="684">
                  <c:v>94.7</c:v>
                </c:pt>
                <c:pt idx="685">
                  <c:v>97.4</c:v>
                </c:pt>
                <c:pt idx="686">
                  <c:v>85.9</c:v>
                </c:pt>
                <c:pt idx="687">
                  <c:v>87</c:v>
                </c:pt>
                <c:pt idx="688">
                  <c:v>78.8</c:v>
                </c:pt>
                <c:pt idx="689">
                  <c:v>81.8</c:v>
                </c:pt>
                <c:pt idx="690">
                  <c:v>91.2</c:v>
                </c:pt>
                <c:pt idx="691">
                  <c:v>97</c:v>
                </c:pt>
                <c:pt idx="692">
                  <c:v>83.6</c:v>
                </c:pt>
                <c:pt idx="693">
                  <c:v>80.5</c:v>
                </c:pt>
                <c:pt idx="694">
                  <c:v>85</c:v>
                </c:pt>
                <c:pt idx="695">
                  <c:v>91</c:v>
                </c:pt>
                <c:pt idx="696">
                  <c:v>70.599999999999994</c:v>
                </c:pt>
                <c:pt idx="697">
                  <c:v>62</c:v>
                </c:pt>
                <c:pt idx="698">
                  <c:v>79.5</c:v>
                </c:pt>
                <c:pt idx="699">
                  <c:v>72.8</c:v>
                </c:pt>
                <c:pt idx="700">
                  <c:v>79.900000000000006</c:v>
                </c:pt>
                <c:pt idx="701">
                  <c:v>83.5</c:v>
                </c:pt>
                <c:pt idx="702">
                  <c:v>80.5</c:v>
                </c:pt>
                <c:pt idx="703">
                  <c:v>99.5</c:v>
                </c:pt>
                <c:pt idx="704">
                  <c:v>88.3</c:v>
                </c:pt>
                <c:pt idx="705">
                  <c:v>88</c:v>
                </c:pt>
                <c:pt idx="706">
                  <c:v>91.2</c:v>
                </c:pt>
                <c:pt idx="707">
                  <c:v>73.599999999999994</c:v>
                </c:pt>
                <c:pt idx="708">
                  <c:v>95.4</c:v>
                </c:pt>
                <c:pt idx="709">
                  <c:v>84.2</c:v>
                </c:pt>
                <c:pt idx="710">
                  <c:v>91.7</c:v>
                </c:pt>
                <c:pt idx="711">
                  <c:v>74.3</c:v>
                </c:pt>
                <c:pt idx="712">
                  <c:v>69.5</c:v>
                </c:pt>
                <c:pt idx="713">
                  <c:v>93.2</c:v>
                </c:pt>
                <c:pt idx="714">
                  <c:v>88.8</c:v>
                </c:pt>
                <c:pt idx="715">
                  <c:v>76</c:v>
                </c:pt>
                <c:pt idx="716">
                  <c:v>76.3</c:v>
                </c:pt>
                <c:pt idx="717">
                  <c:v>96.3</c:v>
                </c:pt>
                <c:pt idx="718">
                  <c:v>73.099999999999994</c:v>
                </c:pt>
                <c:pt idx="719">
                  <c:v>100</c:v>
                </c:pt>
                <c:pt idx="720">
                  <c:v>76</c:v>
                </c:pt>
                <c:pt idx="721">
                  <c:v>91.4</c:v>
                </c:pt>
                <c:pt idx="722">
                  <c:v>81.7</c:v>
                </c:pt>
                <c:pt idx="723">
                  <c:v>91</c:v>
                </c:pt>
                <c:pt idx="724">
                  <c:v>79.599999999999994</c:v>
                </c:pt>
                <c:pt idx="725">
                  <c:v>83.4</c:v>
                </c:pt>
                <c:pt idx="726">
                  <c:v>85.4</c:v>
                </c:pt>
                <c:pt idx="727">
                  <c:v>75</c:v>
                </c:pt>
                <c:pt idx="728">
                  <c:v>92.4</c:v>
                </c:pt>
                <c:pt idx="729">
                  <c:v>79.900000000000006</c:v>
                </c:pt>
                <c:pt idx="730">
                  <c:v>82.7</c:v>
                </c:pt>
                <c:pt idx="731">
                  <c:v>75.099999999999994</c:v>
                </c:pt>
                <c:pt idx="732">
                  <c:v>59.4</c:v>
                </c:pt>
                <c:pt idx="733">
                  <c:v>83.1</c:v>
                </c:pt>
                <c:pt idx="734">
                  <c:v>100</c:v>
                </c:pt>
                <c:pt idx="735">
                  <c:v>92.8</c:v>
                </c:pt>
                <c:pt idx="736">
                  <c:v>84.8</c:v>
                </c:pt>
                <c:pt idx="737">
                  <c:v>82.4</c:v>
                </c:pt>
                <c:pt idx="738">
                  <c:v>85.2</c:v>
                </c:pt>
                <c:pt idx="739">
                  <c:v>90.5</c:v>
                </c:pt>
                <c:pt idx="740">
                  <c:v>73.2</c:v>
                </c:pt>
                <c:pt idx="741">
                  <c:v>96.1</c:v>
                </c:pt>
                <c:pt idx="742">
                  <c:v>92.2</c:v>
                </c:pt>
                <c:pt idx="743">
                  <c:v>92.2</c:v>
                </c:pt>
                <c:pt idx="744">
                  <c:v>89.4</c:v>
                </c:pt>
                <c:pt idx="745">
                  <c:v>85.2</c:v>
                </c:pt>
                <c:pt idx="746">
                  <c:v>91.7</c:v>
                </c:pt>
                <c:pt idx="747">
                  <c:v>90.9</c:v>
                </c:pt>
                <c:pt idx="748">
                  <c:v>81.5</c:v>
                </c:pt>
                <c:pt idx="749">
                  <c:v>79.3</c:v>
                </c:pt>
                <c:pt idx="750">
                  <c:v>86</c:v>
                </c:pt>
                <c:pt idx="751">
                  <c:v>100</c:v>
                </c:pt>
                <c:pt idx="752">
                  <c:v>72.599999999999994</c:v>
                </c:pt>
                <c:pt idx="753">
                  <c:v>70.3</c:v>
                </c:pt>
                <c:pt idx="754">
                  <c:v>86.6</c:v>
                </c:pt>
                <c:pt idx="755">
                  <c:v>85.5</c:v>
                </c:pt>
                <c:pt idx="756">
                  <c:v>86.7</c:v>
                </c:pt>
                <c:pt idx="757">
                  <c:v>87.4</c:v>
                </c:pt>
                <c:pt idx="758">
                  <c:v>82.8</c:v>
                </c:pt>
                <c:pt idx="759">
                  <c:v>99.9</c:v>
                </c:pt>
                <c:pt idx="760">
                  <c:v>69</c:v>
                </c:pt>
                <c:pt idx="761">
                  <c:v>76.7</c:v>
                </c:pt>
                <c:pt idx="762">
                  <c:v>84</c:v>
                </c:pt>
                <c:pt idx="763">
                  <c:v>68.599999999999994</c:v>
                </c:pt>
                <c:pt idx="764">
                  <c:v>83.2</c:v>
                </c:pt>
                <c:pt idx="765">
                  <c:v>100</c:v>
                </c:pt>
                <c:pt idx="766">
                  <c:v>85.2</c:v>
                </c:pt>
                <c:pt idx="767">
                  <c:v>87.3</c:v>
                </c:pt>
                <c:pt idx="768">
                  <c:v>72.400000000000006</c:v>
                </c:pt>
                <c:pt idx="769">
                  <c:v>78.8</c:v>
                </c:pt>
                <c:pt idx="770">
                  <c:v>81.2</c:v>
                </c:pt>
                <c:pt idx="771">
                  <c:v>81.8</c:v>
                </c:pt>
                <c:pt idx="772">
                  <c:v>97.8</c:v>
                </c:pt>
                <c:pt idx="773">
                  <c:v>90.6</c:v>
                </c:pt>
                <c:pt idx="774">
                  <c:v>73.900000000000006</c:v>
                </c:pt>
                <c:pt idx="775">
                  <c:v>87.5</c:v>
                </c:pt>
                <c:pt idx="776">
                  <c:v>90</c:v>
                </c:pt>
                <c:pt idx="777">
                  <c:v>96.4</c:v>
                </c:pt>
                <c:pt idx="778">
                  <c:v>100</c:v>
                </c:pt>
                <c:pt idx="779">
                  <c:v>74.8</c:v>
                </c:pt>
                <c:pt idx="780">
                  <c:v>76.900000000000006</c:v>
                </c:pt>
                <c:pt idx="781">
                  <c:v>72.400000000000006</c:v>
                </c:pt>
                <c:pt idx="782">
                  <c:v>82.7</c:v>
                </c:pt>
                <c:pt idx="783">
                  <c:v>89.7</c:v>
                </c:pt>
                <c:pt idx="784">
                  <c:v>94.9</c:v>
                </c:pt>
                <c:pt idx="785">
                  <c:v>84.2</c:v>
                </c:pt>
                <c:pt idx="786">
                  <c:v>81.8</c:v>
                </c:pt>
                <c:pt idx="787">
                  <c:v>86.5</c:v>
                </c:pt>
                <c:pt idx="788">
                  <c:v>76.599999999999994</c:v>
                </c:pt>
                <c:pt idx="789">
                  <c:v>100</c:v>
                </c:pt>
                <c:pt idx="790">
                  <c:v>68.900000000000006</c:v>
                </c:pt>
                <c:pt idx="791">
                  <c:v>86.8</c:v>
                </c:pt>
                <c:pt idx="792">
                  <c:v>100</c:v>
                </c:pt>
                <c:pt idx="793">
                  <c:v>85.1</c:v>
                </c:pt>
                <c:pt idx="794">
                  <c:v>83.1</c:v>
                </c:pt>
                <c:pt idx="795">
                  <c:v>81.400000000000006</c:v>
                </c:pt>
                <c:pt idx="796">
                  <c:v>83.2</c:v>
                </c:pt>
                <c:pt idx="797">
                  <c:v>98.7</c:v>
                </c:pt>
                <c:pt idx="798">
                  <c:v>62.9</c:v>
                </c:pt>
                <c:pt idx="799">
                  <c:v>100</c:v>
                </c:pt>
                <c:pt idx="800">
                  <c:v>70.8</c:v>
                </c:pt>
                <c:pt idx="801">
                  <c:v>82.3</c:v>
                </c:pt>
                <c:pt idx="802">
                  <c:v>80.7</c:v>
                </c:pt>
                <c:pt idx="803">
                  <c:v>90.9</c:v>
                </c:pt>
                <c:pt idx="804">
                  <c:v>69</c:v>
                </c:pt>
                <c:pt idx="805">
                  <c:v>89.6</c:v>
                </c:pt>
                <c:pt idx="806">
                  <c:v>100</c:v>
                </c:pt>
                <c:pt idx="807">
                  <c:v>71.400000000000006</c:v>
                </c:pt>
                <c:pt idx="808">
                  <c:v>86.9</c:v>
                </c:pt>
                <c:pt idx="809">
                  <c:v>78.400000000000006</c:v>
                </c:pt>
                <c:pt idx="810">
                  <c:v>89.3</c:v>
                </c:pt>
                <c:pt idx="811">
                  <c:v>85.2</c:v>
                </c:pt>
                <c:pt idx="812">
                  <c:v>78.599999999999994</c:v>
                </c:pt>
                <c:pt idx="813">
                  <c:v>89.9</c:v>
                </c:pt>
                <c:pt idx="814">
                  <c:v>100</c:v>
                </c:pt>
                <c:pt idx="815">
                  <c:v>83.1</c:v>
                </c:pt>
                <c:pt idx="816">
                  <c:v>92.2</c:v>
                </c:pt>
                <c:pt idx="817">
                  <c:v>72.099999999999994</c:v>
                </c:pt>
                <c:pt idx="818">
                  <c:v>75.400000000000006</c:v>
                </c:pt>
                <c:pt idx="819">
                  <c:v>89.7</c:v>
                </c:pt>
                <c:pt idx="820">
                  <c:v>99.8</c:v>
                </c:pt>
                <c:pt idx="821">
                  <c:v>88.6</c:v>
                </c:pt>
                <c:pt idx="822">
                  <c:v>81.900000000000006</c:v>
                </c:pt>
                <c:pt idx="823">
                  <c:v>85</c:v>
                </c:pt>
                <c:pt idx="824">
                  <c:v>72.5</c:v>
                </c:pt>
                <c:pt idx="825">
                  <c:v>91</c:v>
                </c:pt>
                <c:pt idx="826">
                  <c:v>93.8</c:v>
                </c:pt>
                <c:pt idx="827">
                  <c:v>80.5</c:v>
                </c:pt>
                <c:pt idx="828">
                  <c:v>80.3</c:v>
                </c:pt>
                <c:pt idx="829">
                  <c:v>87.7</c:v>
                </c:pt>
                <c:pt idx="830">
                  <c:v>80.599999999999994</c:v>
                </c:pt>
                <c:pt idx="831">
                  <c:v>84.3</c:v>
                </c:pt>
                <c:pt idx="832">
                  <c:v>100</c:v>
                </c:pt>
                <c:pt idx="833">
                  <c:v>82.5</c:v>
                </c:pt>
                <c:pt idx="834">
                  <c:v>81.400000000000006</c:v>
                </c:pt>
                <c:pt idx="835">
                  <c:v>78.5</c:v>
                </c:pt>
                <c:pt idx="836">
                  <c:v>92.4</c:v>
                </c:pt>
                <c:pt idx="837">
                  <c:v>83.2</c:v>
                </c:pt>
                <c:pt idx="838">
                  <c:v>78.5</c:v>
                </c:pt>
                <c:pt idx="839">
                  <c:v>98.2</c:v>
                </c:pt>
                <c:pt idx="840">
                  <c:v>99.2</c:v>
                </c:pt>
                <c:pt idx="841">
                  <c:v>79</c:v>
                </c:pt>
                <c:pt idx="842">
                  <c:v>66.3</c:v>
                </c:pt>
                <c:pt idx="843">
                  <c:v>95.1</c:v>
                </c:pt>
                <c:pt idx="844">
                  <c:v>78.2</c:v>
                </c:pt>
                <c:pt idx="845">
                  <c:v>92.9</c:v>
                </c:pt>
                <c:pt idx="846">
                  <c:v>65.3</c:v>
                </c:pt>
                <c:pt idx="847">
                  <c:v>93.9</c:v>
                </c:pt>
                <c:pt idx="848">
                  <c:v>72.900000000000006</c:v>
                </c:pt>
                <c:pt idx="849">
                  <c:v>92.3</c:v>
                </c:pt>
                <c:pt idx="850">
                  <c:v>85.1</c:v>
                </c:pt>
                <c:pt idx="851">
                  <c:v>75.5</c:v>
                </c:pt>
                <c:pt idx="852">
                  <c:v>80.900000000000006</c:v>
                </c:pt>
                <c:pt idx="853">
                  <c:v>91.9</c:v>
                </c:pt>
                <c:pt idx="854">
                  <c:v>86.1</c:v>
                </c:pt>
                <c:pt idx="855">
                  <c:v>90.8</c:v>
                </c:pt>
                <c:pt idx="856">
                  <c:v>100</c:v>
                </c:pt>
                <c:pt idx="857">
                  <c:v>69.400000000000006</c:v>
                </c:pt>
                <c:pt idx="858">
                  <c:v>100</c:v>
                </c:pt>
                <c:pt idx="859">
                  <c:v>86</c:v>
                </c:pt>
                <c:pt idx="860">
                  <c:v>76</c:v>
                </c:pt>
                <c:pt idx="861">
                  <c:v>71.7</c:v>
                </c:pt>
                <c:pt idx="862">
                  <c:v>83.1</c:v>
                </c:pt>
                <c:pt idx="863">
                  <c:v>94.2</c:v>
                </c:pt>
                <c:pt idx="864">
                  <c:v>83.7</c:v>
                </c:pt>
                <c:pt idx="865">
                  <c:v>100</c:v>
                </c:pt>
                <c:pt idx="866">
                  <c:v>70.5</c:v>
                </c:pt>
                <c:pt idx="867">
                  <c:v>84.9</c:v>
                </c:pt>
                <c:pt idx="868">
                  <c:v>72.5</c:v>
                </c:pt>
                <c:pt idx="869">
                  <c:v>88.6</c:v>
                </c:pt>
                <c:pt idx="870">
                  <c:v>93.9</c:v>
                </c:pt>
                <c:pt idx="871">
                  <c:v>80.8</c:v>
                </c:pt>
                <c:pt idx="872">
                  <c:v>59</c:v>
                </c:pt>
                <c:pt idx="873">
                  <c:v>87</c:v>
                </c:pt>
                <c:pt idx="874">
                  <c:v>89.4</c:v>
                </c:pt>
                <c:pt idx="875">
                  <c:v>89</c:v>
                </c:pt>
                <c:pt idx="876">
                  <c:v>97.4</c:v>
                </c:pt>
                <c:pt idx="877">
                  <c:v>74.3</c:v>
                </c:pt>
                <c:pt idx="878">
                  <c:v>91.8</c:v>
                </c:pt>
                <c:pt idx="879">
                  <c:v>96.9</c:v>
                </c:pt>
                <c:pt idx="880">
                  <c:v>67.2</c:v>
                </c:pt>
                <c:pt idx="881">
                  <c:v>88.2</c:v>
                </c:pt>
                <c:pt idx="882">
                  <c:v>80</c:v>
                </c:pt>
                <c:pt idx="883">
                  <c:v>84.2</c:v>
                </c:pt>
                <c:pt idx="884">
                  <c:v>88.5</c:v>
                </c:pt>
                <c:pt idx="885">
                  <c:v>80.099999999999994</c:v>
                </c:pt>
                <c:pt idx="886">
                  <c:v>78.2</c:v>
                </c:pt>
                <c:pt idx="887">
                  <c:v>85.3</c:v>
                </c:pt>
                <c:pt idx="888">
                  <c:v>74.099999999999994</c:v>
                </c:pt>
                <c:pt idx="889">
                  <c:v>74.099999999999994</c:v>
                </c:pt>
                <c:pt idx="890">
                  <c:v>91.8</c:v>
                </c:pt>
                <c:pt idx="891">
                  <c:v>73.5</c:v>
                </c:pt>
                <c:pt idx="892">
                  <c:v>91.7</c:v>
                </c:pt>
                <c:pt idx="893">
                  <c:v>89.6</c:v>
                </c:pt>
                <c:pt idx="894">
                  <c:v>67.7</c:v>
                </c:pt>
                <c:pt idx="895">
                  <c:v>78.2</c:v>
                </c:pt>
                <c:pt idx="896">
                  <c:v>96.9</c:v>
                </c:pt>
                <c:pt idx="897">
                  <c:v>75.2</c:v>
                </c:pt>
                <c:pt idx="898">
                  <c:v>80.400000000000006</c:v>
                </c:pt>
                <c:pt idx="899">
                  <c:v>89.6</c:v>
                </c:pt>
                <c:pt idx="900">
                  <c:v>92.8</c:v>
                </c:pt>
                <c:pt idx="901">
                  <c:v>82.5</c:v>
                </c:pt>
                <c:pt idx="902">
                  <c:v>79</c:v>
                </c:pt>
                <c:pt idx="903">
                  <c:v>99.2</c:v>
                </c:pt>
                <c:pt idx="904">
                  <c:v>100</c:v>
                </c:pt>
                <c:pt idx="905">
                  <c:v>94.8</c:v>
                </c:pt>
                <c:pt idx="906">
                  <c:v>85.9</c:v>
                </c:pt>
                <c:pt idx="907">
                  <c:v>76.900000000000006</c:v>
                </c:pt>
                <c:pt idx="908">
                  <c:v>76.7</c:v>
                </c:pt>
                <c:pt idx="909">
                  <c:v>90.2</c:v>
                </c:pt>
                <c:pt idx="910">
                  <c:v>89.2</c:v>
                </c:pt>
                <c:pt idx="911">
                  <c:v>99</c:v>
                </c:pt>
                <c:pt idx="912">
                  <c:v>91.5</c:v>
                </c:pt>
                <c:pt idx="913">
                  <c:v>70</c:v>
                </c:pt>
                <c:pt idx="914">
                  <c:v>95.5</c:v>
                </c:pt>
                <c:pt idx="915">
                  <c:v>75</c:v>
                </c:pt>
                <c:pt idx="916">
                  <c:v>81.2</c:v>
                </c:pt>
                <c:pt idx="917">
                  <c:v>87.5</c:v>
                </c:pt>
                <c:pt idx="918">
                  <c:v>100</c:v>
                </c:pt>
                <c:pt idx="919">
                  <c:v>100</c:v>
                </c:pt>
                <c:pt idx="920">
                  <c:v>91.1</c:v>
                </c:pt>
                <c:pt idx="921">
                  <c:v>83.2</c:v>
                </c:pt>
                <c:pt idx="922">
                  <c:v>90.3</c:v>
                </c:pt>
                <c:pt idx="923">
                  <c:v>93.9</c:v>
                </c:pt>
                <c:pt idx="924">
                  <c:v>81.8</c:v>
                </c:pt>
                <c:pt idx="925">
                  <c:v>100</c:v>
                </c:pt>
                <c:pt idx="926">
                  <c:v>87.3</c:v>
                </c:pt>
                <c:pt idx="927">
                  <c:v>90</c:v>
                </c:pt>
                <c:pt idx="928">
                  <c:v>91.7</c:v>
                </c:pt>
                <c:pt idx="929">
                  <c:v>89.2</c:v>
                </c:pt>
                <c:pt idx="930">
                  <c:v>93.4</c:v>
                </c:pt>
                <c:pt idx="931">
                  <c:v>78.8</c:v>
                </c:pt>
                <c:pt idx="932">
                  <c:v>79.400000000000006</c:v>
                </c:pt>
                <c:pt idx="933">
                  <c:v>74</c:v>
                </c:pt>
                <c:pt idx="934">
                  <c:v>89.4</c:v>
                </c:pt>
                <c:pt idx="935">
                  <c:v>92.8</c:v>
                </c:pt>
                <c:pt idx="936">
                  <c:v>89.6</c:v>
                </c:pt>
                <c:pt idx="937">
                  <c:v>100</c:v>
                </c:pt>
                <c:pt idx="938">
                  <c:v>84.9</c:v>
                </c:pt>
                <c:pt idx="939">
                  <c:v>91.7</c:v>
                </c:pt>
                <c:pt idx="940">
                  <c:v>74.099999999999994</c:v>
                </c:pt>
                <c:pt idx="941">
                  <c:v>81.099999999999994</c:v>
                </c:pt>
                <c:pt idx="942">
                  <c:v>92</c:v>
                </c:pt>
                <c:pt idx="943">
                  <c:v>93.5</c:v>
                </c:pt>
                <c:pt idx="944">
                  <c:v>82.1</c:v>
                </c:pt>
                <c:pt idx="945">
                  <c:v>84.3</c:v>
                </c:pt>
                <c:pt idx="946">
                  <c:v>69.8</c:v>
                </c:pt>
                <c:pt idx="947">
                  <c:v>81.400000000000006</c:v>
                </c:pt>
                <c:pt idx="948">
                  <c:v>93.9</c:v>
                </c:pt>
                <c:pt idx="949">
                  <c:v>90.8</c:v>
                </c:pt>
                <c:pt idx="950">
                  <c:v>90</c:v>
                </c:pt>
                <c:pt idx="951">
                  <c:v>85.5</c:v>
                </c:pt>
                <c:pt idx="952">
                  <c:v>85.1</c:v>
                </c:pt>
                <c:pt idx="953">
                  <c:v>78.400000000000006</c:v>
                </c:pt>
                <c:pt idx="954">
                  <c:v>92</c:v>
                </c:pt>
                <c:pt idx="955">
                  <c:v>89.2</c:v>
                </c:pt>
                <c:pt idx="956">
                  <c:v>89.9</c:v>
                </c:pt>
                <c:pt idx="957">
                  <c:v>79.7</c:v>
                </c:pt>
                <c:pt idx="958">
                  <c:v>63.5</c:v>
                </c:pt>
                <c:pt idx="959">
                  <c:v>96</c:v>
                </c:pt>
                <c:pt idx="960">
                  <c:v>80.2</c:v>
                </c:pt>
                <c:pt idx="961">
                  <c:v>76.400000000000006</c:v>
                </c:pt>
                <c:pt idx="962">
                  <c:v>91.9</c:v>
                </c:pt>
                <c:pt idx="963">
                  <c:v>81.099999999999994</c:v>
                </c:pt>
                <c:pt idx="964">
                  <c:v>95.6</c:v>
                </c:pt>
                <c:pt idx="965">
                  <c:v>91.2</c:v>
                </c:pt>
                <c:pt idx="966">
                  <c:v>91.8</c:v>
                </c:pt>
                <c:pt idx="967">
                  <c:v>71.3</c:v>
                </c:pt>
                <c:pt idx="968">
                  <c:v>97.1</c:v>
                </c:pt>
                <c:pt idx="969">
                  <c:v>87.6</c:v>
                </c:pt>
                <c:pt idx="970">
                  <c:v>81.3</c:v>
                </c:pt>
                <c:pt idx="971">
                  <c:v>86.4</c:v>
                </c:pt>
                <c:pt idx="972">
                  <c:v>67.2</c:v>
                </c:pt>
                <c:pt idx="973">
                  <c:v>89.1</c:v>
                </c:pt>
                <c:pt idx="974">
                  <c:v>74.7</c:v>
                </c:pt>
                <c:pt idx="975">
                  <c:v>71.5</c:v>
                </c:pt>
                <c:pt idx="976">
                  <c:v>69.8</c:v>
                </c:pt>
                <c:pt idx="977">
                  <c:v>96.1</c:v>
                </c:pt>
                <c:pt idx="978">
                  <c:v>78.7</c:v>
                </c:pt>
                <c:pt idx="979">
                  <c:v>100</c:v>
                </c:pt>
                <c:pt idx="980">
                  <c:v>79.599999999999994</c:v>
                </c:pt>
                <c:pt idx="981">
                  <c:v>67.900000000000006</c:v>
                </c:pt>
                <c:pt idx="982">
                  <c:v>73.8</c:v>
                </c:pt>
                <c:pt idx="983">
                  <c:v>97.4</c:v>
                </c:pt>
                <c:pt idx="984">
                  <c:v>83.4</c:v>
                </c:pt>
                <c:pt idx="985">
                  <c:v>79.5</c:v>
                </c:pt>
                <c:pt idx="986">
                  <c:v>86.6</c:v>
                </c:pt>
                <c:pt idx="987">
                  <c:v>90</c:v>
                </c:pt>
                <c:pt idx="988">
                  <c:v>96.2</c:v>
                </c:pt>
                <c:pt idx="989">
                  <c:v>99.5</c:v>
                </c:pt>
                <c:pt idx="990">
                  <c:v>81.400000000000006</c:v>
                </c:pt>
                <c:pt idx="991">
                  <c:v>71.7</c:v>
                </c:pt>
                <c:pt idx="992">
                  <c:v>80.900000000000006</c:v>
                </c:pt>
                <c:pt idx="993">
                  <c:v>87.6</c:v>
                </c:pt>
                <c:pt idx="994">
                  <c:v>75.400000000000006</c:v>
                </c:pt>
                <c:pt idx="995">
                  <c:v>75.400000000000006</c:v>
                </c:pt>
                <c:pt idx="996">
                  <c:v>88.4</c:v>
                </c:pt>
                <c:pt idx="997">
                  <c:v>84.5</c:v>
                </c:pt>
                <c:pt idx="998">
                  <c:v>85.3</c:v>
                </c:pt>
                <c:pt idx="999">
                  <c:v>77.400000000000006</c:v>
                </c:pt>
              </c:numCache>
            </c:numRef>
          </c:xVal>
          <c:yVal>
            <c:numRef>
              <c:f>'03_Clean_Data_Analysis'!$K$2:$K$1001</c:f>
              <c:numCache>
                <c:formatCode>General</c:formatCode>
                <c:ptCount val="1000"/>
                <c:pt idx="0">
                  <c:v>100</c:v>
                </c:pt>
                <c:pt idx="1">
                  <c:v>100</c:v>
                </c:pt>
                <c:pt idx="2">
                  <c:v>97.3</c:v>
                </c:pt>
                <c:pt idx="3">
                  <c:v>83.8</c:v>
                </c:pt>
                <c:pt idx="4">
                  <c:v>68.3</c:v>
                </c:pt>
                <c:pt idx="5">
                  <c:v>81.599999999999994</c:v>
                </c:pt>
                <c:pt idx="6">
                  <c:v>69.599999999999994</c:v>
                </c:pt>
                <c:pt idx="7">
                  <c:v>88</c:v>
                </c:pt>
                <c:pt idx="8">
                  <c:v>84.4</c:v>
                </c:pt>
                <c:pt idx="9">
                  <c:v>74.3</c:v>
                </c:pt>
                <c:pt idx="10">
                  <c:v>68.900000000000006</c:v>
                </c:pt>
                <c:pt idx="11">
                  <c:v>76.7</c:v>
                </c:pt>
                <c:pt idx="12">
                  <c:v>82.6</c:v>
                </c:pt>
                <c:pt idx="13">
                  <c:v>93.3</c:v>
                </c:pt>
                <c:pt idx="14">
                  <c:v>73.900000000000006</c:v>
                </c:pt>
                <c:pt idx="15">
                  <c:v>84.8</c:v>
                </c:pt>
                <c:pt idx="16">
                  <c:v>81.5</c:v>
                </c:pt>
                <c:pt idx="17">
                  <c:v>75.5</c:v>
                </c:pt>
                <c:pt idx="18">
                  <c:v>89.7</c:v>
                </c:pt>
                <c:pt idx="19">
                  <c:v>92.8</c:v>
                </c:pt>
                <c:pt idx="20">
                  <c:v>73.5</c:v>
                </c:pt>
                <c:pt idx="21">
                  <c:v>100</c:v>
                </c:pt>
                <c:pt idx="22">
                  <c:v>73.400000000000006</c:v>
                </c:pt>
                <c:pt idx="23">
                  <c:v>71.2</c:v>
                </c:pt>
                <c:pt idx="24">
                  <c:v>97.2</c:v>
                </c:pt>
                <c:pt idx="25">
                  <c:v>76</c:v>
                </c:pt>
                <c:pt idx="26">
                  <c:v>78.7</c:v>
                </c:pt>
                <c:pt idx="27">
                  <c:v>97.4</c:v>
                </c:pt>
                <c:pt idx="28">
                  <c:v>84.2</c:v>
                </c:pt>
                <c:pt idx="29">
                  <c:v>89.8</c:v>
                </c:pt>
                <c:pt idx="30">
                  <c:v>82.4</c:v>
                </c:pt>
                <c:pt idx="31">
                  <c:v>87.7</c:v>
                </c:pt>
                <c:pt idx="32">
                  <c:v>100</c:v>
                </c:pt>
                <c:pt idx="33">
                  <c:v>93.3</c:v>
                </c:pt>
                <c:pt idx="34">
                  <c:v>100</c:v>
                </c:pt>
                <c:pt idx="35">
                  <c:v>92.9</c:v>
                </c:pt>
                <c:pt idx="36">
                  <c:v>83.2</c:v>
                </c:pt>
                <c:pt idx="37">
                  <c:v>81.099999999999994</c:v>
                </c:pt>
                <c:pt idx="38">
                  <c:v>89.5</c:v>
                </c:pt>
                <c:pt idx="39">
                  <c:v>91.6</c:v>
                </c:pt>
                <c:pt idx="40">
                  <c:v>75.3</c:v>
                </c:pt>
                <c:pt idx="41">
                  <c:v>79</c:v>
                </c:pt>
                <c:pt idx="42">
                  <c:v>100</c:v>
                </c:pt>
                <c:pt idx="43">
                  <c:v>79.2</c:v>
                </c:pt>
                <c:pt idx="44">
                  <c:v>70.8</c:v>
                </c:pt>
                <c:pt idx="45">
                  <c:v>61.8</c:v>
                </c:pt>
                <c:pt idx="46">
                  <c:v>68</c:v>
                </c:pt>
                <c:pt idx="47">
                  <c:v>80.3</c:v>
                </c:pt>
                <c:pt idx="48">
                  <c:v>88.6</c:v>
                </c:pt>
                <c:pt idx="49">
                  <c:v>69.400000000000006</c:v>
                </c:pt>
                <c:pt idx="50">
                  <c:v>100</c:v>
                </c:pt>
                <c:pt idx="51">
                  <c:v>81.8</c:v>
                </c:pt>
                <c:pt idx="52">
                  <c:v>72.599999999999994</c:v>
                </c:pt>
                <c:pt idx="53">
                  <c:v>85.3</c:v>
                </c:pt>
                <c:pt idx="54">
                  <c:v>99.8</c:v>
                </c:pt>
                <c:pt idx="55">
                  <c:v>84.3</c:v>
                </c:pt>
                <c:pt idx="56">
                  <c:v>71.5</c:v>
                </c:pt>
                <c:pt idx="57">
                  <c:v>84.3</c:v>
                </c:pt>
                <c:pt idx="58">
                  <c:v>74.5</c:v>
                </c:pt>
                <c:pt idx="59">
                  <c:v>89.5</c:v>
                </c:pt>
                <c:pt idx="60">
                  <c:v>80.400000000000006</c:v>
                </c:pt>
                <c:pt idx="61">
                  <c:v>71.099999999999994</c:v>
                </c:pt>
                <c:pt idx="62">
                  <c:v>87.8</c:v>
                </c:pt>
                <c:pt idx="63">
                  <c:v>73</c:v>
                </c:pt>
                <c:pt idx="64">
                  <c:v>80.8</c:v>
                </c:pt>
                <c:pt idx="65">
                  <c:v>97.4</c:v>
                </c:pt>
                <c:pt idx="66">
                  <c:v>67.8</c:v>
                </c:pt>
                <c:pt idx="67">
                  <c:v>79.2</c:v>
                </c:pt>
                <c:pt idx="68">
                  <c:v>73.5</c:v>
                </c:pt>
                <c:pt idx="69">
                  <c:v>85.1</c:v>
                </c:pt>
                <c:pt idx="70">
                  <c:v>79.599999999999994</c:v>
                </c:pt>
                <c:pt idx="71">
                  <c:v>77.400000000000006</c:v>
                </c:pt>
                <c:pt idx="72">
                  <c:v>94.6</c:v>
                </c:pt>
                <c:pt idx="73">
                  <c:v>77.599999999999994</c:v>
                </c:pt>
                <c:pt idx="74">
                  <c:v>99.9</c:v>
                </c:pt>
                <c:pt idx="75">
                  <c:v>64.400000000000006</c:v>
                </c:pt>
                <c:pt idx="76">
                  <c:v>71.900000000000006</c:v>
                </c:pt>
                <c:pt idx="77">
                  <c:v>79.3</c:v>
                </c:pt>
                <c:pt idx="78">
                  <c:v>74.900000000000006</c:v>
                </c:pt>
                <c:pt idx="79">
                  <c:v>87.4</c:v>
                </c:pt>
                <c:pt idx="80">
                  <c:v>97.6</c:v>
                </c:pt>
                <c:pt idx="81">
                  <c:v>74.5</c:v>
                </c:pt>
                <c:pt idx="82">
                  <c:v>64.099999999999994</c:v>
                </c:pt>
                <c:pt idx="83">
                  <c:v>90</c:v>
                </c:pt>
                <c:pt idx="84">
                  <c:v>99.3</c:v>
                </c:pt>
                <c:pt idx="85">
                  <c:v>63.9</c:v>
                </c:pt>
                <c:pt idx="86">
                  <c:v>79</c:v>
                </c:pt>
                <c:pt idx="87">
                  <c:v>100</c:v>
                </c:pt>
                <c:pt idx="88">
                  <c:v>78.900000000000006</c:v>
                </c:pt>
                <c:pt idx="89">
                  <c:v>84.5</c:v>
                </c:pt>
                <c:pt idx="90">
                  <c:v>71.7</c:v>
                </c:pt>
                <c:pt idx="91">
                  <c:v>86.3</c:v>
                </c:pt>
                <c:pt idx="92">
                  <c:v>98.3</c:v>
                </c:pt>
                <c:pt idx="93">
                  <c:v>88.1</c:v>
                </c:pt>
                <c:pt idx="94">
                  <c:v>99.6</c:v>
                </c:pt>
                <c:pt idx="95">
                  <c:v>74.8</c:v>
                </c:pt>
                <c:pt idx="96">
                  <c:v>87.4</c:v>
                </c:pt>
                <c:pt idx="97">
                  <c:v>88.5</c:v>
                </c:pt>
                <c:pt idx="98">
                  <c:v>65.2</c:v>
                </c:pt>
                <c:pt idx="99">
                  <c:v>79.2</c:v>
                </c:pt>
                <c:pt idx="100">
                  <c:v>74.5</c:v>
                </c:pt>
                <c:pt idx="101">
                  <c:v>66.3</c:v>
                </c:pt>
                <c:pt idx="102">
                  <c:v>89.5</c:v>
                </c:pt>
                <c:pt idx="103">
                  <c:v>92.7</c:v>
                </c:pt>
                <c:pt idx="104">
                  <c:v>87.2</c:v>
                </c:pt>
                <c:pt idx="105">
                  <c:v>92.5</c:v>
                </c:pt>
                <c:pt idx="106">
                  <c:v>75.7</c:v>
                </c:pt>
                <c:pt idx="107">
                  <c:v>74</c:v>
                </c:pt>
                <c:pt idx="108">
                  <c:v>100</c:v>
                </c:pt>
                <c:pt idx="109">
                  <c:v>75.5</c:v>
                </c:pt>
                <c:pt idx="110">
                  <c:v>61.7</c:v>
                </c:pt>
                <c:pt idx="111">
                  <c:v>91.4</c:v>
                </c:pt>
                <c:pt idx="112">
                  <c:v>72.7</c:v>
                </c:pt>
                <c:pt idx="113">
                  <c:v>74.599999999999994</c:v>
                </c:pt>
                <c:pt idx="114">
                  <c:v>96.5</c:v>
                </c:pt>
                <c:pt idx="115">
                  <c:v>94.5</c:v>
                </c:pt>
                <c:pt idx="116">
                  <c:v>59.3</c:v>
                </c:pt>
                <c:pt idx="117">
                  <c:v>96.2</c:v>
                </c:pt>
                <c:pt idx="118">
                  <c:v>75.3</c:v>
                </c:pt>
                <c:pt idx="119">
                  <c:v>73.3</c:v>
                </c:pt>
                <c:pt idx="120">
                  <c:v>95.8</c:v>
                </c:pt>
                <c:pt idx="121">
                  <c:v>81</c:v>
                </c:pt>
                <c:pt idx="122">
                  <c:v>76.5</c:v>
                </c:pt>
                <c:pt idx="123">
                  <c:v>88.1</c:v>
                </c:pt>
                <c:pt idx="124">
                  <c:v>88.1</c:v>
                </c:pt>
                <c:pt idx="125">
                  <c:v>92.1</c:v>
                </c:pt>
                <c:pt idx="126">
                  <c:v>85.2</c:v>
                </c:pt>
                <c:pt idx="127">
                  <c:v>63</c:v>
                </c:pt>
                <c:pt idx="128">
                  <c:v>81.099999999999994</c:v>
                </c:pt>
                <c:pt idx="129">
                  <c:v>87.1</c:v>
                </c:pt>
                <c:pt idx="130">
                  <c:v>100</c:v>
                </c:pt>
                <c:pt idx="131">
                  <c:v>75.7</c:v>
                </c:pt>
                <c:pt idx="132">
                  <c:v>77.3</c:v>
                </c:pt>
                <c:pt idx="133">
                  <c:v>85.6</c:v>
                </c:pt>
                <c:pt idx="134">
                  <c:v>80.8</c:v>
                </c:pt>
                <c:pt idx="135">
                  <c:v>94.5</c:v>
                </c:pt>
                <c:pt idx="136">
                  <c:v>59.7</c:v>
                </c:pt>
                <c:pt idx="137">
                  <c:v>80.900000000000006</c:v>
                </c:pt>
                <c:pt idx="138">
                  <c:v>82.6</c:v>
                </c:pt>
                <c:pt idx="139">
                  <c:v>80.2</c:v>
                </c:pt>
                <c:pt idx="140">
                  <c:v>82.4</c:v>
                </c:pt>
                <c:pt idx="141">
                  <c:v>75.900000000000006</c:v>
                </c:pt>
                <c:pt idx="142">
                  <c:v>88.5</c:v>
                </c:pt>
                <c:pt idx="143">
                  <c:v>69.599999999999994</c:v>
                </c:pt>
                <c:pt idx="144">
                  <c:v>86.8</c:v>
                </c:pt>
                <c:pt idx="145">
                  <c:v>65.2</c:v>
                </c:pt>
                <c:pt idx="146">
                  <c:v>82</c:v>
                </c:pt>
                <c:pt idx="147">
                  <c:v>46.8</c:v>
                </c:pt>
                <c:pt idx="148">
                  <c:v>68.599999999999994</c:v>
                </c:pt>
                <c:pt idx="149">
                  <c:v>69.2</c:v>
                </c:pt>
                <c:pt idx="150">
                  <c:v>84.7</c:v>
                </c:pt>
                <c:pt idx="151">
                  <c:v>75.900000000000006</c:v>
                </c:pt>
                <c:pt idx="152">
                  <c:v>84.7</c:v>
                </c:pt>
                <c:pt idx="153">
                  <c:v>75.7</c:v>
                </c:pt>
                <c:pt idx="154">
                  <c:v>95.4</c:v>
                </c:pt>
                <c:pt idx="155">
                  <c:v>87.6</c:v>
                </c:pt>
                <c:pt idx="156">
                  <c:v>87.7</c:v>
                </c:pt>
                <c:pt idx="157">
                  <c:v>89.3</c:v>
                </c:pt>
                <c:pt idx="158">
                  <c:v>63.7</c:v>
                </c:pt>
                <c:pt idx="159">
                  <c:v>74</c:v>
                </c:pt>
                <c:pt idx="160">
                  <c:v>87.9</c:v>
                </c:pt>
                <c:pt idx="161">
                  <c:v>76.599999999999994</c:v>
                </c:pt>
                <c:pt idx="162">
                  <c:v>97.3</c:v>
                </c:pt>
                <c:pt idx="163">
                  <c:v>90.2</c:v>
                </c:pt>
                <c:pt idx="164">
                  <c:v>88.7</c:v>
                </c:pt>
                <c:pt idx="165">
                  <c:v>84.8</c:v>
                </c:pt>
                <c:pt idx="166">
                  <c:v>100</c:v>
                </c:pt>
                <c:pt idx="167">
                  <c:v>82.1</c:v>
                </c:pt>
                <c:pt idx="168">
                  <c:v>75.099999999999994</c:v>
                </c:pt>
                <c:pt idx="169">
                  <c:v>78.099999999999994</c:v>
                </c:pt>
                <c:pt idx="170">
                  <c:v>92.9</c:v>
                </c:pt>
                <c:pt idx="171">
                  <c:v>71.8</c:v>
                </c:pt>
                <c:pt idx="172">
                  <c:v>78.5</c:v>
                </c:pt>
                <c:pt idx="173">
                  <c:v>82.6</c:v>
                </c:pt>
                <c:pt idx="174">
                  <c:v>79.2</c:v>
                </c:pt>
                <c:pt idx="175">
                  <c:v>89.7</c:v>
                </c:pt>
                <c:pt idx="176">
                  <c:v>89.2</c:v>
                </c:pt>
                <c:pt idx="177">
                  <c:v>81.7</c:v>
                </c:pt>
                <c:pt idx="178">
                  <c:v>96.7</c:v>
                </c:pt>
                <c:pt idx="179">
                  <c:v>73.7</c:v>
                </c:pt>
                <c:pt idx="180">
                  <c:v>77.099999999999994</c:v>
                </c:pt>
                <c:pt idx="181">
                  <c:v>76.5</c:v>
                </c:pt>
                <c:pt idx="182">
                  <c:v>73.2</c:v>
                </c:pt>
                <c:pt idx="183">
                  <c:v>83.6</c:v>
                </c:pt>
                <c:pt idx="184">
                  <c:v>85.8</c:v>
                </c:pt>
                <c:pt idx="185">
                  <c:v>95.7</c:v>
                </c:pt>
                <c:pt idx="186">
                  <c:v>89.2</c:v>
                </c:pt>
                <c:pt idx="187">
                  <c:v>83.1</c:v>
                </c:pt>
                <c:pt idx="188">
                  <c:v>100</c:v>
                </c:pt>
                <c:pt idx="189">
                  <c:v>67.2</c:v>
                </c:pt>
                <c:pt idx="190">
                  <c:v>84.6</c:v>
                </c:pt>
                <c:pt idx="191">
                  <c:v>100</c:v>
                </c:pt>
                <c:pt idx="192">
                  <c:v>75.2</c:v>
                </c:pt>
                <c:pt idx="193">
                  <c:v>81.099999999999994</c:v>
                </c:pt>
                <c:pt idx="194">
                  <c:v>96.5</c:v>
                </c:pt>
                <c:pt idx="195">
                  <c:v>79.8</c:v>
                </c:pt>
                <c:pt idx="196">
                  <c:v>73.400000000000006</c:v>
                </c:pt>
                <c:pt idx="197">
                  <c:v>92.2</c:v>
                </c:pt>
                <c:pt idx="198">
                  <c:v>87.3</c:v>
                </c:pt>
                <c:pt idx="199">
                  <c:v>92.5</c:v>
                </c:pt>
                <c:pt idx="200">
                  <c:v>94.6</c:v>
                </c:pt>
                <c:pt idx="201">
                  <c:v>75.5</c:v>
                </c:pt>
                <c:pt idx="202">
                  <c:v>85.3</c:v>
                </c:pt>
                <c:pt idx="203">
                  <c:v>76.7</c:v>
                </c:pt>
                <c:pt idx="204">
                  <c:v>86.8</c:v>
                </c:pt>
                <c:pt idx="205">
                  <c:v>61.1</c:v>
                </c:pt>
                <c:pt idx="206">
                  <c:v>100</c:v>
                </c:pt>
                <c:pt idx="207">
                  <c:v>90.9</c:v>
                </c:pt>
                <c:pt idx="208">
                  <c:v>96.1</c:v>
                </c:pt>
                <c:pt idx="209">
                  <c:v>73.099999999999994</c:v>
                </c:pt>
                <c:pt idx="210">
                  <c:v>81.2</c:v>
                </c:pt>
                <c:pt idx="211">
                  <c:v>81.8</c:v>
                </c:pt>
                <c:pt idx="212">
                  <c:v>70</c:v>
                </c:pt>
                <c:pt idx="213">
                  <c:v>78.5</c:v>
                </c:pt>
                <c:pt idx="214">
                  <c:v>84.7</c:v>
                </c:pt>
                <c:pt idx="215">
                  <c:v>74.7</c:v>
                </c:pt>
                <c:pt idx="216">
                  <c:v>91.2</c:v>
                </c:pt>
                <c:pt idx="217">
                  <c:v>93.4</c:v>
                </c:pt>
                <c:pt idx="218">
                  <c:v>86.8</c:v>
                </c:pt>
                <c:pt idx="219">
                  <c:v>100</c:v>
                </c:pt>
                <c:pt idx="220">
                  <c:v>84.3</c:v>
                </c:pt>
                <c:pt idx="221">
                  <c:v>71.5</c:v>
                </c:pt>
                <c:pt idx="222">
                  <c:v>70.5</c:v>
                </c:pt>
                <c:pt idx="223">
                  <c:v>89.9</c:v>
                </c:pt>
                <c:pt idx="224">
                  <c:v>81.099999999999994</c:v>
                </c:pt>
                <c:pt idx="225">
                  <c:v>67.400000000000006</c:v>
                </c:pt>
                <c:pt idx="226">
                  <c:v>82.2</c:v>
                </c:pt>
                <c:pt idx="227">
                  <c:v>90</c:v>
                </c:pt>
                <c:pt idx="228">
                  <c:v>100</c:v>
                </c:pt>
                <c:pt idx="229">
                  <c:v>82.7</c:v>
                </c:pt>
                <c:pt idx="230">
                  <c:v>98.3</c:v>
                </c:pt>
                <c:pt idx="231">
                  <c:v>91.5</c:v>
                </c:pt>
                <c:pt idx="232">
                  <c:v>82.2</c:v>
                </c:pt>
                <c:pt idx="233">
                  <c:v>100</c:v>
                </c:pt>
                <c:pt idx="234">
                  <c:v>80.2</c:v>
                </c:pt>
                <c:pt idx="235">
                  <c:v>85.7</c:v>
                </c:pt>
                <c:pt idx="236">
                  <c:v>100</c:v>
                </c:pt>
                <c:pt idx="237">
                  <c:v>84.4</c:v>
                </c:pt>
                <c:pt idx="238">
                  <c:v>100</c:v>
                </c:pt>
                <c:pt idx="239">
                  <c:v>84.6</c:v>
                </c:pt>
                <c:pt idx="240">
                  <c:v>80.599999999999994</c:v>
                </c:pt>
                <c:pt idx="241">
                  <c:v>85.1</c:v>
                </c:pt>
                <c:pt idx="242">
                  <c:v>69.400000000000006</c:v>
                </c:pt>
                <c:pt idx="243">
                  <c:v>92.2</c:v>
                </c:pt>
                <c:pt idx="244">
                  <c:v>76.2</c:v>
                </c:pt>
                <c:pt idx="245">
                  <c:v>100</c:v>
                </c:pt>
                <c:pt idx="246">
                  <c:v>92.2</c:v>
                </c:pt>
                <c:pt idx="247">
                  <c:v>76.5</c:v>
                </c:pt>
                <c:pt idx="248">
                  <c:v>82.7</c:v>
                </c:pt>
                <c:pt idx="249">
                  <c:v>67.099999999999994</c:v>
                </c:pt>
                <c:pt idx="250">
                  <c:v>88.4</c:v>
                </c:pt>
                <c:pt idx="251">
                  <c:v>91</c:v>
                </c:pt>
                <c:pt idx="252">
                  <c:v>75.8</c:v>
                </c:pt>
                <c:pt idx="253">
                  <c:v>88.3</c:v>
                </c:pt>
                <c:pt idx="254">
                  <c:v>87.6</c:v>
                </c:pt>
                <c:pt idx="255">
                  <c:v>96.8</c:v>
                </c:pt>
                <c:pt idx="256">
                  <c:v>86.7</c:v>
                </c:pt>
                <c:pt idx="257">
                  <c:v>63.7</c:v>
                </c:pt>
                <c:pt idx="258">
                  <c:v>73</c:v>
                </c:pt>
                <c:pt idx="259">
                  <c:v>94.3</c:v>
                </c:pt>
                <c:pt idx="260">
                  <c:v>71.3</c:v>
                </c:pt>
                <c:pt idx="261">
                  <c:v>79.7</c:v>
                </c:pt>
                <c:pt idx="262">
                  <c:v>81.2</c:v>
                </c:pt>
                <c:pt idx="263">
                  <c:v>91.1</c:v>
                </c:pt>
                <c:pt idx="264">
                  <c:v>97.5</c:v>
                </c:pt>
                <c:pt idx="265">
                  <c:v>100</c:v>
                </c:pt>
                <c:pt idx="266">
                  <c:v>81.599999999999994</c:v>
                </c:pt>
                <c:pt idx="267">
                  <c:v>83.9</c:v>
                </c:pt>
                <c:pt idx="268">
                  <c:v>100</c:v>
                </c:pt>
                <c:pt idx="269">
                  <c:v>80.2</c:v>
                </c:pt>
                <c:pt idx="270">
                  <c:v>75.099999999999994</c:v>
                </c:pt>
                <c:pt idx="271">
                  <c:v>78.2</c:v>
                </c:pt>
                <c:pt idx="272">
                  <c:v>64.7</c:v>
                </c:pt>
                <c:pt idx="273">
                  <c:v>97.8</c:v>
                </c:pt>
                <c:pt idx="274">
                  <c:v>74.400000000000006</c:v>
                </c:pt>
                <c:pt idx="275">
                  <c:v>76.400000000000006</c:v>
                </c:pt>
                <c:pt idx="276">
                  <c:v>76.3</c:v>
                </c:pt>
                <c:pt idx="277">
                  <c:v>88.3</c:v>
                </c:pt>
                <c:pt idx="278">
                  <c:v>94</c:v>
                </c:pt>
                <c:pt idx="279">
                  <c:v>58.8</c:v>
                </c:pt>
                <c:pt idx="280">
                  <c:v>81.099999999999994</c:v>
                </c:pt>
                <c:pt idx="281">
                  <c:v>84.5</c:v>
                </c:pt>
                <c:pt idx="282">
                  <c:v>69.900000000000006</c:v>
                </c:pt>
                <c:pt idx="283">
                  <c:v>82.2</c:v>
                </c:pt>
                <c:pt idx="284">
                  <c:v>83.3</c:v>
                </c:pt>
                <c:pt idx="285">
                  <c:v>69.5</c:v>
                </c:pt>
                <c:pt idx="286">
                  <c:v>68.5</c:v>
                </c:pt>
                <c:pt idx="287">
                  <c:v>61.5</c:v>
                </c:pt>
                <c:pt idx="288">
                  <c:v>72.3</c:v>
                </c:pt>
                <c:pt idx="289">
                  <c:v>74.099999999999994</c:v>
                </c:pt>
                <c:pt idx="290">
                  <c:v>94.9</c:v>
                </c:pt>
                <c:pt idx="291">
                  <c:v>100</c:v>
                </c:pt>
                <c:pt idx="292">
                  <c:v>84.5</c:v>
                </c:pt>
                <c:pt idx="293">
                  <c:v>93.7</c:v>
                </c:pt>
                <c:pt idx="294">
                  <c:v>100</c:v>
                </c:pt>
                <c:pt idx="295">
                  <c:v>81.599999999999994</c:v>
                </c:pt>
                <c:pt idx="296">
                  <c:v>70.900000000000006</c:v>
                </c:pt>
                <c:pt idx="297">
                  <c:v>89.6</c:v>
                </c:pt>
                <c:pt idx="298">
                  <c:v>69.2</c:v>
                </c:pt>
                <c:pt idx="299">
                  <c:v>82.3</c:v>
                </c:pt>
                <c:pt idx="300">
                  <c:v>80.900000000000006</c:v>
                </c:pt>
                <c:pt idx="301">
                  <c:v>82.4</c:v>
                </c:pt>
                <c:pt idx="302">
                  <c:v>91</c:v>
                </c:pt>
                <c:pt idx="303">
                  <c:v>81.599999999999994</c:v>
                </c:pt>
                <c:pt idx="304">
                  <c:v>83.2</c:v>
                </c:pt>
                <c:pt idx="305">
                  <c:v>80.7</c:v>
                </c:pt>
                <c:pt idx="306">
                  <c:v>87.2</c:v>
                </c:pt>
                <c:pt idx="307">
                  <c:v>72.8</c:v>
                </c:pt>
                <c:pt idx="308">
                  <c:v>85.2</c:v>
                </c:pt>
                <c:pt idx="309">
                  <c:v>83.3</c:v>
                </c:pt>
                <c:pt idx="310">
                  <c:v>82.6</c:v>
                </c:pt>
                <c:pt idx="311">
                  <c:v>63.4</c:v>
                </c:pt>
                <c:pt idx="312">
                  <c:v>100</c:v>
                </c:pt>
                <c:pt idx="313">
                  <c:v>79.400000000000006</c:v>
                </c:pt>
                <c:pt idx="314">
                  <c:v>100</c:v>
                </c:pt>
                <c:pt idx="315">
                  <c:v>100</c:v>
                </c:pt>
                <c:pt idx="316">
                  <c:v>72.900000000000006</c:v>
                </c:pt>
                <c:pt idx="317">
                  <c:v>79.2</c:v>
                </c:pt>
                <c:pt idx="318">
                  <c:v>84.2</c:v>
                </c:pt>
                <c:pt idx="319">
                  <c:v>80.7</c:v>
                </c:pt>
                <c:pt idx="320">
                  <c:v>85.3</c:v>
                </c:pt>
                <c:pt idx="321">
                  <c:v>93.1</c:v>
                </c:pt>
                <c:pt idx="322">
                  <c:v>73.5</c:v>
                </c:pt>
                <c:pt idx="323">
                  <c:v>90.8</c:v>
                </c:pt>
                <c:pt idx="324">
                  <c:v>80.8</c:v>
                </c:pt>
                <c:pt idx="325">
                  <c:v>88.9</c:v>
                </c:pt>
                <c:pt idx="326">
                  <c:v>63.7</c:v>
                </c:pt>
                <c:pt idx="327">
                  <c:v>82.6</c:v>
                </c:pt>
                <c:pt idx="328">
                  <c:v>63.7</c:v>
                </c:pt>
                <c:pt idx="329">
                  <c:v>96.6</c:v>
                </c:pt>
                <c:pt idx="330">
                  <c:v>97</c:v>
                </c:pt>
                <c:pt idx="331">
                  <c:v>93.3</c:v>
                </c:pt>
                <c:pt idx="332">
                  <c:v>82.8</c:v>
                </c:pt>
                <c:pt idx="333">
                  <c:v>81.2</c:v>
                </c:pt>
                <c:pt idx="334">
                  <c:v>88.7</c:v>
                </c:pt>
                <c:pt idx="335">
                  <c:v>71.2</c:v>
                </c:pt>
                <c:pt idx="336">
                  <c:v>87.1</c:v>
                </c:pt>
                <c:pt idx="337">
                  <c:v>94.9</c:v>
                </c:pt>
                <c:pt idx="338">
                  <c:v>76.099999999999994</c:v>
                </c:pt>
                <c:pt idx="339">
                  <c:v>85.1</c:v>
                </c:pt>
                <c:pt idx="340">
                  <c:v>96.3</c:v>
                </c:pt>
                <c:pt idx="341">
                  <c:v>100</c:v>
                </c:pt>
                <c:pt idx="342">
                  <c:v>92</c:v>
                </c:pt>
                <c:pt idx="343">
                  <c:v>77.2</c:v>
                </c:pt>
                <c:pt idx="344">
                  <c:v>97.5</c:v>
                </c:pt>
                <c:pt idx="345">
                  <c:v>70.599999999999994</c:v>
                </c:pt>
                <c:pt idx="346">
                  <c:v>87.2</c:v>
                </c:pt>
                <c:pt idx="347">
                  <c:v>69</c:v>
                </c:pt>
                <c:pt idx="348">
                  <c:v>90.2</c:v>
                </c:pt>
                <c:pt idx="349">
                  <c:v>74</c:v>
                </c:pt>
                <c:pt idx="350">
                  <c:v>75.3</c:v>
                </c:pt>
                <c:pt idx="351">
                  <c:v>86.5</c:v>
                </c:pt>
                <c:pt idx="352">
                  <c:v>100</c:v>
                </c:pt>
                <c:pt idx="353">
                  <c:v>93.6</c:v>
                </c:pt>
                <c:pt idx="354">
                  <c:v>72</c:v>
                </c:pt>
                <c:pt idx="355">
                  <c:v>76.2</c:v>
                </c:pt>
                <c:pt idx="356">
                  <c:v>80.900000000000006</c:v>
                </c:pt>
                <c:pt idx="357">
                  <c:v>85.3</c:v>
                </c:pt>
                <c:pt idx="358">
                  <c:v>81.900000000000006</c:v>
                </c:pt>
                <c:pt idx="359">
                  <c:v>78</c:v>
                </c:pt>
                <c:pt idx="360">
                  <c:v>93.6</c:v>
                </c:pt>
                <c:pt idx="361">
                  <c:v>95.1</c:v>
                </c:pt>
                <c:pt idx="362">
                  <c:v>66.7</c:v>
                </c:pt>
                <c:pt idx="363">
                  <c:v>75.599999999999994</c:v>
                </c:pt>
                <c:pt idx="364">
                  <c:v>57.4</c:v>
                </c:pt>
                <c:pt idx="365">
                  <c:v>75.400000000000006</c:v>
                </c:pt>
                <c:pt idx="366">
                  <c:v>80.5</c:v>
                </c:pt>
                <c:pt idx="367">
                  <c:v>75.099999999999994</c:v>
                </c:pt>
                <c:pt idx="368">
                  <c:v>67.8</c:v>
                </c:pt>
                <c:pt idx="369">
                  <c:v>97.4</c:v>
                </c:pt>
                <c:pt idx="370">
                  <c:v>80.2</c:v>
                </c:pt>
                <c:pt idx="371">
                  <c:v>82.8</c:v>
                </c:pt>
                <c:pt idx="372">
                  <c:v>87.8</c:v>
                </c:pt>
                <c:pt idx="373">
                  <c:v>85.8</c:v>
                </c:pt>
                <c:pt idx="374">
                  <c:v>91.7</c:v>
                </c:pt>
                <c:pt idx="375">
                  <c:v>84.9</c:v>
                </c:pt>
                <c:pt idx="376">
                  <c:v>99.3</c:v>
                </c:pt>
                <c:pt idx="377">
                  <c:v>74.3</c:v>
                </c:pt>
                <c:pt idx="378">
                  <c:v>93.3</c:v>
                </c:pt>
                <c:pt idx="379">
                  <c:v>79.400000000000006</c:v>
                </c:pt>
                <c:pt idx="380">
                  <c:v>77.400000000000006</c:v>
                </c:pt>
                <c:pt idx="381">
                  <c:v>100</c:v>
                </c:pt>
                <c:pt idx="382">
                  <c:v>76.8</c:v>
                </c:pt>
                <c:pt idx="383">
                  <c:v>100</c:v>
                </c:pt>
                <c:pt idx="384">
                  <c:v>88.6</c:v>
                </c:pt>
                <c:pt idx="385">
                  <c:v>79.099999999999994</c:v>
                </c:pt>
                <c:pt idx="386">
                  <c:v>79.400000000000006</c:v>
                </c:pt>
                <c:pt idx="387">
                  <c:v>100</c:v>
                </c:pt>
                <c:pt idx="388">
                  <c:v>86.7</c:v>
                </c:pt>
                <c:pt idx="389">
                  <c:v>69.5</c:v>
                </c:pt>
                <c:pt idx="390">
                  <c:v>86.3</c:v>
                </c:pt>
                <c:pt idx="391">
                  <c:v>87.3</c:v>
                </c:pt>
                <c:pt idx="392">
                  <c:v>72.099999999999994</c:v>
                </c:pt>
                <c:pt idx="393">
                  <c:v>92.3</c:v>
                </c:pt>
                <c:pt idx="394">
                  <c:v>67.599999999999994</c:v>
                </c:pt>
                <c:pt idx="395">
                  <c:v>72.7</c:v>
                </c:pt>
                <c:pt idx="396">
                  <c:v>76.099999999999994</c:v>
                </c:pt>
                <c:pt idx="397">
                  <c:v>81.2</c:v>
                </c:pt>
                <c:pt idx="398">
                  <c:v>90.4</c:v>
                </c:pt>
                <c:pt idx="399">
                  <c:v>73.2</c:v>
                </c:pt>
                <c:pt idx="400">
                  <c:v>85.2</c:v>
                </c:pt>
                <c:pt idx="401">
                  <c:v>96.4</c:v>
                </c:pt>
                <c:pt idx="402">
                  <c:v>81.900000000000006</c:v>
                </c:pt>
                <c:pt idx="403">
                  <c:v>86.5</c:v>
                </c:pt>
                <c:pt idx="404">
                  <c:v>84.7</c:v>
                </c:pt>
                <c:pt idx="405">
                  <c:v>93</c:v>
                </c:pt>
                <c:pt idx="406">
                  <c:v>78.900000000000006</c:v>
                </c:pt>
                <c:pt idx="407">
                  <c:v>90.4</c:v>
                </c:pt>
                <c:pt idx="408">
                  <c:v>80.099999999999994</c:v>
                </c:pt>
                <c:pt idx="409">
                  <c:v>78.099999999999994</c:v>
                </c:pt>
                <c:pt idx="410">
                  <c:v>70.099999999999994</c:v>
                </c:pt>
                <c:pt idx="411">
                  <c:v>90.2</c:v>
                </c:pt>
                <c:pt idx="412">
                  <c:v>86.5</c:v>
                </c:pt>
                <c:pt idx="413">
                  <c:v>93.5</c:v>
                </c:pt>
                <c:pt idx="414">
                  <c:v>83.3</c:v>
                </c:pt>
                <c:pt idx="415">
                  <c:v>81.2</c:v>
                </c:pt>
                <c:pt idx="416">
                  <c:v>76</c:v>
                </c:pt>
                <c:pt idx="417">
                  <c:v>84.9</c:v>
                </c:pt>
                <c:pt idx="418">
                  <c:v>79.2</c:v>
                </c:pt>
                <c:pt idx="419">
                  <c:v>72.8</c:v>
                </c:pt>
                <c:pt idx="420">
                  <c:v>69.900000000000006</c:v>
                </c:pt>
                <c:pt idx="421">
                  <c:v>89.6</c:v>
                </c:pt>
                <c:pt idx="422">
                  <c:v>77.3</c:v>
                </c:pt>
                <c:pt idx="423">
                  <c:v>64.599999999999994</c:v>
                </c:pt>
                <c:pt idx="424">
                  <c:v>81.8</c:v>
                </c:pt>
                <c:pt idx="425">
                  <c:v>86.2</c:v>
                </c:pt>
                <c:pt idx="426">
                  <c:v>100</c:v>
                </c:pt>
                <c:pt idx="427">
                  <c:v>100</c:v>
                </c:pt>
                <c:pt idx="428">
                  <c:v>100</c:v>
                </c:pt>
                <c:pt idx="429">
                  <c:v>72</c:v>
                </c:pt>
                <c:pt idx="430">
                  <c:v>81.2</c:v>
                </c:pt>
                <c:pt idx="431">
                  <c:v>100</c:v>
                </c:pt>
                <c:pt idx="432">
                  <c:v>79.7</c:v>
                </c:pt>
                <c:pt idx="433">
                  <c:v>89.4</c:v>
                </c:pt>
                <c:pt idx="434">
                  <c:v>77.8</c:v>
                </c:pt>
                <c:pt idx="435">
                  <c:v>93.4</c:v>
                </c:pt>
                <c:pt idx="436">
                  <c:v>100</c:v>
                </c:pt>
                <c:pt idx="437">
                  <c:v>76.5</c:v>
                </c:pt>
                <c:pt idx="438">
                  <c:v>79.3</c:v>
                </c:pt>
                <c:pt idx="439">
                  <c:v>100</c:v>
                </c:pt>
                <c:pt idx="440">
                  <c:v>98.9</c:v>
                </c:pt>
                <c:pt idx="441">
                  <c:v>87.5</c:v>
                </c:pt>
                <c:pt idx="442">
                  <c:v>85.2</c:v>
                </c:pt>
                <c:pt idx="443">
                  <c:v>86</c:v>
                </c:pt>
                <c:pt idx="444">
                  <c:v>80.7</c:v>
                </c:pt>
                <c:pt idx="445">
                  <c:v>79.900000000000006</c:v>
                </c:pt>
                <c:pt idx="446">
                  <c:v>79.099999999999994</c:v>
                </c:pt>
                <c:pt idx="447">
                  <c:v>87.1</c:v>
                </c:pt>
                <c:pt idx="448">
                  <c:v>90.7</c:v>
                </c:pt>
                <c:pt idx="449">
                  <c:v>64.599999999999994</c:v>
                </c:pt>
                <c:pt idx="450">
                  <c:v>77.900000000000006</c:v>
                </c:pt>
                <c:pt idx="451">
                  <c:v>82</c:v>
                </c:pt>
                <c:pt idx="452">
                  <c:v>92.8</c:v>
                </c:pt>
                <c:pt idx="453">
                  <c:v>85.4</c:v>
                </c:pt>
                <c:pt idx="454">
                  <c:v>80.7</c:v>
                </c:pt>
                <c:pt idx="455">
                  <c:v>72.7</c:v>
                </c:pt>
                <c:pt idx="456">
                  <c:v>68.8</c:v>
                </c:pt>
                <c:pt idx="457">
                  <c:v>89.9</c:v>
                </c:pt>
                <c:pt idx="458">
                  <c:v>83.3</c:v>
                </c:pt>
                <c:pt idx="459">
                  <c:v>86.8</c:v>
                </c:pt>
                <c:pt idx="460">
                  <c:v>98.2</c:v>
                </c:pt>
                <c:pt idx="461">
                  <c:v>100</c:v>
                </c:pt>
                <c:pt idx="462">
                  <c:v>95.1</c:v>
                </c:pt>
                <c:pt idx="463">
                  <c:v>93.5</c:v>
                </c:pt>
                <c:pt idx="464">
                  <c:v>63.2</c:v>
                </c:pt>
                <c:pt idx="465">
                  <c:v>100</c:v>
                </c:pt>
                <c:pt idx="466">
                  <c:v>77.099999999999994</c:v>
                </c:pt>
                <c:pt idx="467">
                  <c:v>88.8</c:v>
                </c:pt>
                <c:pt idx="468">
                  <c:v>100</c:v>
                </c:pt>
                <c:pt idx="469">
                  <c:v>89.9</c:v>
                </c:pt>
                <c:pt idx="470">
                  <c:v>87.6</c:v>
                </c:pt>
                <c:pt idx="471">
                  <c:v>68</c:v>
                </c:pt>
                <c:pt idx="472">
                  <c:v>82.2</c:v>
                </c:pt>
                <c:pt idx="473">
                  <c:v>94</c:v>
                </c:pt>
                <c:pt idx="474">
                  <c:v>90.9</c:v>
                </c:pt>
                <c:pt idx="475">
                  <c:v>85</c:v>
                </c:pt>
                <c:pt idx="476">
                  <c:v>100</c:v>
                </c:pt>
                <c:pt idx="477">
                  <c:v>100</c:v>
                </c:pt>
                <c:pt idx="478">
                  <c:v>87.4</c:v>
                </c:pt>
                <c:pt idx="479">
                  <c:v>84.8</c:v>
                </c:pt>
                <c:pt idx="480">
                  <c:v>89.5</c:v>
                </c:pt>
                <c:pt idx="481">
                  <c:v>92.3</c:v>
                </c:pt>
                <c:pt idx="482">
                  <c:v>86.6</c:v>
                </c:pt>
                <c:pt idx="483">
                  <c:v>100</c:v>
                </c:pt>
                <c:pt idx="484">
                  <c:v>75.7</c:v>
                </c:pt>
                <c:pt idx="485">
                  <c:v>87.3</c:v>
                </c:pt>
                <c:pt idx="486">
                  <c:v>66.599999999999994</c:v>
                </c:pt>
                <c:pt idx="487">
                  <c:v>74.099999999999994</c:v>
                </c:pt>
                <c:pt idx="488">
                  <c:v>100</c:v>
                </c:pt>
                <c:pt idx="489">
                  <c:v>100</c:v>
                </c:pt>
                <c:pt idx="490">
                  <c:v>74.3</c:v>
                </c:pt>
                <c:pt idx="491">
                  <c:v>71.099999999999994</c:v>
                </c:pt>
                <c:pt idx="492">
                  <c:v>66.7</c:v>
                </c:pt>
                <c:pt idx="493">
                  <c:v>82.1</c:v>
                </c:pt>
                <c:pt idx="494">
                  <c:v>88.5</c:v>
                </c:pt>
                <c:pt idx="495">
                  <c:v>79.400000000000006</c:v>
                </c:pt>
                <c:pt idx="496">
                  <c:v>71</c:v>
                </c:pt>
                <c:pt idx="497">
                  <c:v>85.4</c:v>
                </c:pt>
                <c:pt idx="498">
                  <c:v>61.8</c:v>
                </c:pt>
                <c:pt idx="499">
                  <c:v>99.6</c:v>
                </c:pt>
                <c:pt idx="500">
                  <c:v>76.099999999999994</c:v>
                </c:pt>
                <c:pt idx="501">
                  <c:v>90.4</c:v>
                </c:pt>
                <c:pt idx="502">
                  <c:v>93.3</c:v>
                </c:pt>
                <c:pt idx="503">
                  <c:v>88.9</c:v>
                </c:pt>
                <c:pt idx="504">
                  <c:v>99</c:v>
                </c:pt>
                <c:pt idx="505">
                  <c:v>100</c:v>
                </c:pt>
                <c:pt idx="506">
                  <c:v>74.5</c:v>
                </c:pt>
                <c:pt idx="507">
                  <c:v>72.8</c:v>
                </c:pt>
                <c:pt idx="508">
                  <c:v>76.099999999999994</c:v>
                </c:pt>
                <c:pt idx="509">
                  <c:v>99.5</c:v>
                </c:pt>
                <c:pt idx="510">
                  <c:v>79.900000000000006</c:v>
                </c:pt>
                <c:pt idx="511">
                  <c:v>88.2</c:v>
                </c:pt>
                <c:pt idx="512">
                  <c:v>88.9</c:v>
                </c:pt>
                <c:pt idx="513">
                  <c:v>77.900000000000006</c:v>
                </c:pt>
                <c:pt idx="514">
                  <c:v>97.2</c:v>
                </c:pt>
                <c:pt idx="515">
                  <c:v>79.3</c:v>
                </c:pt>
                <c:pt idx="516">
                  <c:v>84.2</c:v>
                </c:pt>
                <c:pt idx="517">
                  <c:v>86.3</c:v>
                </c:pt>
                <c:pt idx="518">
                  <c:v>67.599999999999994</c:v>
                </c:pt>
                <c:pt idx="519">
                  <c:v>80.7</c:v>
                </c:pt>
                <c:pt idx="520">
                  <c:v>64.7</c:v>
                </c:pt>
                <c:pt idx="521">
                  <c:v>71.8</c:v>
                </c:pt>
                <c:pt idx="522">
                  <c:v>84.9</c:v>
                </c:pt>
                <c:pt idx="523">
                  <c:v>100</c:v>
                </c:pt>
                <c:pt idx="524">
                  <c:v>82.4</c:v>
                </c:pt>
                <c:pt idx="525">
                  <c:v>87.3</c:v>
                </c:pt>
                <c:pt idx="526">
                  <c:v>84.8</c:v>
                </c:pt>
                <c:pt idx="527">
                  <c:v>96.4</c:v>
                </c:pt>
                <c:pt idx="528">
                  <c:v>84.3</c:v>
                </c:pt>
                <c:pt idx="529">
                  <c:v>84.5</c:v>
                </c:pt>
                <c:pt idx="530">
                  <c:v>94.7</c:v>
                </c:pt>
                <c:pt idx="531">
                  <c:v>89.6</c:v>
                </c:pt>
                <c:pt idx="532">
                  <c:v>68.599999999999994</c:v>
                </c:pt>
                <c:pt idx="533">
                  <c:v>92.8</c:v>
                </c:pt>
                <c:pt idx="534">
                  <c:v>80.7</c:v>
                </c:pt>
                <c:pt idx="535">
                  <c:v>77.599999999999994</c:v>
                </c:pt>
                <c:pt idx="536">
                  <c:v>87.7</c:v>
                </c:pt>
                <c:pt idx="537">
                  <c:v>86</c:v>
                </c:pt>
                <c:pt idx="538">
                  <c:v>100</c:v>
                </c:pt>
                <c:pt idx="539">
                  <c:v>57.3</c:v>
                </c:pt>
                <c:pt idx="540">
                  <c:v>75.599999999999994</c:v>
                </c:pt>
                <c:pt idx="541">
                  <c:v>87.3</c:v>
                </c:pt>
                <c:pt idx="542">
                  <c:v>88.8</c:v>
                </c:pt>
                <c:pt idx="543">
                  <c:v>91.8</c:v>
                </c:pt>
                <c:pt idx="544">
                  <c:v>66</c:v>
                </c:pt>
                <c:pt idx="545">
                  <c:v>100</c:v>
                </c:pt>
                <c:pt idx="546">
                  <c:v>71.099999999999994</c:v>
                </c:pt>
                <c:pt idx="547">
                  <c:v>88.8</c:v>
                </c:pt>
                <c:pt idx="548">
                  <c:v>100</c:v>
                </c:pt>
                <c:pt idx="549">
                  <c:v>85.2</c:v>
                </c:pt>
                <c:pt idx="550">
                  <c:v>75.400000000000006</c:v>
                </c:pt>
                <c:pt idx="551">
                  <c:v>100</c:v>
                </c:pt>
                <c:pt idx="552">
                  <c:v>78.900000000000006</c:v>
                </c:pt>
                <c:pt idx="553">
                  <c:v>83.4</c:v>
                </c:pt>
                <c:pt idx="554">
                  <c:v>63.4</c:v>
                </c:pt>
                <c:pt idx="555">
                  <c:v>80.7</c:v>
                </c:pt>
                <c:pt idx="556">
                  <c:v>80.8</c:v>
                </c:pt>
                <c:pt idx="557">
                  <c:v>73.099999999999994</c:v>
                </c:pt>
                <c:pt idx="558">
                  <c:v>99.8</c:v>
                </c:pt>
                <c:pt idx="559">
                  <c:v>73.5</c:v>
                </c:pt>
                <c:pt idx="560">
                  <c:v>68.2</c:v>
                </c:pt>
                <c:pt idx="561">
                  <c:v>83.9</c:v>
                </c:pt>
                <c:pt idx="562">
                  <c:v>75.3</c:v>
                </c:pt>
                <c:pt idx="563">
                  <c:v>78.7</c:v>
                </c:pt>
                <c:pt idx="564">
                  <c:v>82.8</c:v>
                </c:pt>
                <c:pt idx="565">
                  <c:v>100</c:v>
                </c:pt>
                <c:pt idx="566">
                  <c:v>92.6</c:v>
                </c:pt>
                <c:pt idx="567">
                  <c:v>99.1</c:v>
                </c:pt>
                <c:pt idx="568">
                  <c:v>76.2</c:v>
                </c:pt>
                <c:pt idx="569">
                  <c:v>90.9</c:v>
                </c:pt>
                <c:pt idx="570">
                  <c:v>63.3</c:v>
                </c:pt>
                <c:pt idx="571">
                  <c:v>85</c:v>
                </c:pt>
                <c:pt idx="572">
                  <c:v>88.7</c:v>
                </c:pt>
                <c:pt idx="573">
                  <c:v>75.3</c:v>
                </c:pt>
                <c:pt idx="574">
                  <c:v>84.9</c:v>
                </c:pt>
                <c:pt idx="575">
                  <c:v>81.099999999999994</c:v>
                </c:pt>
                <c:pt idx="576">
                  <c:v>75.599999999999994</c:v>
                </c:pt>
                <c:pt idx="577">
                  <c:v>95.5</c:v>
                </c:pt>
                <c:pt idx="578">
                  <c:v>83.3</c:v>
                </c:pt>
                <c:pt idx="579">
                  <c:v>95.7</c:v>
                </c:pt>
                <c:pt idx="580">
                  <c:v>70.400000000000006</c:v>
                </c:pt>
                <c:pt idx="581">
                  <c:v>82.7</c:v>
                </c:pt>
                <c:pt idx="582">
                  <c:v>76.7</c:v>
                </c:pt>
                <c:pt idx="583">
                  <c:v>68.400000000000006</c:v>
                </c:pt>
                <c:pt idx="584">
                  <c:v>84.6</c:v>
                </c:pt>
                <c:pt idx="585">
                  <c:v>67.7</c:v>
                </c:pt>
                <c:pt idx="586">
                  <c:v>89.2</c:v>
                </c:pt>
                <c:pt idx="587">
                  <c:v>85</c:v>
                </c:pt>
                <c:pt idx="588">
                  <c:v>77.3</c:v>
                </c:pt>
                <c:pt idx="589">
                  <c:v>72.2</c:v>
                </c:pt>
                <c:pt idx="590">
                  <c:v>89</c:v>
                </c:pt>
                <c:pt idx="591">
                  <c:v>63.2</c:v>
                </c:pt>
                <c:pt idx="592">
                  <c:v>73.2</c:v>
                </c:pt>
                <c:pt idx="593">
                  <c:v>87</c:v>
                </c:pt>
                <c:pt idx="594">
                  <c:v>88.5</c:v>
                </c:pt>
                <c:pt idx="595">
                  <c:v>80.400000000000006</c:v>
                </c:pt>
                <c:pt idx="596">
                  <c:v>80.2</c:v>
                </c:pt>
                <c:pt idx="597">
                  <c:v>80.900000000000006</c:v>
                </c:pt>
                <c:pt idx="598">
                  <c:v>86.4</c:v>
                </c:pt>
                <c:pt idx="599">
                  <c:v>86.3</c:v>
                </c:pt>
                <c:pt idx="600">
                  <c:v>93.4</c:v>
                </c:pt>
                <c:pt idx="601">
                  <c:v>95.1</c:v>
                </c:pt>
                <c:pt idx="602">
                  <c:v>83.9</c:v>
                </c:pt>
                <c:pt idx="603">
                  <c:v>100</c:v>
                </c:pt>
                <c:pt idx="604">
                  <c:v>80.900000000000006</c:v>
                </c:pt>
                <c:pt idx="605">
                  <c:v>76.400000000000006</c:v>
                </c:pt>
                <c:pt idx="606">
                  <c:v>73.599999999999994</c:v>
                </c:pt>
                <c:pt idx="607">
                  <c:v>84</c:v>
                </c:pt>
                <c:pt idx="608">
                  <c:v>58.6</c:v>
                </c:pt>
                <c:pt idx="609">
                  <c:v>96.3</c:v>
                </c:pt>
                <c:pt idx="610">
                  <c:v>78.8</c:v>
                </c:pt>
                <c:pt idx="611">
                  <c:v>79.8</c:v>
                </c:pt>
                <c:pt idx="612">
                  <c:v>70</c:v>
                </c:pt>
                <c:pt idx="613">
                  <c:v>75</c:v>
                </c:pt>
                <c:pt idx="614">
                  <c:v>95</c:v>
                </c:pt>
                <c:pt idx="615">
                  <c:v>92.4</c:v>
                </c:pt>
                <c:pt idx="616">
                  <c:v>86.4</c:v>
                </c:pt>
                <c:pt idx="617">
                  <c:v>79.099999999999994</c:v>
                </c:pt>
                <c:pt idx="618">
                  <c:v>91.5</c:v>
                </c:pt>
                <c:pt idx="619">
                  <c:v>80.3</c:v>
                </c:pt>
                <c:pt idx="620">
                  <c:v>98.3</c:v>
                </c:pt>
                <c:pt idx="621">
                  <c:v>79.3</c:v>
                </c:pt>
                <c:pt idx="622">
                  <c:v>89.5</c:v>
                </c:pt>
                <c:pt idx="623">
                  <c:v>75.7</c:v>
                </c:pt>
                <c:pt idx="624">
                  <c:v>89.6</c:v>
                </c:pt>
                <c:pt idx="625">
                  <c:v>71</c:v>
                </c:pt>
                <c:pt idx="626">
                  <c:v>96.8</c:v>
                </c:pt>
                <c:pt idx="627">
                  <c:v>61.9</c:v>
                </c:pt>
                <c:pt idx="628">
                  <c:v>93.9</c:v>
                </c:pt>
                <c:pt idx="629">
                  <c:v>81.3</c:v>
                </c:pt>
                <c:pt idx="630">
                  <c:v>77.599999999999994</c:v>
                </c:pt>
                <c:pt idx="631">
                  <c:v>71.400000000000006</c:v>
                </c:pt>
                <c:pt idx="632">
                  <c:v>89.4</c:v>
                </c:pt>
                <c:pt idx="633">
                  <c:v>74.3</c:v>
                </c:pt>
                <c:pt idx="634">
                  <c:v>76</c:v>
                </c:pt>
                <c:pt idx="635">
                  <c:v>96.3</c:v>
                </c:pt>
                <c:pt idx="636">
                  <c:v>100</c:v>
                </c:pt>
                <c:pt idx="637">
                  <c:v>99.9</c:v>
                </c:pt>
                <c:pt idx="638">
                  <c:v>83.8</c:v>
                </c:pt>
                <c:pt idx="639">
                  <c:v>79.400000000000006</c:v>
                </c:pt>
                <c:pt idx="640">
                  <c:v>86</c:v>
                </c:pt>
                <c:pt idx="641">
                  <c:v>97.9</c:v>
                </c:pt>
                <c:pt idx="642">
                  <c:v>90.5</c:v>
                </c:pt>
                <c:pt idx="643">
                  <c:v>70.400000000000006</c:v>
                </c:pt>
                <c:pt idx="644">
                  <c:v>82.9</c:v>
                </c:pt>
                <c:pt idx="645">
                  <c:v>75.5</c:v>
                </c:pt>
                <c:pt idx="646">
                  <c:v>100</c:v>
                </c:pt>
                <c:pt idx="647">
                  <c:v>94</c:v>
                </c:pt>
                <c:pt idx="648">
                  <c:v>88.9</c:v>
                </c:pt>
                <c:pt idx="649">
                  <c:v>97.3</c:v>
                </c:pt>
                <c:pt idx="650">
                  <c:v>59.5</c:v>
                </c:pt>
                <c:pt idx="651">
                  <c:v>73.3</c:v>
                </c:pt>
                <c:pt idx="652">
                  <c:v>88</c:v>
                </c:pt>
                <c:pt idx="653">
                  <c:v>74.8</c:v>
                </c:pt>
                <c:pt idx="654">
                  <c:v>89.9</c:v>
                </c:pt>
                <c:pt idx="655">
                  <c:v>72.599999999999994</c:v>
                </c:pt>
                <c:pt idx="656">
                  <c:v>83.6</c:v>
                </c:pt>
                <c:pt idx="657">
                  <c:v>100</c:v>
                </c:pt>
                <c:pt idx="658">
                  <c:v>84.3</c:v>
                </c:pt>
                <c:pt idx="659">
                  <c:v>85.4</c:v>
                </c:pt>
                <c:pt idx="660">
                  <c:v>95.2</c:v>
                </c:pt>
                <c:pt idx="661">
                  <c:v>69</c:v>
                </c:pt>
                <c:pt idx="662">
                  <c:v>94.2</c:v>
                </c:pt>
                <c:pt idx="663">
                  <c:v>99.7</c:v>
                </c:pt>
                <c:pt idx="664">
                  <c:v>85.8</c:v>
                </c:pt>
                <c:pt idx="665">
                  <c:v>91.7</c:v>
                </c:pt>
                <c:pt idx="666">
                  <c:v>92.2</c:v>
                </c:pt>
                <c:pt idx="667">
                  <c:v>96.3</c:v>
                </c:pt>
                <c:pt idx="668">
                  <c:v>97.6</c:v>
                </c:pt>
                <c:pt idx="669">
                  <c:v>66.400000000000006</c:v>
                </c:pt>
                <c:pt idx="670">
                  <c:v>60.8</c:v>
                </c:pt>
                <c:pt idx="671">
                  <c:v>99.8</c:v>
                </c:pt>
                <c:pt idx="672">
                  <c:v>85.2</c:v>
                </c:pt>
                <c:pt idx="673">
                  <c:v>73.2</c:v>
                </c:pt>
                <c:pt idx="674">
                  <c:v>83.8</c:v>
                </c:pt>
                <c:pt idx="675">
                  <c:v>61.3</c:v>
                </c:pt>
                <c:pt idx="676">
                  <c:v>90.6</c:v>
                </c:pt>
                <c:pt idx="677">
                  <c:v>67.7</c:v>
                </c:pt>
                <c:pt idx="678">
                  <c:v>63.6</c:v>
                </c:pt>
                <c:pt idx="679">
                  <c:v>84.1</c:v>
                </c:pt>
                <c:pt idx="680">
                  <c:v>86.2</c:v>
                </c:pt>
                <c:pt idx="681">
                  <c:v>93.9</c:v>
                </c:pt>
                <c:pt idx="682">
                  <c:v>73.900000000000006</c:v>
                </c:pt>
                <c:pt idx="683">
                  <c:v>79.3</c:v>
                </c:pt>
                <c:pt idx="684">
                  <c:v>83.8</c:v>
                </c:pt>
                <c:pt idx="685">
                  <c:v>91.7</c:v>
                </c:pt>
                <c:pt idx="686">
                  <c:v>91.7</c:v>
                </c:pt>
                <c:pt idx="687">
                  <c:v>74.400000000000006</c:v>
                </c:pt>
                <c:pt idx="688">
                  <c:v>81.5</c:v>
                </c:pt>
                <c:pt idx="689">
                  <c:v>67.7</c:v>
                </c:pt>
                <c:pt idx="690">
                  <c:v>71</c:v>
                </c:pt>
                <c:pt idx="691">
                  <c:v>79.900000000000006</c:v>
                </c:pt>
                <c:pt idx="692">
                  <c:v>92.2</c:v>
                </c:pt>
                <c:pt idx="693">
                  <c:v>100</c:v>
                </c:pt>
                <c:pt idx="694">
                  <c:v>89.6</c:v>
                </c:pt>
                <c:pt idx="695">
                  <c:v>77.5</c:v>
                </c:pt>
                <c:pt idx="696">
                  <c:v>72.599999999999994</c:v>
                </c:pt>
                <c:pt idx="697">
                  <c:v>97.9</c:v>
                </c:pt>
                <c:pt idx="698">
                  <c:v>85.5</c:v>
                </c:pt>
                <c:pt idx="699">
                  <c:v>92.1</c:v>
                </c:pt>
                <c:pt idx="700">
                  <c:v>84.5</c:v>
                </c:pt>
                <c:pt idx="701">
                  <c:v>82.8</c:v>
                </c:pt>
                <c:pt idx="702">
                  <c:v>65.400000000000006</c:v>
                </c:pt>
                <c:pt idx="703">
                  <c:v>89.6</c:v>
                </c:pt>
                <c:pt idx="704">
                  <c:v>83.1</c:v>
                </c:pt>
                <c:pt idx="705">
                  <c:v>94.2</c:v>
                </c:pt>
                <c:pt idx="706">
                  <c:v>92.9</c:v>
                </c:pt>
                <c:pt idx="707">
                  <c:v>77.099999999999994</c:v>
                </c:pt>
                <c:pt idx="708">
                  <c:v>98.3</c:v>
                </c:pt>
                <c:pt idx="709">
                  <c:v>72.099999999999994</c:v>
                </c:pt>
                <c:pt idx="710">
                  <c:v>94.6</c:v>
                </c:pt>
                <c:pt idx="711">
                  <c:v>67.099999999999994</c:v>
                </c:pt>
                <c:pt idx="712">
                  <c:v>72.2</c:v>
                </c:pt>
                <c:pt idx="713">
                  <c:v>95.6</c:v>
                </c:pt>
                <c:pt idx="714">
                  <c:v>91.9</c:v>
                </c:pt>
                <c:pt idx="715">
                  <c:v>54.1</c:v>
                </c:pt>
                <c:pt idx="716">
                  <c:v>98.5</c:v>
                </c:pt>
                <c:pt idx="717">
                  <c:v>85</c:v>
                </c:pt>
                <c:pt idx="718">
                  <c:v>99.1</c:v>
                </c:pt>
                <c:pt idx="719">
                  <c:v>78.2</c:v>
                </c:pt>
                <c:pt idx="720">
                  <c:v>83.8</c:v>
                </c:pt>
                <c:pt idx="721">
                  <c:v>70.7</c:v>
                </c:pt>
                <c:pt idx="722">
                  <c:v>69.900000000000006</c:v>
                </c:pt>
                <c:pt idx="723">
                  <c:v>93.7</c:v>
                </c:pt>
                <c:pt idx="724">
                  <c:v>84.9</c:v>
                </c:pt>
                <c:pt idx="725">
                  <c:v>100</c:v>
                </c:pt>
                <c:pt idx="726">
                  <c:v>97.5</c:v>
                </c:pt>
                <c:pt idx="727">
                  <c:v>88</c:v>
                </c:pt>
                <c:pt idx="728">
                  <c:v>85</c:v>
                </c:pt>
                <c:pt idx="729">
                  <c:v>98.9</c:v>
                </c:pt>
                <c:pt idx="730">
                  <c:v>100</c:v>
                </c:pt>
                <c:pt idx="731">
                  <c:v>85</c:v>
                </c:pt>
                <c:pt idx="732">
                  <c:v>74.3</c:v>
                </c:pt>
                <c:pt idx="733">
                  <c:v>99.6</c:v>
                </c:pt>
                <c:pt idx="734">
                  <c:v>79.8</c:v>
                </c:pt>
                <c:pt idx="735">
                  <c:v>91.3</c:v>
                </c:pt>
                <c:pt idx="736">
                  <c:v>95</c:v>
                </c:pt>
                <c:pt idx="737">
                  <c:v>66.599999999999994</c:v>
                </c:pt>
                <c:pt idx="738">
                  <c:v>93.1</c:v>
                </c:pt>
                <c:pt idx="739">
                  <c:v>81.8</c:v>
                </c:pt>
                <c:pt idx="740">
                  <c:v>62.9</c:v>
                </c:pt>
                <c:pt idx="741">
                  <c:v>94</c:v>
                </c:pt>
                <c:pt idx="742">
                  <c:v>85</c:v>
                </c:pt>
                <c:pt idx="743">
                  <c:v>82.4</c:v>
                </c:pt>
                <c:pt idx="744">
                  <c:v>89.5</c:v>
                </c:pt>
                <c:pt idx="745">
                  <c:v>83.3</c:v>
                </c:pt>
                <c:pt idx="746">
                  <c:v>100</c:v>
                </c:pt>
                <c:pt idx="747">
                  <c:v>92.4</c:v>
                </c:pt>
                <c:pt idx="748">
                  <c:v>77</c:v>
                </c:pt>
                <c:pt idx="749">
                  <c:v>95.1</c:v>
                </c:pt>
                <c:pt idx="750">
                  <c:v>88.8</c:v>
                </c:pt>
                <c:pt idx="751">
                  <c:v>93.2</c:v>
                </c:pt>
                <c:pt idx="752">
                  <c:v>96.4</c:v>
                </c:pt>
                <c:pt idx="753">
                  <c:v>67.2</c:v>
                </c:pt>
                <c:pt idx="754">
                  <c:v>84.6</c:v>
                </c:pt>
                <c:pt idx="755">
                  <c:v>89.8</c:v>
                </c:pt>
                <c:pt idx="756">
                  <c:v>90.3</c:v>
                </c:pt>
                <c:pt idx="757">
                  <c:v>82.5</c:v>
                </c:pt>
                <c:pt idx="758">
                  <c:v>84.5</c:v>
                </c:pt>
                <c:pt idx="759">
                  <c:v>72.099999999999994</c:v>
                </c:pt>
                <c:pt idx="760">
                  <c:v>53.2</c:v>
                </c:pt>
                <c:pt idx="761">
                  <c:v>74</c:v>
                </c:pt>
                <c:pt idx="762">
                  <c:v>96.8</c:v>
                </c:pt>
                <c:pt idx="763">
                  <c:v>81.2</c:v>
                </c:pt>
                <c:pt idx="764">
                  <c:v>85.4</c:v>
                </c:pt>
                <c:pt idx="765">
                  <c:v>81.099999999999994</c:v>
                </c:pt>
                <c:pt idx="766">
                  <c:v>83.9</c:v>
                </c:pt>
                <c:pt idx="767">
                  <c:v>71.2</c:v>
                </c:pt>
                <c:pt idx="768">
                  <c:v>85.5</c:v>
                </c:pt>
                <c:pt idx="769">
                  <c:v>98.4</c:v>
                </c:pt>
                <c:pt idx="770">
                  <c:v>82.6</c:v>
                </c:pt>
                <c:pt idx="771">
                  <c:v>91.6</c:v>
                </c:pt>
                <c:pt idx="772">
                  <c:v>91.3</c:v>
                </c:pt>
                <c:pt idx="773">
                  <c:v>84.3</c:v>
                </c:pt>
                <c:pt idx="774">
                  <c:v>74.599999999999994</c:v>
                </c:pt>
                <c:pt idx="775">
                  <c:v>88.6</c:v>
                </c:pt>
                <c:pt idx="776">
                  <c:v>73.599999999999994</c:v>
                </c:pt>
                <c:pt idx="777">
                  <c:v>95.8</c:v>
                </c:pt>
                <c:pt idx="778">
                  <c:v>87.1</c:v>
                </c:pt>
                <c:pt idx="779">
                  <c:v>89.9</c:v>
                </c:pt>
                <c:pt idx="780">
                  <c:v>79.099999999999994</c:v>
                </c:pt>
                <c:pt idx="781">
                  <c:v>97.6</c:v>
                </c:pt>
                <c:pt idx="782">
                  <c:v>90.3</c:v>
                </c:pt>
                <c:pt idx="783">
                  <c:v>78.099999999999994</c:v>
                </c:pt>
                <c:pt idx="784">
                  <c:v>92.6</c:v>
                </c:pt>
                <c:pt idx="785">
                  <c:v>97</c:v>
                </c:pt>
                <c:pt idx="786">
                  <c:v>77</c:v>
                </c:pt>
                <c:pt idx="787">
                  <c:v>96.8</c:v>
                </c:pt>
                <c:pt idx="788">
                  <c:v>72.099999999999994</c:v>
                </c:pt>
                <c:pt idx="789">
                  <c:v>75.400000000000006</c:v>
                </c:pt>
                <c:pt idx="790">
                  <c:v>57.6</c:v>
                </c:pt>
                <c:pt idx="791">
                  <c:v>67.599999999999994</c:v>
                </c:pt>
                <c:pt idx="792">
                  <c:v>91.2</c:v>
                </c:pt>
                <c:pt idx="793">
                  <c:v>86.8</c:v>
                </c:pt>
                <c:pt idx="794">
                  <c:v>89.5</c:v>
                </c:pt>
                <c:pt idx="795">
                  <c:v>100</c:v>
                </c:pt>
                <c:pt idx="796">
                  <c:v>93.4</c:v>
                </c:pt>
                <c:pt idx="797">
                  <c:v>78.7</c:v>
                </c:pt>
                <c:pt idx="798">
                  <c:v>60.8</c:v>
                </c:pt>
                <c:pt idx="799">
                  <c:v>96.1</c:v>
                </c:pt>
                <c:pt idx="800">
                  <c:v>83</c:v>
                </c:pt>
                <c:pt idx="801">
                  <c:v>94</c:v>
                </c:pt>
                <c:pt idx="802">
                  <c:v>100</c:v>
                </c:pt>
                <c:pt idx="803">
                  <c:v>94.6</c:v>
                </c:pt>
                <c:pt idx="804">
                  <c:v>87.7</c:v>
                </c:pt>
                <c:pt idx="805">
                  <c:v>82.1</c:v>
                </c:pt>
                <c:pt idx="806">
                  <c:v>80.099999999999994</c:v>
                </c:pt>
                <c:pt idx="807">
                  <c:v>57.8</c:v>
                </c:pt>
                <c:pt idx="808">
                  <c:v>74.3</c:v>
                </c:pt>
                <c:pt idx="809">
                  <c:v>82.5</c:v>
                </c:pt>
                <c:pt idx="810">
                  <c:v>85.9</c:v>
                </c:pt>
                <c:pt idx="811">
                  <c:v>88.4</c:v>
                </c:pt>
                <c:pt idx="812">
                  <c:v>100</c:v>
                </c:pt>
                <c:pt idx="813">
                  <c:v>75.599999999999994</c:v>
                </c:pt>
                <c:pt idx="814">
                  <c:v>78</c:v>
                </c:pt>
                <c:pt idx="815">
                  <c:v>80</c:v>
                </c:pt>
                <c:pt idx="816">
                  <c:v>80.2</c:v>
                </c:pt>
                <c:pt idx="817">
                  <c:v>82.2</c:v>
                </c:pt>
                <c:pt idx="818">
                  <c:v>79.599999999999994</c:v>
                </c:pt>
                <c:pt idx="819">
                  <c:v>96.3</c:v>
                </c:pt>
                <c:pt idx="820">
                  <c:v>65.400000000000006</c:v>
                </c:pt>
                <c:pt idx="821">
                  <c:v>79.900000000000006</c:v>
                </c:pt>
                <c:pt idx="822">
                  <c:v>71.599999999999994</c:v>
                </c:pt>
                <c:pt idx="823">
                  <c:v>100</c:v>
                </c:pt>
                <c:pt idx="824">
                  <c:v>93.9</c:v>
                </c:pt>
                <c:pt idx="825">
                  <c:v>87.5</c:v>
                </c:pt>
                <c:pt idx="826">
                  <c:v>86.3</c:v>
                </c:pt>
                <c:pt idx="827">
                  <c:v>77.599999999999994</c:v>
                </c:pt>
                <c:pt idx="828">
                  <c:v>70.2</c:v>
                </c:pt>
                <c:pt idx="829">
                  <c:v>100</c:v>
                </c:pt>
                <c:pt idx="830">
                  <c:v>73.5</c:v>
                </c:pt>
                <c:pt idx="831">
                  <c:v>91.2</c:v>
                </c:pt>
                <c:pt idx="832">
                  <c:v>78.099999999999994</c:v>
                </c:pt>
                <c:pt idx="833">
                  <c:v>89</c:v>
                </c:pt>
                <c:pt idx="834">
                  <c:v>82</c:v>
                </c:pt>
                <c:pt idx="835">
                  <c:v>89.5</c:v>
                </c:pt>
                <c:pt idx="836">
                  <c:v>100</c:v>
                </c:pt>
                <c:pt idx="837">
                  <c:v>88.7</c:v>
                </c:pt>
                <c:pt idx="838">
                  <c:v>86</c:v>
                </c:pt>
                <c:pt idx="839">
                  <c:v>82.9</c:v>
                </c:pt>
                <c:pt idx="840">
                  <c:v>88.6</c:v>
                </c:pt>
                <c:pt idx="841">
                  <c:v>79.2</c:v>
                </c:pt>
                <c:pt idx="842">
                  <c:v>85.1</c:v>
                </c:pt>
                <c:pt idx="843">
                  <c:v>80.2</c:v>
                </c:pt>
                <c:pt idx="844">
                  <c:v>80.2</c:v>
                </c:pt>
                <c:pt idx="845">
                  <c:v>80.3</c:v>
                </c:pt>
                <c:pt idx="846">
                  <c:v>69.8</c:v>
                </c:pt>
                <c:pt idx="847">
                  <c:v>100</c:v>
                </c:pt>
                <c:pt idx="848">
                  <c:v>80.8</c:v>
                </c:pt>
                <c:pt idx="849">
                  <c:v>100</c:v>
                </c:pt>
                <c:pt idx="850">
                  <c:v>99.5</c:v>
                </c:pt>
                <c:pt idx="851">
                  <c:v>80.7</c:v>
                </c:pt>
                <c:pt idx="852">
                  <c:v>86.6</c:v>
                </c:pt>
                <c:pt idx="853">
                  <c:v>98.8</c:v>
                </c:pt>
                <c:pt idx="854">
                  <c:v>81.900000000000006</c:v>
                </c:pt>
                <c:pt idx="855">
                  <c:v>79</c:v>
                </c:pt>
                <c:pt idx="856">
                  <c:v>91.7</c:v>
                </c:pt>
                <c:pt idx="857">
                  <c:v>78.8</c:v>
                </c:pt>
                <c:pt idx="858">
                  <c:v>84.8</c:v>
                </c:pt>
                <c:pt idx="859">
                  <c:v>66.5</c:v>
                </c:pt>
                <c:pt idx="860">
                  <c:v>91.1</c:v>
                </c:pt>
                <c:pt idx="861">
                  <c:v>74.2</c:v>
                </c:pt>
                <c:pt idx="862">
                  <c:v>86.3</c:v>
                </c:pt>
                <c:pt idx="863">
                  <c:v>71.2</c:v>
                </c:pt>
                <c:pt idx="864">
                  <c:v>83.5</c:v>
                </c:pt>
                <c:pt idx="865">
                  <c:v>89.8</c:v>
                </c:pt>
                <c:pt idx="866">
                  <c:v>80.3</c:v>
                </c:pt>
                <c:pt idx="867">
                  <c:v>91.6</c:v>
                </c:pt>
                <c:pt idx="868">
                  <c:v>95.8</c:v>
                </c:pt>
                <c:pt idx="869">
                  <c:v>84.4</c:v>
                </c:pt>
                <c:pt idx="870">
                  <c:v>96.1</c:v>
                </c:pt>
                <c:pt idx="871">
                  <c:v>92.6</c:v>
                </c:pt>
                <c:pt idx="872">
                  <c:v>75.5</c:v>
                </c:pt>
                <c:pt idx="873">
                  <c:v>85.1</c:v>
                </c:pt>
                <c:pt idx="874">
                  <c:v>93.8</c:v>
                </c:pt>
                <c:pt idx="875">
                  <c:v>81.400000000000006</c:v>
                </c:pt>
                <c:pt idx="876">
                  <c:v>98.8</c:v>
                </c:pt>
                <c:pt idx="877">
                  <c:v>65.400000000000006</c:v>
                </c:pt>
                <c:pt idx="878">
                  <c:v>77.599999999999994</c:v>
                </c:pt>
                <c:pt idx="879">
                  <c:v>85.6</c:v>
                </c:pt>
                <c:pt idx="880">
                  <c:v>81.400000000000006</c:v>
                </c:pt>
                <c:pt idx="881">
                  <c:v>85.4</c:v>
                </c:pt>
                <c:pt idx="882">
                  <c:v>71.900000000000006</c:v>
                </c:pt>
                <c:pt idx="883">
                  <c:v>94.4</c:v>
                </c:pt>
                <c:pt idx="884">
                  <c:v>100</c:v>
                </c:pt>
                <c:pt idx="885">
                  <c:v>77.099999999999994</c:v>
                </c:pt>
                <c:pt idx="886">
                  <c:v>76.8</c:v>
                </c:pt>
                <c:pt idx="887">
                  <c:v>79.8</c:v>
                </c:pt>
                <c:pt idx="888">
                  <c:v>82.2</c:v>
                </c:pt>
                <c:pt idx="889">
                  <c:v>77.400000000000006</c:v>
                </c:pt>
                <c:pt idx="890">
                  <c:v>100</c:v>
                </c:pt>
                <c:pt idx="891">
                  <c:v>87.2</c:v>
                </c:pt>
                <c:pt idx="892">
                  <c:v>76.400000000000006</c:v>
                </c:pt>
                <c:pt idx="893">
                  <c:v>79.599999999999994</c:v>
                </c:pt>
                <c:pt idx="894">
                  <c:v>71.400000000000006</c:v>
                </c:pt>
                <c:pt idx="895">
                  <c:v>80.8</c:v>
                </c:pt>
                <c:pt idx="896">
                  <c:v>91.1</c:v>
                </c:pt>
                <c:pt idx="897">
                  <c:v>78.8</c:v>
                </c:pt>
                <c:pt idx="898">
                  <c:v>66.7</c:v>
                </c:pt>
                <c:pt idx="899">
                  <c:v>68.8</c:v>
                </c:pt>
                <c:pt idx="900">
                  <c:v>69.900000000000006</c:v>
                </c:pt>
                <c:pt idx="901">
                  <c:v>80.7</c:v>
                </c:pt>
                <c:pt idx="902">
                  <c:v>73.3</c:v>
                </c:pt>
                <c:pt idx="903">
                  <c:v>68.8</c:v>
                </c:pt>
                <c:pt idx="904">
                  <c:v>90.8</c:v>
                </c:pt>
                <c:pt idx="905">
                  <c:v>100</c:v>
                </c:pt>
                <c:pt idx="906">
                  <c:v>85</c:v>
                </c:pt>
                <c:pt idx="907">
                  <c:v>86</c:v>
                </c:pt>
                <c:pt idx="908">
                  <c:v>73.099999999999994</c:v>
                </c:pt>
                <c:pt idx="909">
                  <c:v>87.6</c:v>
                </c:pt>
                <c:pt idx="910">
                  <c:v>96.5</c:v>
                </c:pt>
                <c:pt idx="911">
                  <c:v>100</c:v>
                </c:pt>
                <c:pt idx="912">
                  <c:v>82.1</c:v>
                </c:pt>
                <c:pt idx="913">
                  <c:v>80.3</c:v>
                </c:pt>
                <c:pt idx="914">
                  <c:v>76.900000000000006</c:v>
                </c:pt>
                <c:pt idx="915">
                  <c:v>81.7</c:v>
                </c:pt>
                <c:pt idx="916">
                  <c:v>88.1</c:v>
                </c:pt>
                <c:pt idx="917">
                  <c:v>88.1</c:v>
                </c:pt>
                <c:pt idx="918">
                  <c:v>97.3</c:v>
                </c:pt>
                <c:pt idx="919">
                  <c:v>83.4</c:v>
                </c:pt>
                <c:pt idx="920">
                  <c:v>72.8</c:v>
                </c:pt>
                <c:pt idx="921">
                  <c:v>90.5</c:v>
                </c:pt>
                <c:pt idx="922">
                  <c:v>83.8</c:v>
                </c:pt>
                <c:pt idx="923">
                  <c:v>93.1</c:v>
                </c:pt>
                <c:pt idx="924">
                  <c:v>71.2</c:v>
                </c:pt>
                <c:pt idx="925">
                  <c:v>95.3</c:v>
                </c:pt>
                <c:pt idx="926">
                  <c:v>99.6</c:v>
                </c:pt>
                <c:pt idx="927">
                  <c:v>92.4</c:v>
                </c:pt>
                <c:pt idx="928">
                  <c:v>75.400000000000006</c:v>
                </c:pt>
                <c:pt idx="929">
                  <c:v>80.8</c:v>
                </c:pt>
                <c:pt idx="930">
                  <c:v>72.900000000000006</c:v>
                </c:pt>
                <c:pt idx="931">
                  <c:v>63.7</c:v>
                </c:pt>
                <c:pt idx="932">
                  <c:v>75.3</c:v>
                </c:pt>
                <c:pt idx="933">
                  <c:v>71.7</c:v>
                </c:pt>
                <c:pt idx="934">
                  <c:v>100</c:v>
                </c:pt>
                <c:pt idx="935">
                  <c:v>83.3</c:v>
                </c:pt>
                <c:pt idx="936">
                  <c:v>85.6</c:v>
                </c:pt>
                <c:pt idx="937">
                  <c:v>93.1</c:v>
                </c:pt>
                <c:pt idx="938">
                  <c:v>77.3</c:v>
                </c:pt>
                <c:pt idx="939">
                  <c:v>74.8</c:v>
                </c:pt>
                <c:pt idx="940">
                  <c:v>76.7</c:v>
                </c:pt>
                <c:pt idx="941">
                  <c:v>85.3</c:v>
                </c:pt>
                <c:pt idx="942">
                  <c:v>68.599999999999994</c:v>
                </c:pt>
                <c:pt idx="943">
                  <c:v>96.4</c:v>
                </c:pt>
                <c:pt idx="944">
                  <c:v>95.7</c:v>
                </c:pt>
                <c:pt idx="945">
                  <c:v>96.1</c:v>
                </c:pt>
                <c:pt idx="946">
                  <c:v>70.400000000000006</c:v>
                </c:pt>
                <c:pt idx="947">
                  <c:v>85.8</c:v>
                </c:pt>
                <c:pt idx="948">
                  <c:v>100</c:v>
                </c:pt>
                <c:pt idx="949">
                  <c:v>65.8</c:v>
                </c:pt>
                <c:pt idx="950">
                  <c:v>72.400000000000006</c:v>
                </c:pt>
                <c:pt idx="951">
                  <c:v>83.6</c:v>
                </c:pt>
                <c:pt idx="952">
                  <c:v>89.5</c:v>
                </c:pt>
                <c:pt idx="953">
                  <c:v>77.900000000000006</c:v>
                </c:pt>
                <c:pt idx="954">
                  <c:v>100</c:v>
                </c:pt>
                <c:pt idx="955">
                  <c:v>88.3</c:v>
                </c:pt>
                <c:pt idx="956">
                  <c:v>93.5</c:v>
                </c:pt>
                <c:pt idx="957">
                  <c:v>89</c:v>
                </c:pt>
                <c:pt idx="958">
                  <c:v>87.6</c:v>
                </c:pt>
                <c:pt idx="959">
                  <c:v>80.5</c:v>
                </c:pt>
                <c:pt idx="960">
                  <c:v>75.400000000000006</c:v>
                </c:pt>
                <c:pt idx="961">
                  <c:v>80.7</c:v>
                </c:pt>
                <c:pt idx="962">
                  <c:v>73</c:v>
                </c:pt>
                <c:pt idx="963">
                  <c:v>78.400000000000006</c:v>
                </c:pt>
                <c:pt idx="964">
                  <c:v>69.5</c:v>
                </c:pt>
                <c:pt idx="965">
                  <c:v>76.2</c:v>
                </c:pt>
                <c:pt idx="966">
                  <c:v>90</c:v>
                </c:pt>
                <c:pt idx="967">
                  <c:v>100</c:v>
                </c:pt>
                <c:pt idx="968">
                  <c:v>60</c:v>
                </c:pt>
                <c:pt idx="969">
                  <c:v>78.3</c:v>
                </c:pt>
                <c:pt idx="970">
                  <c:v>100</c:v>
                </c:pt>
                <c:pt idx="971">
                  <c:v>75.599999999999994</c:v>
                </c:pt>
                <c:pt idx="972">
                  <c:v>84.1</c:v>
                </c:pt>
                <c:pt idx="973">
                  <c:v>77.900000000000006</c:v>
                </c:pt>
                <c:pt idx="974">
                  <c:v>67.900000000000006</c:v>
                </c:pt>
                <c:pt idx="975">
                  <c:v>67</c:v>
                </c:pt>
                <c:pt idx="976">
                  <c:v>80.900000000000006</c:v>
                </c:pt>
                <c:pt idx="977">
                  <c:v>72.099999999999994</c:v>
                </c:pt>
                <c:pt idx="978">
                  <c:v>83</c:v>
                </c:pt>
                <c:pt idx="979">
                  <c:v>93.9</c:v>
                </c:pt>
                <c:pt idx="980">
                  <c:v>91.4</c:v>
                </c:pt>
                <c:pt idx="981">
                  <c:v>79.7</c:v>
                </c:pt>
                <c:pt idx="982">
                  <c:v>77.7</c:v>
                </c:pt>
                <c:pt idx="983">
                  <c:v>85</c:v>
                </c:pt>
                <c:pt idx="984">
                  <c:v>75.400000000000006</c:v>
                </c:pt>
                <c:pt idx="985">
                  <c:v>96.4</c:v>
                </c:pt>
                <c:pt idx="986">
                  <c:v>81.8</c:v>
                </c:pt>
                <c:pt idx="987">
                  <c:v>85.8</c:v>
                </c:pt>
                <c:pt idx="988">
                  <c:v>80.900000000000006</c:v>
                </c:pt>
                <c:pt idx="989">
                  <c:v>93.9</c:v>
                </c:pt>
                <c:pt idx="990">
                  <c:v>81.900000000000006</c:v>
                </c:pt>
                <c:pt idx="991">
                  <c:v>80.400000000000006</c:v>
                </c:pt>
                <c:pt idx="992">
                  <c:v>78.8</c:v>
                </c:pt>
                <c:pt idx="993">
                  <c:v>92.7</c:v>
                </c:pt>
                <c:pt idx="994">
                  <c:v>79.099999999999994</c:v>
                </c:pt>
                <c:pt idx="995">
                  <c:v>70.7</c:v>
                </c:pt>
                <c:pt idx="996">
                  <c:v>99.5</c:v>
                </c:pt>
                <c:pt idx="997">
                  <c:v>79.2</c:v>
                </c:pt>
                <c:pt idx="998">
                  <c:v>82.2</c:v>
                </c:pt>
                <c:pt idx="999">
                  <c:v>70.400000000000006</c:v>
                </c:pt>
              </c:numCache>
            </c:numRef>
          </c:yVal>
          <c:smooth val="0"/>
          <c:extLst>
            <c:ext xmlns:c16="http://schemas.microsoft.com/office/drawing/2014/chart" uri="{C3380CC4-5D6E-409C-BE32-E72D297353CC}">
              <c16:uniqueId val="{00000000-E6A8-417A-9048-0E26F5C5B233}"/>
            </c:ext>
          </c:extLst>
        </c:ser>
        <c:dLbls>
          <c:showLegendKey val="0"/>
          <c:showVal val="0"/>
          <c:showCatName val="0"/>
          <c:showSerName val="0"/>
          <c:showPercent val="0"/>
          <c:showBubbleSize val="0"/>
        </c:dLbls>
        <c:axId val="1141638527"/>
        <c:axId val="134014063"/>
      </c:scatterChart>
      <c:valAx>
        <c:axId val="1141638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14063"/>
        <c:crosses val="autoZero"/>
        <c:crossBetween val="midCat"/>
      </c:valAx>
      <c:valAx>
        <c:axId val="13401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6385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Study Time vs Final Exam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'03_Clean_Data_Analysis'!$C$2:$C$1001</c:f>
              <c:numCache>
                <c:formatCode>General</c:formatCode>
                <c:ptCount val="1000"/>
                <c:pt idx="0">
                  <c:v>4</c:v>
                </c:pt>
                <c:pt idx="1">
                  <c:v>6.3</c:v>
                </c:pt>
                <c:pt idx="2">
                  <c:v>4.9000000000000004</c:v>
                </c:pt>
                <c:pt idx="3">
                  <c:v>2.6</c:v>
                </c:pt>
                <c:pt idx="4">
                  <c:v>2.2000000000000002</c:v>
                </c:pt>
                <c:pt idx="5">
                  <c:v>4.2</c:v>
                </c:pt>
                <c:pt idx="6">
                  <c:v>1.5</c:v>
                </c:pt>
                <c:pt idx="7">
                  <c:v>6.2</c:v>
                </c:pt>
                <c:pt idx="8">
                  <c:v>5.3</c:v>
                </c:pt>
                <c:pt idx="9">
                  <c:v>2.8</c:v>
                </c:pt>
                <c:pt idx="10">
                  <c:v>0.9</c:v>
                </c:pt>
                <c:pt idx="11">
                  <c:v>5.5</c:v>
                </c:pt>
                <c:pt idx="12">
                  <c:v>3.3</c:v>
                </c:pt>
                <c:pt idx="13">
                  <c:v>5.4</c:v>
                </c:pt>
                <c:pt idx="14">
                  <c:v>1.1000000000000001</c:v>
                </c:pt>
                <c:pt idx="15">
                  <c:v>2.6</c:v>
                </c:pt>
                <c:pt idx="16">
                  <c:v>3.5</c:v>
                </c:pt>
                <c:pt idx="17">
                  <c:v>3.6</c:v>
                </c:pt>
                <c:pt idx="18">
                  <c:v>2.8</c:v>
                </c:pt>
                <c:pt idx="19">
                  <c:v>4.4000000000000004</c:v>
                </c:pt>
                <c:pt idx="20">
                  <c:v>1.9</c:v>
                </c:pt>
                <c:pt idx="21">
                  <c:v>3.3</c:v>
                </c:pt>
                <c:pt idx="22">
                  <c:v>3.7</c:v>
                </c:pt>
                <c:pt idx="23">
                  <c:v>4.3</c:v>
                </c:pt>
                <c:pt idx="24">
                  <c:v>4.5999999999999996</c:v>
                </c:pt>
                <c:pt idx="25">
                  <c:v>1.8</c:v>
                </c:pt>
                <c:pt idx="26">
                  <c:v>1.2</c:v>
                </c:pt>
                <c:pt idx="27">
                  <c:v>5.4</c:v>
                </c:pt>
                <c:pt idx="28">
                  <c:v>4</c:v>
                </c:pt>
                <c:pt idx="29">
                  <c:v>2.4</c:v>
                </c:pt>
                <c:pt idx="30">
                  <c:v>5.8</c:v>
                </c:pt>
                <c:pt idx="31">
                  <c:v>3.7</c:v>
                </c:pt>
                <c:pt idx="32">
                  <c:v>5.3</c:v>
                </c:pt>
                <c:pt idx="33">
                  <c:v>3.6</c:v>
                </c:pt>
                <c:pt idx="34">
                  <c:v>6.6</c:v>
                </c:pt>
                <c:pt idx="35">
                  <c:v>6.1</c:v>
                </c:pt>
                <c:pt idx="36">
                  <c:v>3.1</c:v>
                </c:pt>
                <c:pt idx="37">
                  <c:v>5</c:v>
                </c:pt>
                <c:pt idx="38">
                  <c:v>4.5</c:v>
                </c:pt>
                <c:pt idx="39">
                  <c:v>5.6</c:v>
                </c:pt>
                <c:pt idx="40">
                  <c:v>2.1</c:v>
                </c:pt>
                <c:pt idx="41">
                  <c:v>4.5</c:v>
                </c:pt>
                <c:pt idx="42">
                  <c:v>5.0999999999999996</c:v>
                </c:pt>
                <c:pt idx="43">
                  <c:v>0.9</c:v>
                </c:pt>
                <c:pt idx="44">
                  <c:v>1.7</c:v>
                </c:pt>
                <c:pt idx="45">
                  <c:v>0.5</c:v>
                </c:pt>
                <c:pt idx="46">
                  <c:v>3.1</c:v>
                </c:pt>
                <c:pt idx="47">
                  <c:v>4.5999999999999996</c:v>
                </c:pt>
                <c:pt idx="48">
                  <c:v>5.8</c:v>
                </c:pt>
                <c:pt idx="49">
                  <c:v>3.6</c:v>
                </c:pt>
                <c:pt idx="50">
                  <c:v>5.9</c:v>
                </c:pt>
                <c:pt idx="51">
                  <c:v>1.4</c:v>
                </c:pt>
                <c:pt idx="52">
                  <c:v>0.9</c:v>
                </c:pt>
                <c:pt idx="53">
                  <c:v>3.4</c:v>
                </c:pt>
                <c:pt idx="54">
                  <c:v>4.0999999999999996</c:v>
                </c:pt>
                <c:pt idx="55">
                  <c:v>3.5</c:v>
                </c:pt>
                <c:pt idx="56">
                  <c:v>0.5</c:v>
                </c:pt>
                <c:pt idx="57">
                  <c:v>3.4</c:v>
                </c:pt>
                <c:pt idx="58">
                  <c:v>1.5</c:v>
                </c:pt>
                <c:pt idx="59">
                  <c:v>4.5</c:v>
                </c:pt>
                <c:pt idx="60">
                  <c:v>4</c:v>
                </c:pt>
                <c:pt idx="61">
                  <c:v>2.1</c:v>
                </c:pt>
                <c:pt idx="62">
                  <c:v>2.7</c:v>
                </c:pt>
                <c:pt idx="63">
                  <c:v>1.9</c:v>
                </c:pt>
                <c:pt idx="64">
                  <c:v>3.4</c:v>
                </c:pt>
                <c:pt idx="65">
                  <c:v>4.9000000000000004</c:v>
                </c:pt>
                <c:pt idx="66">
                  <c:v>2</c:v>
                </c:pt>
                <c:pt idx="67">
                  <c:v>4.3</c:v>
                </c:pt>
                <c:pt idx="68">
                  <c:v>2.7</c:v>
                </c:pt>
                <c:pt idx="69">
                  <c:v>2.2999999999999998</c:v>
                </c:pt>
                <c:pt idx="70">
                  <c:v>3.3</c:v>
                </c:pt>
                <c:pt idx="71">
                  <c:v>1.9</c:v>
                </c:pt>
                <c:pt idx="72">
                  <c:v>2.7</c:v>
                </c:pt>
                <c:pt idx="73">
                  <c:v>1.7</c:v>
                </c:pt>
                <c:pt idx="74">
                  <c:v>6.4</c:v>
                </c:pt>
                <c:pt idx="75">
                  <c:v>3.6</c:v>
                </c:pt>
                <c:pt idx="76">
                  <c:v>2.5</c:v>
                </c:pt>
                <c:pt idx="77">
                  <c:v>3.8</c:v>
                </c:pt>
                <c:pt idx="78">
                  <c:v>3.3</c:v>
                </c:pt>
                <c:pt idx="79">
                  <c:v>3.2</c:v>
                </c:pt>
                <c:pt idx="80">
                  <c:v>4.4000000000000004</c:v>
                </c:pt>
                <c:pt idx="81">
                  <c:v>4.5999999999999996</c:v>
                </c:pt>
                <c:pt idx="82">
                  <c:v>2.7</c:v>
                </c:pt>
                <c:pt idx="83">
                  <c:v>2.6</c:v>
                </c:pt>
                <c:pt idx="84">
                  <c:v>3.1</c:v>
                </c:pt>
                <c:pt idx="85">
                  <c:v>0.5</c:v>
                </c:pt>
                <c:pt idx="86">
                  <c:v>1.2</c:v>
                </c:pt>
                <c:pt idx="87">
                  <c:v>5.6</c:v>
                </c:pt>
                <c:pt idx="88">
                  <c:v>6</c:v>
                </c:pt>
                <c:pt idx="89">
                  <c:v>3.1</c:v>
                </c:pt>
                <c:pt idx="90">
                  <c:v>4.4000000000000004</c:v>
                </c:pt>
                <c:pt idx="91">
                  <c:v>4</c:v>
                </c:pt>
                <c:pt idx="92">
                  <c:v>8.1</c:v>
                </c:pt>
                <c:pt idx="93">
                  <c:v>5.2</c:v>
                </c:pt>
                <c:pt idx="94">
                  <c:v>3.3</c:v>
                </c:pt>
                <c:pt idx="95">
                  <c:v>2.1</c:v>
                </c:pt>
                <c:pt idx="96">
                  <c:v>1.1000000000000001</c:v>
                </c:pt>
                <c:pt idx="97">
                  <c:v>3.8</c:v>
                </c:pt>
                <c:pt idx="98">
                  <c:v>2.4</c:v>
                </c:pt>
                <c:pt idx="99">
                  <c:v>1.4</c:v>
                </c:pt>
                <c:pt idx="100">
                  <c:v>2.5</c:v>
                </c:pt>
                <c:pt idx="101">
                  <c:v>1.9</c:v>
                </c:pt>
                <c:pt idx="102">
                  <c:v>6</c:v>
                </c:pt>
                <c:pt idx="103">
                  <c:v>4.8</c:v>
                </c:pt>
                <c:pt idx="104">
                  <c:v>3.5</c:v>
                </c:pt>
                <c:pt idx="105">
                  <c:v>5.7</c:v>
                </c:pt>
                <c:pt idx="106">
                  <c:v>3.6</c:v>
                </c:pt>
                <c:pt idx="107">
                  <c:v>2.2000000000000002</c:v>
                </c:pt>
                <c:pt idx="108">
                  <c:v>5.8</c:v>
                </c:pt>
                <c:pt idx="109">
                  <c:v>4.3</c:v>
                </c:pt>
                <c:pt idx="110">
                  <c:v>1.9</c:v>
                </c:pt>
                <c:pt idx="111">
                  <c:v>3.2</c:v>
                </c:pt>
                <c:pt idx="112">
                  <c:v>2.2000000000000002</c:v>
                </c:pt>
                <c:pt idx="113">
                  <c:v>1.4</c:v>
                </c:pt>
                <c:pt idx="114">
                  <c:v>4.9000000000000004</c:v>
                </c:pt>
                <c:pt idx="115">
                  <c:v>6.4</c:v>
                </c:pt>
                <c:pt idx="116">
                  <c:v>1.4</c:v>
                </c:pt>
                <c:pt idx="117">
                  <c:v>4.3</c:v>
                </c:pt>
                <c:pt idx="118">
                  <c:v>2.5</c:v>
                </c:pt>
                <c:pt idx="119">
                  <c:v>2.8</c:v>
                </c:pt>
                <c:pt idx="120">
                  <c:v>2.6</c:v>
                </c:pt>
                <c:pt idx="121">
                  <c:v>2.2000000000000002</c:v>
                </c:pt>
                <c:pt idx="122">
                  <c:v>3.6</c:v>
                </c:pt>
                <c:pt idx="123">
                  <c:v>2.2999999999999998</c:v>
                </c:pt>
                <c:pt idx="124">
                  <c:v>3.9</c:v>
                </c:pt>
                <c:pt idx="125">
                  <c:v>3.4</c:v>
                </c:pt>
                <c:pt idx="126">
                  <c:v>3.1</c:v>
                </c:pt>
                <c:pt idx="127">
                  <c:v>2.1</c:v>
                </c:pt>
                <c:pt idx="128">
                  <c:v>2.6</c:v>
                </c:pt>
                <c:pt idx="129">
                  <c:v>4.5999999999999996</c:v>
                </c:pt>
                <c:pt idx="130">
                  <c:v>4.3</c:v>
                </c:pt>
                <c:pt idx="131">
                  <c:v>2</c:v>
                </c:pt>
                <c:pt idx="132">
                  <c:v>3.6</c:v>
                </c:pt>
                <c:pt idx="133">
                  <c:v>4.5999999999999996</c:v>
                </c:pt>
                <c:pt idx="134">
                  <c:v>1</c:v>
                </c:pt>
                <c:pt idx="135">
                  <c:v>4.3</c:v>
                </c:pt>
                <c:pt idx="136">
                  <c:v>2.5</c:v>
                </c:pt>
                <c:pt idx="137">
                  <c:v>4.4000000000000004</c:v>
                </c:pt>
                <c:pt idx="138">
                  <c:v>2.4</c:v>
                </c:pt>
                <c:pt idx="139">
                  <c:v>0.8</c:v>
                </c:pt>
                <c:pt idx="140">
                  <c:v>1.1000000000000001</c:v>
                </c:pt>
                <c:pt idx="141">
                  <c:v>3.6</c:v>
                </c:pt>
                <c:pt idx="142">
                  <c:v>3.9</c:v>
                </c:pt>
                <c:pt idx="143">
                  <c:v>2.1</c:v>
                </c:pt>
                <c:pt idx="144">
                  <c:v>4.5</c:v>
                </c:pt>
                <c:pt idx="145">
                  <c:v>1</c:v>
                </c:pt>
                <c:pt idx="146">
                  <c:v>3.4</c:v>
                </c:pt>
                <c:pt idx="147">
                  <c:v>1.7</c:v>
                </c:pt>
                <c:pt idx="148">
                  <c:v>2.5</c:v>
                </c:pt>
                <c:pt idx="149">
                  <c:v>3.6</c:v>
                </c:pt>
                <c:pt idx="150">
                  <c:v>2.2000000000000002</c:v>
                </c:pt>
                <c:pt idx="151">
                  <c:v>2.9</c:v>
                </c:pt>
                <c:pt idx="152">
                  <c:v>5</c:v>
                </c:pt>
                <c:pt idx="153">
                  <c:v>2.6</c:v>
                </c:pt>
                <c:pt idx="154">
                  <c:v>4.8</c:v>
                </c:pt>
                <c:pt idx="155">
                  <c:v>1.8</c:v>
                </c:pt>
                <c:pt idx="156">
                  <c:v>4.3</c:v>
                </c:pt>
                <c:pt idx="157">
                  <c:v>5.7</c:v>
                </c:pt>
                <c:pt idx="158">
                  <c:v>0.5</c:v>
                </c:pt>
                <c:pt idx="159">
                  <c:v>2.2999999999999998</c:v>
                </c:pt>
                <c:pt idx="160">
                  <c:v>4.4000000000000004</c:v>
                </c:pt>
                <c:pt idx="161">
                  <c:v>3.2</c:v>
                </c:pt>
                <c:pt idx="162">
                  <c:v>4.0999999999999996</c:v>
                </c:pt>
                <c:pt idx="163">
                  <c:v>2.6</c:v>
                </c:pt>
                <c:pt idx="164">
                  <c:v>3.6</c:v>
                </c:pt>
                <c:pt idx="165">
                  <c:v>3.3</c:v>
                </c:pt>
                <c:pt idx="166">
                  <c:v>5.3</c:v>
                </c:pt>
                <c:pt idx="167">
                  <c:v>3.9</c:v>
                </c:pt>
                <c:pt idx="168">
                  <c:v>4</c:v>
                </c:pt>
                <c:pt idx="169">
                  <c:v>2.9</c:v>
                </c:pt>
                <c:pt idx="170">
                  <c:v>2.8</c:v>
                </c:pt>
                <c:pt idx="171">
                  <c:v>2.9</c:v>
                </c:pt>
                <c:pt idx="172">
                  <c:v>4.0999999999999996</c:v>
                </c:pt>
                <c:pt idx="173">
                  <c:v>2.9</c:v>
                </c:pt>
                <c:pt idx="174">
                  <c:v>3.9</c:v>
                </c:pt>
                <c:pt idx="175">
                  <c:v>6.6</c:v>
                </c:pt>
                <c:pt idx="176">
                  <c:v>4.8</c:v>
                </c:pt>
                <c:pt idx="177">
                  <c:v>3</c:v>
                </c:pt>
                <c:pt idx="178">
                  <c:v>5.3</c:v>
                </c:pt>
                <c:pt idx="179">
                  <c:v>2.9</c:v>
                </c:pt>
                <c:pt idx="180">
                  <c:v>0.5</c:v>
                </c:pt>
                <c:pt idx="181">
                  <c:v>2</c:v>
                </c:pt>
                <c:pt idx="182">
                  <c:v>0.7</c:v>
                </c:pt>
                <c:pt idx="183">
                  <c:v>3</c:v>
                </c:pt>
                <c:pt idx="184">
                  <c:v>3.5</c:v>
                </c:pt>
                <c:pt idx="185">
                  <c:v>6</c:v>
                </c:pt>
                <c:pt idx="186">
                  <c:v>4</c:v>
                </c:pt>
                <c:pt idx="187">
                  <c:v>3.2</c:v>
                </c:pt>
                <c:pt idx="188">
                  <c:v>4.7</c:v>
                </c:pt>
                <c:pt idx="189">
                  <c:v>0.5</c:v>
                </c:pt>
                <c:pt idx="190">
                  <c:v>3.9</c:v>
                </c:pt>
                <c:pt idx="191">
                  <c:v>4.7</c:v>
                </c:pt>
                <c:pt idx="192">
                  <c:v>1.3</c:v>
                </c:pt>
                <c:pt idx="193">
                  <c:v>5.2</c:v>
                </c:pt>
                <c:pt idx="194">
                  <c:v>4</c:v>
                </c:pt>
                <c:pt idx="195">
                  <c:v>2.9</c:v>
                </c:pt>
                <c:pt idx="196">
                  <c:v>4.4000000000000004</c:v>
                </c:pt>
                <c:pt idx="197">
                  <c:v>6.9</c:v>
                </c:pt>
                <c:pt idx="198">
                  <c:v>3.8</c:v>
                </c:pt>
                <c:pt idx="199">
                  <c:v>3.9</c:v>
                </c:pt>
                <c:pt idx="200">
                  <c:v>2.8</c:v>
                </c:pt>
                <c:pt idx="201">
                  <c:v>2.2000000000000002</c:v>
                </c:pt>
                <c:pt idx="202">
                  <c:v>4.7</c:v>
                </c:pt>
                <c:pt idx="203">
                  <c:v>2.2000000000000002</c:v>
                </c:pt>
                <c:pt idx="204">
                  <c:v>3.6</c:v>
                </c:pt>
                <c:pt idx="205">
                  <c:v>2.8</c:v>
                </c:pt>
                <c:pt idx="206">
                  <c:v>4.2</c:v>
                </c:pt>
                <c:pt idx="207">
                  <c:v>4</c:v>
                </c:pt>
                <c:pt idx="208">
                  <c:v>5.0999999999999996</c:v>
                </c:pt>
                <c:pt idx="209">
                  <c:v>2.7</c:v>
                </c:pt>
                <c:pt idx="210">
                  <c:v>3.1</c:v>
                </c:pt>
                <c:pt idx="211">
                  <c:v>2</c:v>
                </c:pt>
                <c:pt idx="212">
                  <c:v>2.8</c:v>
                </c:pt>
                <c:pt idx="213">
                  <c:v>4.0999999999999996</c:v>
                </c:pt>
                <c:pt idx="214">
                  <c:v>4.5999999999999996</c:v>
                </c:pt>
                <c:pt idx="215">
                  <c:v>2.1</c:v>
                </c:pt>
                <c:pt idx="216">
                  <c:v>4.8</c:v>
                </c:pt>
                <c:pt idx="217">
                  <c:v>5.5</c:v>
                </c:pt>
                <c:pt idx="218">
                  <c:v>4.0999999999999996</c:v>
                </c:pt>
                <c:pt idx="219">
                  <c:v>6.3</c:v>
                </c:pt>
                <c:pt idx="220">
                  <c:v>2.2999999999999998</c:v>
                </c:pt>
                <c:pt idx="221">
                  <c:v>1.6</c:v>
                </c:pt>
                <c:pt idx="222">
                  <c:v>0.8</c:v>
                </c:pt>
                <c:pt idx="223">
                  <c:v>5.7</c:v>
                </c:pt>
                <c:pt idx="224">
                  <c:v>4.5</c:v>
                </c:pt>
                <c:pt idx="225">
                  <c:v>3.4</c:v>
                </c:pt>
                <c:pt idx="226">
                  <c:v>3.9</c:v>
                </c:pt>
                <c:pt idx="227">
                  <c:v>1.8</c:v>
                </c:pt>
                <c:pt idx="228">
                  <c:v>7.2</c:v>
                </c:pt>
                <c:pt idx="229">
                  <c:v>3.7</c:v>
                </c:pt>
                <c:pt idx="230">
                  <c:v>3.7</c:v>
                </c:pt>
                <c:pt idx="231">
                  <c:v>4.5999999999999996</c:v>
                </c:pt>
                <c:pt idx="232">
                  <c:v>4.2</c:v>
                </c:pt>
                <c:pt idx="233">
                  <c:v>3.8</c:v>
                </c:pt>
                <c:pt idx="234">
                  <c:v>2.2999999999999998</c:v>
                </c:pt>
                <c:pt idx="235">
                  <c:v>4.2</c:v>
                </c:pt>
                <c:pt idx="236">
                  <c:v>6.3</c:v>
                </c:pt>
                <c:pt idx="237">
                  <c:v>5.5</c:v>
                </c:pt>
                <c:pt idx="238">
                  <c:v>5.9</c:v>
                </c:pt>
                <c:pt idx="239">
                  <c:v>2.7</c:v>
                </c:pt>
                <c:pt idx="240">
                  <c:v>2</c:v>
                </c:pt>
                <c:pt idx="241">
                  <c:v>3.3</c:v>
                </c:pt>
                <c:pt idx="242">
                  <c:v>3.6</c:v>
                </c:pt>
                <c:pt idx="243">
                  <c:v>5.0999999999999996</c:v>
                </c:pt>
                <c:pt idx="244">
                  <c:v>1</c:v>
                </c:pt>
                <c:pt idx="245">
                  <c:v>5.8</c:v>
                </c:pt>
                <c:pt idx="246">
                  <c:v>3.3</c:v>
                </c:pt>
                <c:pt idx="247">
                  <c:v>2.9</c:v>
                </c:pt>
                <c:pt idx="248">
                  <c:v>2</c:v>
                </c:pt>
                <c:pt idx="249">
                  <c:v>1</c:v>
                </c:pt>
                <c:pt idx="250">
                  <c:v>4.7</c:v>
                </c:pt>
                <c:pt idx="251">
                  <c:v>3.6</c:v>
                </c:pt>
                <c:pt idx="252">
                  <c:v>1.6</c:v>
                </c:pt>
                <c:pt idx="253">
                  <c:v>1.6</c:v>
                </c:pt>
                <c:pt idx="254">
                  <c:v>3</c:v>
                </c:pt>
                <c:pt idx="255">
                  <c:v>6</c:v>
                </c:pt>
                <c:pt idx="256">
                  <c:v>3.1</c:v>
                </c:pt>
                <c:pt idx="257">
                  <c:v>1.2</c:v>
                </c:pt>
                <c:pt idx="258">
                  <c:v>3.1</c:v>
                </c:pt>
                <c:pt idx="259">
                  <c:v>3.1</c:v>
                </c:pt>
                <c:pt idx="260">
                  <c:v>0.5</c:v>
                </c:pt>
                <c:pt idx="261">
                  <c:v>3.4</c:v>
                </c:pt>
                <c:pt idx="262">
                  <c:v>3.2</c:v>
                </c:pt>
                <c:pt idx="263">
                  <c:v>4.5</c:v>
                </c:pt>
                <c:pt idx="264">
                  <c:v>6.3</c:v>
                </c:pt>
                <c:pt idx="265">
                  <c:v>5.2</c:v>
                </c:pt>
                <c:pt idx="266">
                  <c:v>3.1</c:v>
                </c:pt>
                <c:pt idx="267">
                  <c:v>1.8</c:v>
                </c:pt>
                <c:pt idx="268">
                  <c:v>7.4</c:v>
                </c:pt>
                <c:pt idx="269">
                  <c:v>3.6</c:v>
                </c:pt>
                <c:pt idx="270">
                  <c:v>3.5</c:v>
                </c:pt>
                <c:pt idx="271">
                  <c:v>3.5</c:v>
                </c:pt>
                <c:pt idx="272">
                  <c:v>3.8</c:v>
                </c:pt>
                <c:pt idx="273">
                  <c:v>3.3</c:v>
                </c:pt>
                <c:pt idx="274">
                  <c:v>2.6</c:v>
                </c:pt>
                <c:pt idx="275">
                  <c:v>2.7</c:v>
                </c:pt>
                <c:pt idx="276">
                  <c:v>3.5</c:v>
                </c:pt>
                <c:pt idx="277">
                  <c:v>2.7</c:v>
                </c:pt>
                <c:pt idx="278">
                  <c:v>2.4</c:v>
                </c:pt>
                <c:pt idx="279">
                  <c:v>3.7</c:v>
                </c:pt>
                <c:pt idx="280">
                  <c:v>3.1</c:v>
                </c:pt>
                <c:pt idx="281">
                  <c:v>5.8</c:v>
                </c:pt>
                <c:pt idx="282">
                  <c:v>0.5</c:v>
                </c:pt>
                <c:pt idx="283">
                  <c:v>5.0999999999999996</c:v>
                </c:pt>
                <c:pt idx="284">
                  <c:v>5.4</c:v>
                </c:pt>
                <c:pt idx="285">
                  <c:v>0.5</c:v>
                </c:pt>
                <c:pt idx="286">
                  <c:v>3</c:v>
                </c:pt>
                <c:pt idx="287">
                  <c:v>2.9</c:v>
                </c:pt>
                <c:pt idx="288">
                  <c:v>1.4</c:v>
                </c:pt>
                <c:pt idx="289">
                  <c:v>2.2999999999999998</c:v>
                </c:pt>
                <c:pt idx="290">
                  <c:v>1.8</c:v>
                </c:pt>
                <c:pt idx="291">
                  <c:v>6.1</c:v>
                </c:pt>
                <c:pt idx="292">
                  <c:v>4.9000000000000004</c:v>
                </c:pt>
                <c:pt idx="293">
                  <c:v>5.4</c:v>
                </c:pt>
                <c:pt idx="294">
                  <c:v>4.5999999999999996</c:v>
                </c:pt>
                <c:pt idx="295">
                  <c:v>1.8</c:v>
                </c:pt>
                <c:pt idx="296">
                  <c:v>2.7</c:v>
                </c:pt>
                <c:pt idx="297">
                  <c:v>4.2</c:v>
                </c:pt>
                <c:pt idx="298">
                  <c:v>1.7</c:v>
                </c:pt>
                <c:pt idx="299">
                  <c:v>4.5999999999999996</c:v>
                </c:pt>
                <c:pt idx="300">
                  <c:v>3.1</c:v>
                </c:pt>
                <c:pt idx="301">
                  <c:v>2.9</c:v>
                </c:pt>
                <c:pt idx="302">
                  <c:v>4.5999999999999996</c:v>
                </c:pt>
                <c:pt idx="303">
                  <c:v>4.2</c:v>
                </c:pt>
                <c:pt idx="304">
                  <c:v>3</c:v>
                </c:pt>
                <c:pt idx="305">
                  <c:v>5.2</c:v>
                </c:pt>
                <c:pt idx="306">
                  <c:v>1.9</c:v>
                </c:pt>
                <c:pt idx="307">
                  <c:v>4.4000000000000004</c:v>
                </c:pt>
                <c:pt idx="308">
                  <c:v>4.4000000000000004</c:v>
                </c:pt>
                <c:pt idx="309">
                  <c:v>3</c:v>
                </c:pt>
                <c:pt idx="310">
                  <c:v>4</c:v>
                </c:pt>
                <c:pt idx="311">
                  <c:v>1.6</c:v>
                </c:pt>
                <c:pt idx="312">
                  <c:v>4.9000000000000004</c:v>
                </c:pt>
                <c:pt idx="313">
                  <c:v>3.2</c:v>
                </c:pt>
                <c:pt idx="314">
                  <c:v>2.7</c:v>
                </c:pt>
                <c:pt idx="315">
                  <c:v>5.0999999999999996</c:v>
                </c:pt>
                <c:pt idx="316">
                  <c:v>2.4</c:v>
                </c:pt>
                <c:pt idx="317">
                  <c:v>1.4</c:v>
                </c:pt>
                <c:pt idx="318">
                  <c:v>1.2</c:v>
                </c:pt>
                <c:pt idx="319">
                  <c:v>4.4000000000000004</c:v>
                </c:pt>
                <c:pt idx="320">
                  <c:v>1.6</c:v>
                </c:pt>
                <c:pt idx="321">
                  <c:v>6.1</c:v>
                </c:pt>
                <c:pt idx="322">
                  <c:v>0.5</c:v>
                </c:pt>
                <c:pt idx="323">
                  <c:v>6</c:v>
                </c:pt>
                <c:pt idx="324">
                  <c:v>3.8</c:v>
                </c:pt>
                <c:pt idx="325">
                  <c:v>3.4</c:v>
                </c:pt>
                <c:pt idx="326">
                  <c:v>2.7</c:v>
                </c:pt>
                <c:pt idx="327">
                  <c:v>4.0999999999999996</c:v>
                </c:pt>
                <c:pt idx="328">
                  <c:v>3.4</c:v>
                </c:pt>
                <c:pt idx="329">
                  <c:v>5.2</c:v>
                </c:pt>
                <c:pt idx="330">
                  <c:v>3.7</c:v>
                </c:pt>
                <c:pt idx="331">
                  <c:v>3.7</c:v>
                </c:pt>
                <c:pt idx="332">
                  <c:v>3</c:v>
                </c:pt>
                <c:pt idx="333">
                  <c:v>3.4</c:v>
                </c:pt>
                <c:pt idx="334">
                  <c:v>4</c:v>
                </c:pt>
                <c:pt idx="335">
                  <c:v>0.9</c:v>
                </c:pt>
                <c:pt idx="336">
                  <c:v>1.5</c:v>
                </c:pt>
                <c:pt idx="337">
                  <c:v>4.5999999999999996</c:v>
                </c:pt>
                <c:pt idx="338">
                  <c:v>3.8</c:v>
                </c:pt>
                <c:pt idx="339">
                  <c:v>3.2</c:v>
                </c:pt>
                <c:pt idx="340">
                  <c:v>3.5</c:v>
                </c:pt>
                <c:pt idx="341">
                  <c:v>4</c:v>
                </c:pt>
                <c:pt idx="342">
                  <c:v>2.7</c:v>
                </c:pt>
                <c:pt idx="343">
                  <c:v>2.2999999999999998</c:v>
                </c:pt>
                <c:pt idx="344">
                  <c:v>3.8</c:v>
                </c:pt>
                <c:pt idx="345">
                  <c:v>2</c:v>
                </c:pt>
                <c:pt idx="346">
                  <c:v>4.0999999999999996</c:v>
                </c:pt>
                <c:pt idx="347">
                  <c:v>0.9</c:v>
                </c:pt>
                <c:pt idx="348">
                  <c:v>5</c:v>
                </c:pt>
                <c:pt idx="349">
                  <c:v>4.2</c:v>
                </c:pt>
                <c:pt idx="350">
                  <c:v>3.9</c:v>
                </c:pt>
                <c:pt idx="351">
                  <c:v>5</c:v>
                </c:pt>
                <c:pt idx="352">
                  <c:v>6</c:v>
                </c:pt>
                <c:pt idx="353">
                  <c:v>5</c:v>
                </c:pt>
                <c:pt idx="354">
                  <c:v>0.7</c:v>
                </c:pt>
                <c:pt idx="355">
                  <c:v>1.6</c:v>
                </c:pt>
                <c:pt idx="356">
                  <c:v>2.6</c:v>
                </c:pt>
                <c:pt idx="357">
                  <c:v>3.5</c:v>
                </c:pt>
                <c:pt idx="358">
                  <c:v>4.3</c:v>
                </c:pt>
                <c:pt idx="359">
                  <c:v>2.4</c:v>
                </c:pt>
                <c:pt idx="360">
                  <c:v>3.8</c:v>
                </c:pt>
                <c:pt idx="361">
                  <c:v>2.4</c:v>
                </c:pt>
                <c:pt idx="362">
                  <c:v>2.6</c:v>
                </c:pt>
                <c:pt idx="363">
                  <c:v>1.4</c:v>
                </c:pt>
                <c:pt idx="364">
                  <c:v>2.1</c:v>
                </c:pt>
                <c:pt idx="365">
                  <c:v>1.5</c:v>
                </c:pt>
                <c:pt idx="366">
                  <c:v>2</c:v>
                </c:pt>
                <c:pt idx="367">
                  <c:v>5.0999999999999996</c:v>
                </c:pt>
                <c:pt idx="368">
                  <c:v>2.1</c:v>
                </c:pt>
                <c:pt idx="369">
                  <c:v>7.4</c:v>
                </c:pt>
                <c:pt idx="370">
                  <c:v>4.2</c:v>
                </c:pt>
                <c:pt idx="371">
                  <c:v>3.8</c:v>
                </c:pt>
                <c:pt idx="372">
                  <c:v>2.2000000000000002</c:v>
                </c:pt>
                <c:pt idx="373">
                  <c:v>4.5999999999999996</c:v>
                </c:pt>
                <c:pt idx="374">
                  <c:v>2.6</c:v>
                </c:pt>
                <c:pt idx="375">
                  <c:v>3.7</c:v>
                </c:pt>
                <c:pt idx="376">
                  <c:v>7.3</c:v>
                </c:pt>
                <c:pt idx="377">
                  <c:v>3.4</c:v>
                </c:pt>
                <c:pt idx="378">
                  <c:v>5.2</c:v>
                </c:pt>
                <c:pt idx="379">
                  <c:v>2.4</c:v>
                </c:pt>
                <c:pt idx="380">
                  <c:v>3.4</c:v>
                </c:pt>
                <c:pt idx="381">
                  <c:v>6.2</c:v>
                </c:pt>
                <c:pt idx="382">
                  <c:v>2.6</c:v>
                </c:pt>
                <c:pt idx="383">
                  <c:v>6.2</c:v>
                </c:pt>
                <c:pt idx="384">
                  <c:v>4.5999999999999996</c:v>
                </c:pt>
                <c:pt idx="385">
                  <c:v>2.7</c:v>
                </c:pt>
                <c:pt idx="386">
                  <c:v>4.4000000000000004</c:v>
                </c:pt>
                <c:pt idx="387">
                  <c:v>5</c:v>
                </c:pt>
                <c:pt idx="388">
                  <c:v>4.4000000000000004</c:v>
                </c:pt>
                <c:pt idx="389">
                  <c:v>1.1000000000000001</c:v>
                </c:pt>
                <c:pt idx="390">
                  <c:v>2.4</c:v>
                </c:pt>
                <c:pt idx="391">
                  <c:v>3.1</c:v>
                </c:pt>
                <c:pt idx="392">
                  <c:v>3.4</c:v>
                </c:pt>
                <c:pt idx="393">
                  <c:v>4.4000000000000004</c:v>
                </c:pt>
                <c:pt idx="394">
                  <c:v>3.8</c:v>
                </c:pt>
                <c:pt idx="395">
                  <c:v>1.5</c:v>
                </c:pt>
                <c:pt idx="396">
                  <c:v>4.0999999999999996</c:v>
                </c:pt>
                <c:pt idx="397">
                  <c:v>4.4000000000000004</c:v>
                </c:pt>
                <c:pt idx="398">
                  <c:v>4.3</c:v>
                </c:pt>
                <c:pt idx="399">
                  <c:v>5.0999999999999996</c:v>
                </c:pt>
                <c:pt idx="400">
                  <c:v>4.8</c:v>
                </c:pt>
                <c:pt idx="401">
                  <c:v>4.2</c:v>
                </c:pt>
                <c:pt idx="402">
                  <c:v>3.4</c:v>
                </c:pt>
                <c:pt idx="403">
                  <c:v>1</c:v>
                </c:pt>
                <c:pt idx="404">
                  <c:v>4.0999999999999996</c:v>
                </c:pt>
                <c:pt idx="405">
                  <c:v>3.8</c:v>
                </c:pt>
                <c:pt idx="406">
                  <c:v>3.9</c:v>
                </c:pt>
                <c:pt idx="407">
                  <c:v>1.6</c:v>
                </c:pt>
                <c:pt idx="408">
                  <c:v>1.9</c:v>
                </c:pt>
                <c:pt idx="409">
                  <c:v>5.0999999999999996</c:v>
                </c:pt>
                <c:pt idx="410">
                  <c:v>3.4</c:v>
                </c:pt>
                <c:pt idx="411">
                  <c:v>4.5</c:v>
                </c:pt>
                <c:pt idx="412">
                  <c:v>3.5</c:v>
                </c:pt>
                <c:pt idx="413">
                  <c:v>3.5</c:v>
                </c:pt>
                <c:pt idx="414">
                  <c:v>4.9000000000000004</c:v>
                </c:pt>
                <c:pt idx="415">
                  <c:v>2.7</c:v>
                </c:pt>
                <c:pt idx="416">
                  <c:v>3.6</c:v>
                </c:pt>
                <c:pt idx="417">
                  <c:v>2.8</c:v>
                </c:pt>
                <c:pt idx="418">
                  <c:v>2.8</c:v>
                </c:pt>
                <c:pt idx="419">
                  <c:v>3</c:v>
                </c:pt>
                <c:pt idx="420">
                  <c:v>3.8</c:v>
                </c:pt>
                <c:pt idx="421">
                  <c:v>2.8</c:v>
                </c:pt>
                <c:pt idx="422">
                  <c:v>5.4</c:v>
                </c:pt>
                <c:pt idx="423">
                  <c:v>2.2000000000000002</c:v>
                </c:pt>
                <c:pt idx="424">
                  <c:v>3.2</c:v>
                </c:pt>
                <c:pt idx="425">
                  <c:v>2.8</c:v>
                </c:pt>
                <c:pt idx="426">
                  <c:v>5.7</c:v>
                </c:pt>
                <c:pt idx="427">
                  <c:v>3.8</c:v>
                </c:pt>
                <c:pt idx="428">
                  <c:v>5</c:v>
                </c:pt>
                <c:pt idx="429">
                  <c:v>1.3</c:v>
                </c:pt>
                <c:pt idx="430">
                  <c:v>3.9</c:v>
                </c:pt>
                <c:pt idx="431">
                  <c:v>4.8</c:v>
                </c:pt>
                <c:pt idx="432">
                  <c:v>3.6</c:v>
                </c:pt>
                <c:pt idx="433">
                  <c:v>5.0999999999999996</c:v>
                </c:pt>
                <c:pt idx="434">
                  <c:v>2.7</c:v>
                </c:pt>
                <c:pt idx="435">
                  <c:v>5.6</c:v>
                </c:pt>
                <c:pt idx="436">
                  <c:v>6.9</c:v>
                </c:pt>
                <c:pt idx="437">
                  <c:v>3</c:v>
                </c:pt>
                <c:pt idx="438">
                  <c:v>2.8</c:v>
                </c:pt>
                <c:pt idx="439">
                  <c:v>5.7</c:v>
                </c:pt>
                <c:pt idx="440">
                  <c:v>5.9</c:v>
                </c:pt>
                <c:pt idx="441">
                  <c:v>2.7</c:v>
                </c:pt>
                <c:pt idx="442">
                  <c:v>2.9</c:v>
                </c:pt>
                <c:pt idx="443">
                  <c:v>3.1</c:v>
                </c:pt>
                <c:pt idx="444">
                  <c:v>1.5</c:v>
                </c:pt>
                <c:pt idx="445">
                  <c:v>2.1</c:v>
                </c:pt>
                <c:pt idx="446">
                  <c:v>2</c:v>
                </c:pt>
                <c:pt idx="447">
                  <c:v>2.2999999999999998</c:v>
                </c:pt>
                <c:pt idx="448">
                  <c:v>3.4</c:v>
                </c:pt>
                <c:pt idx="449">
                  <c:v>3.9</c:v>
                </c:pt>
                <c:pt idx="450">
                  <c:v>5.8</c:v>
                </c:pt>
                <c:pt idx="451">
                  <c:v>2</c:v>
                </c:pt>
                <c:pt idx="452">
                  <c:v>5</c:v>
                </c:pt>
                <c:pt idx="453">
                  <c:v>3.2</c:v>
                </c:pt>
                <c:pt idx="454">
                  <c:v>3.4</c:v>
                </c:pt>
                <c:pt idx="455">
                  <c:v>4.5</c:v>
                </c:pt>
                <c:pt idx="456">
                  <c:v>1.8</c:v>
                </c:pt>
                <c:pt idx="457">
                  <c:v>4.0999999999999996</c:v>
                </c:pt>
                <c:pt idx="458">
                  <c:v>3.7</c:v>
                </c:pt>
                <c:pt idx="459">
                  <c:v>4.2</c:v>
                </c:pt>
                <c:pt idx="460">
                  <c:v>3.9</c:v>
                </c:pt>
                <c:pt idx="461">
                  <c:v>7.2</c:v>
                </c:pt>
                <c:pt idx="462">
                  <c:v>2.5</c:v>
                </c:pt>
                <c:pt idx="463">
                  <c:v>2.7</c:v>
                </c:pt>
                <c:pt idx="464">
                  <c:v>2.6</c:v>
                </c:pt>
                <c:pt idx="465">
                  <c:v>2.7</c:v>
                </c:pt>
                <c:pt idx="466">
                  <c:v>2.5</c:v>
                </c:pt>
                <c:pt idx="467">
                  <c:v>5.3</c:v>
                </c:pt>
                <c:pt idx="468">
                  <c:v>5.6</c:v>
                </c:pt>
                <c:pt idx="469">
                  <c:v>2.6</c:v>
                </c:pt>
                <c:pt idx="470">
                  <c:v>2.2999999999999998</c:v>
                </c:pt>
                <c:pt idx="471">
                  <c:v>4.2</c:v>
                </c:pt>
                <c:pt idx="472">
                  <c:v>2.7</c:v>
                </c:pt>
                <c:pt idx="473">
                  <c:v>4.4000000000000004</c:v>
                </c:pt>
                <c:pt idx="474">
                  <c:v>3.8</c:v>
                </c:pt>
                <c:pt idx="475">
                  <c:v>1.2</c:v>
                </c:pt>
                <c:pt idx="476">
                  <c:v>5.8</c:v>
                </c:pt>
                <c:pt idx="477">
                  <c:v>6.2</c:v>
                </c:pt>
                <c:pt idx="478">
                  <c:v>2.6</c:v>
                </c:pt>
                <c:pt idx="479">
                  <c:v>2.9</c:v>
                </c:pt>
                <c:pt idx="480">
                  <c:v>3.9</c:v>
                </c:pt>
                <c:pt idx="481">
                  <c:v>4</c:v>
                </c:pt>
                <c:pt idx="482">
                  <c:v>4.5</c:v>
                </c:pt>
                <c:pt idx="483">
                  <c:v>6.5</c:v>
                </c:pt>
                <c:pt idx="484">
                  <c:v>3.2</c:v>
                </c:pt>
                <c:pt idx="485">
                  <c:v>2.2999999999999998</c:v>
                </c:pt>
                <c:pt idx="486">
                  <c:v>1.4</c:v>
                </c:pt>
                <c:pt idx="487">
                  <c:v>2.4</c:v>
                </c:pt>
                <c:pt idx="488">
                  <c:v>3.5</c:v>
                </c:pt>
                <c:pt idx="489">
                  <c:v>6.2</c:v>
                </c:pt>
                <c:pt idx="490">
                  <c:v>2.7</c:v>
                </c:pt>
                <c:pt idx="491">
                  <c:v>3.8</c:v>
                </c:pt>
                <c:pt idx="492">
                  <c:v>3.5</c:v>
                </c:pt>
                <c:pt idx="493">
                  <c:v>5.3</c:v>
                </c:pt>
                <c:pt idx="494">
                  <c:v>7.3</c:v>
                </c:pt>
                <c:pt idx="495">
                  <c:v>2.7</c:v>
                </c:pt>
                <c:pt idx="496">
                  <c:v>2.8</c:v>
                </c:pt>
                <c:pt idx="497">
                  <c:v>5.0999999999999996</c:v>
                </c:pt>
                <c:pt idx="498">
                  <c:v>4.5</c:v>
                </c:pt>
                <c:pt idx="499">
                  <c:v>6.3</c:v>
                </c:pt>
                <c:pt idx="500">
                  <c:v>4.4000000000000004</c:v>
                </c:pt>
                <c:pt idx="501">
                  <c:v>3</c:v>
                </c:pt>
                <c:pt idx="502">
                  <c:v>4.4000000000000004</c:v>
                </c:pt>
                <c:pt idx="503">
                  <c:v>5.2</c:v>
                </c:pt>
                <c:pt idx="504">
                  <c:v>4.7</c:v>
                </c:pt>
                <c:pt idx="505">
                  <c:v>4.3</c:v>
                </c:pt>
                <c:pt idx="506">
                  <c:v>5.0999999999999996</c:v>
                </c:pt>
                <c:pt idx="507">
                  <c:v>5.3</c:v>
                </c:pt>
                <c:pt idx="508">
                  <c:v>5.6</c:v>
                </c:pt>
                <c:pt idx="509">
                  <c:v>4.5</c:v>
                </c:pt>
                <c:pt idx="510">
                  <c:v>3.2</c:v>
                </c:pt>
                <c:pt idx="511">
                  <c:v>3.7</c:v>
                </c:pt>
                <c:pt idx="512">
                  <c:v>5.3</c:v>
                </c:pt>
                <c:pt idx="513">
                  <c:v>2.2999999999999998</c:v>
                </c:pt>
                <c:pt idx="514">
                  <c:v>4.0999999999999996</c:v>
                </c:pt>
                <c:pt idx="515">
                  <c:v>2.9</c:v>
                </c:pt>
                <c:pt idx="516">
                  <c:v>3.5</c:v>
                </c:pt>
                <c:pt idx="517">
                  <c:v>5.4</c:v>
                </c:pt>
                <c:pt idx="518">
                  <c:v>3.8</c:v>
                </c:pt>
                <c:pt idx="519">
                  <c:v>3.6</c:v>
                </c:pt>
                <c:pt idx="520">
                  <c:v>1.5</c:v>
                </c:pt>
                <c:pt idx="521">
                  <c:v>4.5999999999999996</c:v>
                </c:pt>
                <c:pt idx="522">
                  <c:v>4.5</c:v>
                </c:pt>
                <c:pt idx="523">
                  <c:v>6.7</c:v>
                </c:pt>
                <c:pt idx="524">
                  <c:v>3</c:v>
                </c:pt>
                <c:pt idx="525">
                  <c:v>3.8</c:v>
                </c:pt>
                <c:pt idx="526">
                  <c:v>3.9</c:v>
                </c:pt>
                <c:pt idx="527">
                  <c:v>5.9</c:v>
                </c:pt>
                <c:pt idx="528">
                  <c:v>3.4</c:v>
                </c:pt>
                <c:pt idx="529">
                  <c:v>3.9</c:v>
                </c:pt>
                <c:pt idx="530">
                  <c:v>4.4000000000000004</c:v>
                </c:pt>
                <c:pt idx="531">
                  <c:v>3.8</c:v>
                </c:pt>
                <c:pt idx="532">
                  <c:v>2.8</c:v>
                </c:pt>
                <c:pt idx="533">
                  <c:v>3.8</c:v>
                </c:pt>
                <c:pt idx="534">
                  <c:v>5.0999999999999996</c:v>
                </c:pt>
                <c:pt idx="535">
                  <c:v>2</c:v>
                </c:pt>
                <c:pt idx="536">
                  <c:v>3.7</c:v>
                </c:pt>
                <c:pt idx="537">
                  <c:v>2.4</c:v>
                </c:pt>
                <c:pt idx="538">
                  <c:v>5.3</c:v>
                </c:pt>
                <c:pt idx="539">
                  <c:v>1.2</c:v>
                </c:pt>
                <c:pt idx="540">
                  <c:v>2.7</c:v>
                </c:pt>
                <c:pt idx="541">
                  <c:v>4.0999999999999996</c:v>
                </c:pt>
                <c:pt idx="542">
                  <c:v>5.8</c:v>
                </c:pt>
                <c:pt idx="543">
                  <c:v>3.4</c:v>
                </c:pt>
                <c:pt idx="544">
                  <c:v>2.7</c:v>
                </c:pt>
                <c:pt idx="545">
                  <c:v>6.3</c:v>
                </c:pt>
                <c:pt idx="546">
                  <c:v>1.3</c:v>
                </c:pt>
                <c:pt idx="547">
                  <c:v>0.5</c:v>
                </c:pt>
                <c:pt idx="548">
                  <c:v>4.2</c:v>
                </c:pt>
                <c:pt idx="549">
                  <c:v>2.7</c:v>
                </c:pt>
                <c:pt idx="550">
                  <c:v>2</c:v>
                </c:pt>
                <c:pt idx="551">
                  <c:v>4.5999999999999996</c:v>
                </c:pt>
                <c:pt idx="552">
                  <c:v>3.9</c:v>
                </c:pt>
                <c:pt idx="553">
                  <c:v>2.7</c:v>
                </c:pt>
                <c:pt idx="554">
                  <c:v>1.6</c:v>
                </c:pt>
                <c:pt idx="555">
                  <c:v>4.8</c:v>
                </c:pt>
                <c:pt idx="556">
                  <c:v>4.5</c:v>
                </c:pt>
                <c:pt idx="557">
                  <c:v>3.4</c:v>
                </c:pt>
                <c:pt idx="558">
                  <c:v>6.3</c:v>
                </c:pt>
                <c:pt idx="559">
                  <c:v>1.9</c:v>
                </c:pt>
                <c:pt idx="560">
                  <c:v>1.2</c:v>
                </c:pt>
                <c:pt idx="561">
                  <c:v>2.5</c:v>
                </c:pt>
                <c:pt idx="562">
                  <c:v>3.4</c:v>
                </c:pt>
                <c:pt idx="563">
                  <c:v>3.9</c:v>
                </c:pt>
                <c:pt idx="564">
                  <c:v>3.1</c:v>
                </c:pt>
                <c:pt idx="565">
                  <c:v>4</c:v>
                </c:pt>
                <c:pt idx="566">
                  <c:v>1.6</c:v>
                </c:pt>
                <c:pt idx="567">
                  <c:v>5.7</c:v>
                </c:pt>
                <c:pt idx="568">
                  <c:v>3.4</c:v>
                </c:pt>
                <c:pt idx="569">
                  <c:v>5.2</c:v>
                </c:pt>
                <c:pt idx="570">
                  <c:v>4</c:v>
                </c:pt>
                <c:pt idx="571">
                  <c:v>4.2</c:v>
                </c:pt>
                <c:pt idx="572">
                  <c:v>4.4000000000000004</c:v>
                </c:pt>
                <c:pt idx="573">
                  <c:v>4.2</c:v>
                </c:pt>
                <c:pt idx="574">
                  <c:v>4.5</c:v>
                </c:pt>
                <c:pt idx="575">
                  <c:v>5.5</c:v>
                </c:pt>
                <c:pt idx="576">
                  <c:v>3.8</c:v>
                </c:pt>
                <c:pt idx="577">
                  <c:v>4.5999999999999996</c:v>
                </c:pt>
                <c:pt idx="578">
                  <c:v>3.4</c:v>
                </c:pt>
                <c:pt idx="579">
                  <c:v>5.7</c:v>
                </c:pt>
                <c:pt idx="580">
                  <c:v>2.5</c:v>
                </c:pt>
                <c:pt idx="581">
                  <c:v>6.2</c:v>
                </c:pt>
                <c:pt idx="582">
                  <c:v>3.4</c:v>
                </c:pt>
                <c:pt idx="583">
                  <c:v>1.4</c:v>
                </c:pt>
                <c:pt idx="584">
                  <c:v>3.7</c:v>
                </c:pt>
                <c:pt idx="585">
                  <c:v>2.5</c:v>
                </c:pt>
                <c:pt idx="586">
                  <c:v>4.8</c:v>
                </c:pt>
                <c:pt idx="587">
                  <c:v>2.5</c:v>
                </c:pt>
                <c:pt idx="588">
                  <c:v>2.8</c:v>
                </c:pt>
                <c:pt idx="589">
                  <c:v>0.7</c:v>
                </c:pt>
                <c:pt idx="590">
                  <c:v>2.8</c:v>
                </c:pt>
                <c:pt idx="591">
                  <c:v>0.5</c:v>
                </c:pt>
                <c:pt idx="592">
                  <c:v>1.1000000000000001</c:v>
                </c:pt>
                <c:pt idx="593">
                  <c:v>4.5999999999999996</c:v>
                </c:pt>
                <c:pt idx="594">
                  <c:v>4.7</c:v>
                </c:pt>
                <c:pt idx="595">
                  <c:v>4.0999999999999996</c:v>
                </c:pt>
                <c:pt idx="596">
                  <c:v>2</c:v>
                </c:pt>
                <c:pt idx="597">
                  <c:v>3.4</c:v>
                </c:pt>
                <c:pt idx="598">
                  <c:v>3.5</c:v>
                </c:pt>
                <c:pt idx="599">
                  <c:v>1.8</c:v>
                </c:pt>
                <c:pt idx="600">
                  <c:v>5.8</c:v>
                </c:pt>
                <c:pt idx="601">
                  <c:v>4.8</c:v>
                </c:pt>
                <c:pt idx="602">
                  <c:v>3.2</c:v>
                </c:pt>
                <c:pt idx="603">
                  <c:v>3.5</c:v>
                </c:pt>
                <c:pt idx="604">
                  <c:v>3.8</c:v>
                </c:pt>
                <c:pt idx="605">
                  <c:v>0.5</c:v>
                </c:pt>
                <c:pt idx="606">
                  <c:v>3.1</c:v>
                </c:pt>
                <c:pt idx="607">
                  <c:v>2.5</c:v>
                </c:pt>
                <c:pt idx="608">
                  <c:v>2</c:v>
                </c:pt>
                <c:pt idx="609">
                  <c:v>3.1</c:v>
                </c:pt>
                <c:pt idx="610">
                  <c:v>6.2</c:v>
                </c:pt>
                <c:pt idx="611">
                  <c:v>4.5</c:v>
                </c:pt>
                <c:pt idx="612">
                  <c:v>2.6</c:v>
                </c:pt>
                <c:pt idx="613">
                  <c:v>4.4000000000000004</c:v>
                </c:pt>
                <c:pt idx="614">
                  <c:v>5.6</c:v>
                </c:pt>
                <c:pt idx="615">
                  <c:v>4.9000000000000004</c:v>
                </c:pt>
                <c:pt idx="616">
                  <c:v>3.6</c:v>
                </c:pt>
                <c:pt idx="617">
                  <c:v>2.5</c:v>
                </c:pt>
                <c:pt idx="618">
                  <c:v>4.5</c:v>
                </c:pt>
                <c:pt idx="619">
                  <c:v>4.0999999999999996</c:v>
                </c:pt>
                <c:pt idx="620">
                  <c:v>4.8</c:v>
                </c:pt>
                <c:pt idx="621">
                  <c:v>4.5</c:v>
                </c:pt>
                <c:pt idx="622">
                  <c:v>5.0999999999999996</c:v>
                </c:pt>
                <c:pt idx="623">
                  <c:v>2.7</c:v>
                </c:pt>
                <c:pt idx="624">
                  <c:v>5.5</c:v>
                </c:pt>
                <c:pt idx="625">
                  <c:v>3.8</c:v>
                </c:pt>
                <c:pt idx="626">
                  <c:v>6.6</c:v>
                </c:pt>
                <c:pt idx="627">
                  <c:v>2.5</c:v>
                </c:pt>
                <c:pt idx="628">
                  <c:v>6.1</c:v>
                </c:pt>
                <c:pt idx="629">
                  <c:v>3.8</c:v>
                </c:pt>
                <c:pt idx="630">
                  <c:v>2.5</c:v>
                </c:pt>
                <c:pt idx="631">
                  <c:v>2.8</c:v>
                </c:pt>
                <c:pt idx="632">
                  <c:v>3</c:v>
                </c:pt>
                <c:pt idx="633">
                  <c:v>4.0999999999999996</c:v>
                </c:pt>
                <c:pt idx="634">
                  <c:v>4.3</c:v>
                </c:pt>
                <c:pt idx="635">
                  <c:v>2.6</c:v>
                </c:pt>
                <c:pt idx="636">
                  <c:v>3.5</c:v>
                </c:pt>
                <c:pt idx="637">
                  <c:v>6.7</c:v>
                </c:pt>
                <c:pt idx="638">
                  <c:v>6.1</c:v>
                </c:pt>
                <c:pt idx="639">
                  <c:v>4.2</c:v>
                </c:pt>
                <c:pt idx="640">
                  <c:v>3.6</c:v>
                </c:pt>
                <c:pt idx="641">
                  <c:v>3.7</c:v>
                </c:pt>
                <c:pt idx="642">
                  <c:v>4.4000000000000004</c:v>
                </c:pt>
                <c:pt idx="643">
                  <c:v>2</c:v>
                </c:pt>
                <c:pt idx="644">
                  <c:v>3.1</c:v>
                </c:pt>
                <c:pt idx="645">
                  <c:v>1</c:v>
                </c:pt>
                <c:pt idx="646">
                  <c:v>4.0999999999999996</c:v>
                </c:pt>
                <c:pt idx="647">
                  <c:v>4.5</c:v>
                </c:pt>
                <c:pt idx="648">
                  <c:v>2.8</c:v>
                </c:pt>
                <c:pt idx="649">
                  <c:v>5.9</c:v>
                </c:pt>
                <c:pt idx="650">
                  <c:v>1.7</c:v>
                </c:pt>
                <c:pt idx="651">
                  <c:v>1.3</c:v>
                </c:pt>
                <c:pt idx="652">
                  <c:v>3.8</c:v>
                </c:pt>
                <c:pt idx="653">
                  <c:v>5.0999999999999996</c:v>
                </c:pt>
                <c:pt idx="654">
                  <c:v>6</c:v>
                </c:pt>
                <c:pt idx="655">
                  <c:v>2.8</c:v>
                </c:pt>
                <c:pt idx="656">
                  <c:v>5.0999999999999996</c:v>
                </c:pt>
                <c:pt idx="657">
                  <c:v>3.4</c:v>
                </c:pt>
                <c:pt idx="658">
                  <c:v>3.2</c:v>
                </c:pt>
                <c:pt idx="659">
                  <c:v>4.8</c:v>
                </c:pt>
                <c:pt idx="660">
                  <c:v>4.5</c:v>
                </c:pt>
                <c:pt idx="661">
                  <c:v>1.1000000000000001</c:v>
                </c:pt>
                <c:pt idx="662">
                  <c:v>5.7</c:v>
                </c:pt>
                <c:pt idx="663">
                  <c:v>5.6</c:v>
                </c:pt>
                <c:pt idx="664">
                  <c:v>2.6</c:v>
                </c:pt>
                <c:pt idx="665">
                  <c:v>4.0999999999999996</c:v>
                </c:pt>
                <c:pt idx="666">
                  <c:v>4.2</c:v>
                </c:pt>
                <c:pt idx="667">
                  <c:v>3.9</c:v>
                </c:pt>
                <c:pt idx="668">
                  <c:v>2.7</c:v>
                </c:pt>
                <c:pt idx="669">
                  <c:v>2.5</c:v>
                </c:pt>
                <c:pt idx="670">
                  <c:v>3.5</c:v>
                </c:pt>
                <c:pt idx="671">
                  <c:v>5.3</c:v>
                </c:pt>
                <c:pt idx="672">
                  <c:v>4.3</c:v>
                </c:pt>
                <c:pt idx="673">
                  <c:v>2.9</c:v>
                </c:pt>
                <c:pt idx="674">
                  <c:v>4.7</c:v>
                </c:pt>
                <c:pt idx="675">
                  <c:v>0.5</c:v>
                </c:pt>
                <c:pt idx="676">
                  <c:v>5.2</c:v>
                </c:pt>
                <c:pt idx="677">
                  <c:v>0.9</c:v>
                </c:pt>
                <c:pt idx="678">
                  <c:v>3</c:v>
                </c:pt>
                <c:pt idx="679">
                  <c:v>1.8</c:v>
                </c:pt>
                <c:pt idx="680">
                  <c:v>1.6</c:v>
                </c:pt>
                <c:pt idx="681">
                  <c:v>5.2</c:v>
                </c:pt>
                <c:pt idx="682">
                  <c:v>2.8</c:v>
                </c:pt>
                <c:pt idx="683">
                  <c:v>4</c:v>
                </c:pt>
                <c:pt idx="684">
                  <c:v>3.4</c:v>
                </c:pt>
                <c:pt idx="685">
                  <c:v>4.2</c:v>
                </c:pt>
                <c:pt idx="686">
                  <c:v>3.6</c:v>
                </c:pt>
                <c:pt idx="687">
                  <c:v>1.6</c:v>
                </c:pt>
                <c:pt idx="688">
                  <c:v>5</c:v>
                </c:pt>
                <c:pt idx="689">
                  <c:v>2.8</c:v>
                </c:pt>
                <c:pt idx="690">
                  <c:v>1.2</c:v>
                </c:pt>
                <c:pt idx="691">
                  <c:v>2.9</c:v>
                </c:pt>
                <c:pt idx="692">
                  <c:v>5.8</c:v>
                </c:pt>
                <c:pt idx="693">
                  <c:v>4.8</c:v>
                </c:pt>
                <c:pt idx="694">
                  <c:v>3</c:v>
                </c:pt>
                <c:pt idx="695">
                  <c:v>3</c:v>
                </c:pt>
                <c:pt idx="696">
                  <c:v>3</c:v>
                </c:pt>
                <c:pt idx="697">
                  <c:v>6.6</c:v>
                </c:pt>
                <c:pt idx="698">
                  <c:v>4.0999999999999996</c:v>
                </c:pt>
                <c:pt idx="699">
                  <c:v>4.0999999999999996</c:v>
                </c:pt>
                <c:pt idx="700">
                  <c:v>5</c:v>
                </c:pt>
                <c:pt idx="701">
                  <c:v>3.9</c:v>
                </c:pt>
                <c:pt idx="702">
                  <c:v>3.1</c:v>
                </c:pt>
                <c:pt idx="703">
                  <c:v>3.2</c:v>
                </c:pt>
                <c:pt idx="704">
                  <c:v>3.4</c:v>
                </c:pt>
                <c:pt idx="705">
                  <c:v>3.4</c:v>
                </c:pt>
                <c:pt idx="706">
                  <c:v>4.5999999999999996</c:v>
                </c:pt>
                <c:pt idx="707">
                  <c:v>3.6</c:v>
                </c:pt>
                <c:pt idx="708">
                  <c:v>4.5999999999999996</c:v>
                </c:pt>
                <c:pt idx="709">
                  <c:v>3.4</c:v>
                </c:pt>
                <c:pt idx="710">
                  <c:v>3.6</c:v>
                </c:pt>
                <c:pt idx="711">
                  <c:v>0.5</c:v>
                </c:pt>
                <c:pt idx="712">
                  <c:v>4.9000000000000004</c:v>
                </c:pt>
                <c:pt idx="713">
                  <c:v>4</c:v>
                </c:pt>
                <c:pt idx="714">
                  <c:v>5</c:v>
                </c:pt>
                <c:pt idx="715">
                  <c:v>0.5</c:v>
                </c:pt>
                <c:pt idx="716">
                  <c:v>6.6</c:v>
                </c:pt>
                <c:pt idx="717">
                  <c:v>3.3</c:v>
                </c:pt>
                <c:pt idx="718">
                  <c:v>5.2</c:v>
                </c:pt>
                <c:pt idx="719">
                  <c:v>1.9</c:v>
                </c:pt>
                <c:pt idx="720">
                  <c:v>4.4000000000000004</c:v>
                </c:pt>
                <c:pt idx="721">
                  <c:v>1.9</c:v>
                </c:pt>
                <c:pt idx="722">
                  <c:v>2.6</c:v>
                </c:pt>
                <c:pt idx="723">
                  <c:v>6.4</c:v>
                </c:pt>
                <c:pt idx="724">
                  <c:v>3.2</c:v>
                </c:pt>
                <c:pt idx="725">
                  <c:v>3.8</c:v>
                </c:pt>
                <c:pt idx="726">
                  <c:v>4.8</c:v>
                </c:pt>
                <c:pt idx="727">
                  <c:v>4.2</c:v>
                </c:pt>
                <c:pt idx="728">
                  <c:v>3.7</c:v>
                </c:pt>
                <c:pt idx="729">
                  <c:v>4</c:v>
                </c:pt>
                <c:pt idx="730">
                  <c:v>7.1</c:v>
                </c:pt>
                <c:pt idx="731">
                  <c:v>3.4</c:v>
                </c:pt>
                <c:pt idx="732">
                  <c:v>3.8</c:v>
                </c:pt>
                <c:pt idx="733">
                  <c:v>5.0999999999999996</c:v>
                </c:pt>
                <c:pt idx="734">
                  <c:v>5.2</c:v>
                </c:pt>
                <c:pt idx="735">
                  <c:v>5.3</c:v>
                </c:pt>
                <c:pt idx="736">
                  <c:v>4.5</c:v>
                </c:pt>
                <c:pt idx="737">
                  <c:v>1.8</c:v>
                </c:pt>
                <c:pt idx="738">
                  <c:v>6</c:v>
                </c:pt>
                <c:pt idx="739">
                  <c:v>1.8</c:v>
                </c:pt>
                <c:pt idx="740">
                  <c:v>4</c:v>
                </c:pt>
                <c:pt idx="741">
                  <c:v>2.4</c:v>
                </c:pt>
                <c:pt idx="742">
                  <c:v>3.4</c:v>
                </c:pt>
                <c:pt idx="743">
                  <c:v>4</c:v>
                </c:pt>
                <c:pt idx="744">
                  <c:v>4</c:v>
                </c:pt>
                <c:pt idx="745">
                  <c:v>4.0999999999999996</c:v>
                </c:pt>
                <c:pt idx="746">
                  <c:v>5.9</c:v>
                </c:pt>
                <c:pt idx="747">
                  <c:v>4.2</c:v>
                </c:pt>
                <c:pt idx="748">
                  <c:v>3.1</c:v>
                </c:pt>
                <c:pt idx="749">
                  <c:v>4.9000000000000004</c:v>
                </c:pt>
                <c:pt idx="750">
                  <c:v>5.3</c:v>
                </c:pt>
                <c:pt idx="751">
                  <c:v>1.7</c:v>
                </c:pt>
                <c:pt idx="752">
                  <c:v>4.4000000000000004</c:v>
                </c:pt>
                <c:pt idx="753">
                  <c:v>4.5999999999999996</c:v>
                </c:pt>
                <c:pt idx="754">
                  <c:v>3.1</c:v>
                </c:pt>
                <c:pt idx="755">
                  <c:v>5.6</c:v>
                </c:pt>
                <c:pt idx="756">
                  <c:v>3.3</c:v>
                </c:pt>
                <c:pt idx="757">
                  <c:v>3.7</c:v>
                </c:pt>
                <c:pt idx="758">
                  <c:v>3.2</c:v>
                </c:pt>
                <c:pt idx="759">
                  <c:v>3.5</c:v>
                </c:pt>
                <c:pt idx="760">
                  <c:v>1.9</c:v>
                </c:pt>
                <c:pt idx="761">
                  <c:v>1.3</c:v>
                </c:pt>
                <c:pt idx="762">
                  <c:v>5.9</c:v>
                </c:pt>
                <c:pt idx="763">
                  <c:v>2.2000000000000002</c:v>
                </c:pt>
                <c:pt idx="764">
                  <c:v>2</c:v>
                </c:pt>
                <c:pt idx="765">
                  <c:v>0.5</c:v>
                </c:pt>
                <c:pt idx="766">
                  <c:v>2.5</c:v>
                </c:pt>
                <c:pt idx="767">
                  <c:v>1.5</c:v>
                </c:pt>
                <c:pt idx="768">
                  <c:v>6</c:v>
                </c:pt>
                <c:pt idx="769">
                  <c:v>5</c:v>
                </c:pt>
                <c:pt idx="770">
                  <c:v>2.5</c:v>
                </c:pt>
                <c:pt idx="771">
                  <c:v>6.9</c:v>
                </c:pt>
                <c:pt idx="772">
                  <c:v>5</c:v>
                </c:pt>
                <c:pt idx="773">
                  <c:v>3</c:v>
                </c:pt>
                <c:pt idx="774">
                  <c:v>0.5</c:v>
                </c:pt>
                <c:pt idx="775">
                  <c:v>6.9</c:v>
                </c:pt>
                <c:pt idx="776">
                  <c:v>1.4</c:v>
                </c:pt>
                <c:pt idx="777">
                  <c:v>1</c:v>
                </c:pt>
                <c:pt idx="778">
                  <c:v>5</c:v>
                </c:pt>
                <c:pt idx="779">
                  <c:v>7.2</c:v>
                </c:pt>
                <c:pt idx="780">
                  <c:v>5.6</c:v>
                </c:pt>
                <c:pt idx="781">
                  <c:v>4.3</c:v>
                </c:pt>
                <c:pt idx="782">
                  <c:v>4.4000000000000004</c:v>
                </c:pt>
                <c:pt idx="783">
                  <c:v>4.8</c:v>
                </c:pt>
                <c:pt idx="784">
                  <c:v>4.5999999999999996</c:v>
                </c:pt>
                <c:pt idx="785">
                  <c:v>3.9</c:v>
                </c:pt>
                <c:pt idx="786">
                  <c:v>3.7</c:v>
                </c:pt>
                <c:pt idx="787">
                  <c:v>3.4</c:v>
                </c:pt>
                <c:pt idx="788">
                  <c:v>2.4</c:v>
                </c:pt>
                <c:pt idx="789">
                  <c:v>3.1</c:v>
                </c:pt>
                <c:pt idx="790">
                  <c:v>1</c:v>
                </c:pt>
                <c:pt idx="791">
                  <c:v>3.4</c:v>
                </c:pt>
                <c:pt idx="792">
                  <c:v>2</c:v>
                </c:pt>
                <c:pt idx="793">
                  <c:v>1.8</c:v>
                </c:pt>
                <c:pt idx="794">
                  <c:v>3.8</c:v>
                </c:pt>
                <c:pt idx="795">
                  <c:v>5.6</c:v>
                </c:pt>
                <c:pt idx="796">
                  <c:v>4.9000000000000004</c:v>
                </c:pt>
                <c:pt idx="797">
                  <c:v>1.1000000000000001</c:v>
                </c:pt>
                <c:pt idx="798">
                  <c:v>2</c:v>
                </c:pt>
                <c:pt idx="799">
                  <c:v>4.9000000000000004</c:v>
                </c:pt>
                <c:pt idx="800">
                  <c:v>2</c:v>
                </c:pt>
                <c:pt idx="801">
                  <c:v>3.2</c:v>
                </c:pt>
                <c:pt idx="802">
                  <c:v>4.3</c:v>
                </c:pt>
                <c:pt idx="803">
                  <c:v>2</c:v>
                </c:pt>
                <c:pt idx="804">
                  <c:v>3.7</c:v>
                </c:pt>
                <c:pt idx="805">
                  <c:v>1.5</c:v>
                </c:pt>
                <c:pt idx="806">
                  <c:v>2.6</c:v>
                </c:pt>
                <c:pt idx="807">
                  <c:v>4</c:v>
                </c:pt>
                <c:pt idx="808">
                  <c:v>1.1000000000000001</c:v>
                </c:pt>
                <c:pt idx="809">
                  <c:v>4.2</c:v>
                </c:pt>
                <c:pt idx="810">
                  <c:v>3.5</c:v>
                </c:pt>
                <c:pt idx="811">
                  <c:v>4.3</c:v>
                </c:pt>
                <c:pt idx="812">
                  <c:v>3.8</c:v>
                </c:pt>
                <c:pt idx="813">
                  <c:v>5.5</c:v>
                </c:pt>
                <c:pt idx="814">
                  <c:v>3.7</c:v>
                </c:pt>
                <c:pt idx="815">
                  <c:v>2.9</c:v>
                </c:pt>
                <c:pt idx="816">
                  <c:v>3.7</c:v>
                </c:pt>
                <c:pt idx="817">
                  <c:v>4.3</c:v>
                </c:pt>
                <c:pt idx="818">
                  <c:v>3.6</c:v>
                </c:pt>
                <c:pt idx="819">
                  <c:v>3.6</c:v>
                </c:pt>
                <c:pt idx="820">
                  <c:v>2.4</c:v>
                </c:pt>
                <c:pt idx="821">
                  <c:v>2.5</c:v>
                </c:pt>
                <c:pt idx="822">
                  <c:v>1.4</c:v>
                </c:pt>
                <c:pt idx="823">
                  <c:v>6.1</c:v>
                </c:pt>
                <c:pt idx="824">
                  <c:v>1.6</c:v>
                </c:pt>
                <c:pt idx="825">
                  <c:v>2.5</c:v>
                </c:pt>
                <c:pt idx="826">
                  <c:v>2.4</c:v>
                </c:pt>
                <c:pt idx="827">
                  <c:v>4.8</c:v>
                </c:pt>
                <c:pt idx="828">
                  <c:v>3.1</c:v>
                </c:pt>
                <c:pt idx="829">
                  <c:v>5.4</c:v>
                </c:pt>
                <c:pt idx="830">
                  <c:v>2.5</c:v>
                </c:pt>
                <c:pt idx="831">
                  <c:v>3.9</c:v>
                </c:pt>
                <c:pt idx="832">
                  <c:v>2.2000000000000002</c:v>
                </c:pt>
                <c:pt idx="833">
                  <c:v>6.7</c:v>
                </c:pt>
                <c:pt idx="834">
                  <c:v>1.7</c:v>
                </c:pt>
                <c:pt idx="835">
                  <c:v>4</c:v>
                </c:pt>
                <c:pt idx="836">
                  <c:v>4.5</c:v>
                </c:pt>
                <c:pt idx="837">
                  <c:v>4.0999999999999996</c:v>
                </c:pt>
                <c:pt idx="838">
                  <c:v>3.2</c:v>
                </c:pt>
                <c:pt idx="839">
                  <c:v>3.3</c:v>
                </c:pt>
                <c:pt idx="840">
                  <c:v>3.6</c:v>
                </c:pt>
                <c:pt idx="841">
                  <c:v>3.3</c:v>
                </c:pt>
                <c:pt idx="842">
                  <c:v>4.9000000000000004</c:v>
                </c:pt>
                <c:pt idx="843">
                  <c:v>6.8</c:v>
                </c:pt>
                <c:pt idx="844">
                  <c:v>2.7</c:v>
                </c:pt>
                <c:pt idx="845">
                  <c:v>1.4</c:v>
                </c:pt>
                <c:pt idx="846">
                  <c:v>3.4</c:v>
                </c:pt>
                <c:pt idx="847">
                  <c:v>7.4</c:v>
                </c:pt>
                <c:pt idx="848">
                  <c:v>2.2999999999999998</c:v>
                </c:pt>
                <c:pt idx="849">
                  <c:v>6</c:v>
                </c:pt>
                <c:pt idx="850">
                  <c:v>6</c:v>
                </c:pt>
                <c:pt idx="851">
                  <c:v>2.7</c:v>
                </c:pt>
                <c:pt idx="852">
                  <c:v>4.4000000000000004</c:v>
                </c:pt>
                <c:pt idx="853">
                  <c:v>5.9</c:v>
                </c:pt>
                <c:pt idx="854">
                  <c:v>2.9</c:v>
                </c:pt>
                <c:pt idx="855">
                  <c:v>3.2</c:v>
                </c:pt>
                <c:pt idx="856">
                  <c:v>2.6</c:v>
                </c:pt>
                <c:pt idx="857">
                  <c:v>2</c:v>
                </c:pt>
                <c:pt idx="858">
                  <c:v>2.5</c:v>
                </c:pt>
                <c:pt idx="859">
                  <c:v>1.7</c:v>
                </c:pt>
                <c:pt idx="860">
                  <c:v>3.6</c:v>
                </c:pt>
                <c:pt idx="861">
                  <c:v>2.2999999999999998</c:v>
                </c:pt>
                <c:pt idx="862">
                  <c:v>3.9</c:v>
                </c:pt>
                <c:pt idx="863">
                  <c:v>1.2</c:v>
                </c:pt>
                <c:pt idx="864">
                  <c:v>4</c:v>
                </c:pt>
                <c:pt idx="865">
                  <c:v>4.8</c:v>
                </c:pt>
                <c:pt idx="866">
                  <c:v>0.5</c:v>
                </c:pt>
                <c:pt idx="867">
                  <c:v>4.0999999999999996</c:v>
                </c:pt>
                <c:pt idx="868">
                  <c:v>5.3</c:v>
                </c:pt>
                <c:pt idx="869">
                  <c:v>1.7</c:v>
                </c:pt>
                <c:pt idx="870">
                  <c:v>6</c:v>
                </c:pt>
                <c:pt idx="871">
                  <c:v>4.0999999999999996</c:v>
                </c:pt>
                <c:pt idx="872">
                  <c:v>2.4</c:v>
                </c:pt>
                <c:pt idx="873">
                  <c:v>3.4</c:v>
                </c:pt>
                <c:pt idx="874">
                  <c:v>4.3</c:v>
                </c:pt>
                <c:pt idx="875">
                  <c:v>3.6</c:v>
                </c:pt>
                <c:pt idx="876">
                  <c:v>4.3</c:v>
                </c:pt>
                <c:pt idx="877">
                  <c:v>2.1</c:v>
                </c:pt>
                <c:pt idx="878">
                  <c:v>3.8</c:v>
                </c:pt>
                <c:pt idx="879">
                  <c:v>1.4</c:v>
                </c:pt>
                <c:pt idx="880">
                  <c:v>3.3</c:v>
                </c:pt>
                <c:pt idx="881">
                  <c:v>2.1</c:v>
                </c:pt>
                <c:pt idx="882">
                  <c:v>2.4</c:v>
                </c:pt>
                <c:pt idx="883">
                  <c:v>5.4</c:v>
                </c:pt>
                <c:pt idx="884">
                  <c:v>5.0999999999999996</c:v>
                </c:pt>
                <c:pt idx="885">
                  <c:v>4.4000000000000004</c:v>
                </c:pt>
                <c:pt idx="886">
                  <c:v>1.9</c:v>
                </c:pt>
                <c:pt idx="887">
                  <c:v>3</c:v>
                </c:pt>
                <c:pt idx="888">
                  <c:v>5.3</c:v>
                </c:pt>
                <c:pt idx="889">
                  <c:v>3.7</c:v>
                </c:pt>
                <c:pt idx="890">
                  <c:v>7</c:v>
                </c:pt>
                <c:pt idx="891">
                  <c:v>4.0999999999999996</c:v>
                </c:pt>
                <c:pt idx="892">
                  <c:v>3.8</c:v>
                </c:pt>
                <c:pt idx="893">
                  <c:v>3</c:v>
                </c:pt>
                <c:pt idx="894">
                  <c:v>3.7</c:v>
                </c:pt>
                <c:pt idx="895">
                  <c:v>3.3</c:v>
                </c:pt>
                <c:pt idx="896">
                  <c:v>4.5999999999999996</c:v>
                </c:pt>
                <c:pt idx="897">
                  <c:v>4.9000000000000004</c:v>
                </c:pt>
                <c:pt idx="898">
                  <c:v>2.2999999999999998</c:v>
                </c:pt>
                <c:pt idx="899">
                  <c:v>1.5</c:v>
                </c:pt>
                <c:pt idx="900">
                  <c:v>0.7</c:v>
                </c:pt>
                <c:pt idx="901">
                  <c:v>4.3</c:v>
                </c:pt>
                <c:pt idx="902">
                  <c:v>1.8</c:v>
                </c:pt>
                <c:pt idx="903">
                  <c:v>0.5</c:v>
                </c:pt>
                <c:pt idx="904">
                  <c:v>4.0999999999999996</c:v>
                </c:pt>
                <c:pt idx="905">
                  <c:v>7.2</c:v>
                </c:pt>
                <c:pt idx="906">
                  <c:v>3.5</c:v>
                </c:pt>
                <c:pt idx="907">
                  <c:v>4.8</c:v>
                </c:pt>
                <c:pt idx="908">
                  <c:v>3.6</c:v>
                </c:pt>
                <c:pt idx="909">
                  <c:v>3.4</c:v>
                </c:pt>
                <c:pt idx="910">
                  <c:v>4.9000000000000004</c:v>
                </c:pt>
                <c:pt idx="911">
                  <c:v>3.1</c:v>
                </c:pt>
                <c:pt idx="912">
                  <c:v>3.9</c:v>
                </c:pt>
                <c:pt idx="913">
                  <c:v>4</c:v>
                </c:pt>
                <c:pt idx="914">
                  <c:v>2.5</c:v>
                </c:pt>
                <c:pt idx="915">
                  <c:v>5</c:v>
                </c:pt>
                <c:pt idx="916">
                  <c:v>3.2</c:v>
                </c:pt>
                <c:pt idx="917">
                  <c:v>2.4</c:v>
                </c:pt>
                <c:pt idx="918">
                  <c:v>4.3</c:v>
                </c:pt>
                <c:pt idx="919">
                  <c:v>2.2000000000000002</c:v>
                </c:pt>
                <c:pt idx="920">
                  <c:v>3.5</c:v>
                </c:pt>
                <c:pt idx="921">
                  <c:v>3.5</c:v>
                </c:pt>
                <c:pt idx="922">
                  <c:v>5.0999999999999996</c:v>
                </c:pt>
                <c:pt idx="923">
                  <c:v>4.2</c:v>
                </c:pt>
                <c:pt idx="924">
                  <c:v>3.5</c:v>
                </c:pt>
                <c:pt idx="925">
                  <c:v>4.7</c:v>
                </c:pt>
                <c:pt idx="926">
                  <c:v>5.6</c:v>
                </c:pt>
                <c:pt idx="927">
                  <c:v>4.3</c:v>
                </c:pt>
                <c:pt idx="928">
                  <c:v>3.5</c:v>
                </c:pt>
                <c:pt idx="929">
                  <c:v>1.5</c:v>
                </c:pt>
                <c:pt idx="930">
                  <c:v>1.9</c:v>
                </c:pt>
                <c:pt idx="931">
                  <c:v>3</c:v>
                </c:pt>
                <c:pt idx="932">
                  <c:v>2.6</c:v>
                </c:pt>
                <c:pt idx="933">
                  <c:v>3.2</c:v>
                </c:pt>
                <c:pt idx="934">
                  <c:v>3.6</c:v>
                </c:pt>
                <c:pt idx="935">
                  <c:v>4.3</c:v>
                </c:pt>
                <c:pt idx="936">
                  <c:v>3.4</c:v>
                </c:pt>
                <c:pt idx="937">
                  <c:v>4.2</c:v>
                </c:pt>
                <c:pt idx="938">
                  <c:v>3.6</c:v>
                </c:pt>
                <c:pt idx="939">
                  <c:v>0.5</c:v>
                </c:pt>
                <c:pt idx="940">
                  <c:v>2.1</c:v>
                </c:pt>
                <c:pt idx="941">
                  <c:v>3.3</c:v>
                </c:pt>
                <c:pt idx="942">
                  <c:v>1.7</c:v>
                </c:pt>
                <c:pt idx="943">
                  <c:v>4.4000000000000004</c:v>
                </c:pt>
                <c:pt idx="944">
                  <c:v>5.8</c:v>
                </c:pt>
                <c:pt idx="945">
                  <c:v>5.3</c:v>
                </c:pt>
                <c:pt idx="946">
                  <c:v>3.2</c:v>
                </c:pt>
                <c:pt idx="947">
                  <c:v>5.7</c:v>
                </c:pt>
                <c:pt idx="948">
                  <c:v>3.7</c:v>
                </c:pt>
                <c:pt idx="949">
                  <c:v>3</c:v>
                </c:pt>
                <c:pt idx="950">
                  <c:v>2.6</c:v>
                </c:pt>
                <c:pt idx="951">
                  <c:v>3</c:v>
                </c:pt>
                <c:pt idx="952">
                  <c:v>2.9</c:v>
                </c:pt>
                <c:pt idx="953">
                  <c:v>3.8</c:v>
                </c:pt>
                <c:pt idx="954">
                  <c:v>3.7</c:v>
                </c:pt>
                <c:pt idx="955">
                  <c:v>3.5</c:v>
                </c:pt>
                <c:pt idx="956">
                  <c:v>4.2</c:v>
                </c:pt>
                <c:pt idx="957">
                  <c:v>5.3</c:v>
                </c:pt>
                <c:pt idx="958">
                  <c:v>4.9000000000000004</c:v>
                </c:pt>
                <c:pt idx="959">
                  <c:v>1.3</c:v>
                </c:pt>
                <c:pt idx="960">
                  <c:v>0.5</c:v>
                </c:pt>
                <c:pt idx="961">
                  <c:v>4.9000000000000004</c:v>
                </c:pt>
                <c:pt idx="962">
                  <c:v>1.4</c:v>
                </c:pt>
                <c:pt idx="963">
                  <c:v>3.2</c:v>
                </c:pt>
                <c:pt idx="964">
                  <c:v>1.7</c:v>
                </c:pt>
                <c:pt idx="965">
                  <c:v>0.8</c:v>
                </c:pt>
                <c:pt idx="966">
                  <c:v>4.3</c:v>
                </c:pt>
                <c:pt idx="967">
                  <c:v>4.5999999999999996</c:v>
                </c:pt>
                <c:pt idx="968">
                  <c:v>2.6</c:v>
                </c:pt>
                <c:pt idx="969">
                  <c:v>0.5</c:v>
                </c:pt>
                <c:pt idx="970">
                  <c:v>2.7</c:v>
                </c:pt>
                <c:pt idx="971">
                  <c:v>4.0999999999999996</c:v>
                </c:pt>
                <c:pt idx="972">
                  <c:v>1.3</c:v>
                </c:pt>
                <c:pt idx="973">
                  <c:v>3.8</c:v>
                </c:pt>
                <c:pt idx="974">
                  <c:v>3.5</c:v>
                </c:pt>
                <c:pt idx="975">
                  <c:v>4.4000000000000004</c:v>
                </c:pt>
                <c:pt idx="976">
                  <c:v>3.7</c:v>
                </c:pt>
                <c:pt idx="977">
                  <c:v>2</c:v>
                </c:pt>
                <c:pt idx="978">
                  <c:v>5.3</c:v>
                </c:pt>
                <c:pt idx="979">
                  <c:v>3.3</c:v>
                </c:pt>
                <c:pt idx="980">
                  <c:v>3.5</c:v>
                </c:pt>
                <c:pt idx="981">
                  <c:v>2.1</c:v>
                </c:pt>
                <c:pt idx="982">
                  <c:v>2.8</c:v>
                </c:pt>
                <c:pt idx="983">
                  <c:v>2.2000000000000002</c:v>
                </c:pt>
                <c:pt idx="984">
                  <c:v>3.2</c:v>
                </c:pt>
                <c:pt idx="985">
                  <c:v>6.1</c:v>
                </c:pt>
                <c:pt idx="986">
                  <c:v>1.4</c:v>
                </c:pt>
                <c:pt idx="987">
                  <c:v>1.1000000000000001</c:v>
                </c:pt>
                <c:pt idx="988">
                  <c:v>5.7</c:v>
                </c:pt>
                <c:pt idx="989">
                  <c:v>3.2</c:v>
                </c:pt>
                <c:pt idx="990">
                  <c:v>2.5</c:v>
                </c:pt>
                <c:pt idx="991">
                  <c:v>5.0999999999999996</c:v>
                </c:pt>
                <c:pt idx="992">
                  <c:v>2.6</c:v>
                </c:pt>
                <c:pt idx="993">
                  <c:v>6.2</c:v>
                </c:pt>
                <c:pt idx="994">
                  <c:v>4.5</c:v>
                </c:pt>
                <c:pt idx="995">
                  <c:v>2.8</c:v>
                </c:pt>
                <c:pt idx="996">
                  <c:v>6.7</c:v>
                </c:pt>
                <c:pt idx="997">
                  <c:v>2.6</c:v>
                </c:pt>
                <c:pt idx="998">
                  <c:v>4.5999999999999996</c:v>
                </c:pt>
                <c:pt idx="999">
                  <c:v>3.9</c:v>
                </c:pt>
              </c:numCache>
            </c:numRef>
          </c:xVal>
          <c:yVal>
            <c:numRef>
              <c:f>'03_Clean_Data_Analysis'!$K$2:$K$1001</c:f>
              <c:numCache>
                <c:formatCode>General</c:formatCode>
                <c:ptCount val="1000"/>
                <c:pt idx="0">
                  <c:v>100</c:v>
                </c:pt>
                <c:pt idx="1">
                  <c:v>100</c:v>
                </c:pt>
                <c:pt idx="2">
                  <c:v>97.3</c:v>
                </c:pt>
                <c:pt idx="3">
                  <c:v>83.8</c:v>
                </c:pt>
                <c:pt idx="4">
                  <c:v>68.3</c:v>
                </c:pt>
                <c:pt idx="5">
                  <c:v>81.599999999999994</c:v>
                </c:pt>
                <c:pt idx="6">
                  <c:v>69.599999999999994</c:v>
                </c:pt>
                <c:pt idx="7">
                  <c:v>88</c:v>
                </c:pt>
                <c:pt idx="8">
                  <c:v>84.4</c:v>
                </c:pt>
                <c:pt idx="9">
                  <c:v>74.3</c:v>
                </c:pt>
                <c:pt idx="10">
                  <c:v>68.900000000000006</c:v>
                </c:pt>
                <c:pt idx="11">
                  <c:v>76.7</c:v>
                </c:pt>
                <c:pt idx="12">
                  <c:v>82.6</c:v>
                </c:pt>
                <c:pt idx="13">
                  <c:v>93.3</c:v>
                </c:pt>
                <c:pt idx="14">
                  <c:v>73.900000000000006</c:v>
                </c:pt>
                <c:pt idx="15">
                  <c:v>84.8</c:v>
                </c:pt>
                <c:pt idx="16">
                  <c:v>81.5</c:v>
                </c:pt>
                <c:pt idx="17">
                  <c:v>75.5</c:v>
                </c:pt>
                <c:pt idx="18">
                  <c:v>89.7</c:v>
                </c:pt>
                <c:pt idx="19">
                  <c:v>92.8</c:v>
                </c:pt>
                <c:pt idx="20">
                  <c:v>73.5</c:v>
                </c:pt>
                <c:pt idx="21">
                  <c:v>100</c:v>
                </c:pt>
                <c:pt idx="22">
                  <c:v>73.400000000000006</c:v>
                </c:pt>
                <c:pt idx="23">
                  <c:v>71.2</c:v>
                </c:pt>
                <c:pt idx="24">
                  <c:v>97.2</c:v>
                </c:pt>
                <c:pt idx="25">
                  <c:v>76</c:v>
                </c:pt>
                <c:pt idx="26">
                  <c:v>78.7</c:v>
                </c:pt>
                <c:pt idx="27">
                  <c:v>97.4</c:v>
                </c:pt>
                <c:pt idx="28">
                  <c:v>84.2</c:v>
                </c:pt>
                <c:pt idx="29">
                  <c:v>89.8</c:v>
                </c:pt>
                <c:pt idx="30">
                  <c:v>82.4</c:v>
                </c:pt>
                <c:pt idx="31">
                  <c:v>87.7</c:v>
                </c:pt>
                <c:pt idx="32">
                  <c:v>100</c:v>
                </c:pt>
                <c:pt idx="33">
                  <c:v>93.3</c:v>
                </c:pt>
                <c:pt idx="34">
                  <c:v>100</c:v>
                </c:pt>
                <c:pt idx="35">
                  <c:v>92.9</c:v>
                </c:pt>
                <c:pt idx="36">
                  <c:v>83.2</c:v>
                </c:pt>
                <c:pt idx="37">
                  <c:v>81.099999999999994</c:v>
                </c:pt>
                <c:pt idx="38">
                  <c:v>89.5</c:v>
                </c:pt>
                <c:pt idx="39">
                  <c:v>91.6</c:v>
                </c:pt>
                <c:pt idx="40">
                  <c:v>75.3</c:v>
                </c:pt>
                <c:pt idx="41">
                  <c:v>79</c:v>
                </c:pt>
                <c:pt idx="42">
                  <c:v>100</c:v>
                </c:pt>
                <c:pt idx="43">
                  <c:v>79.2</c:v>
                </c:pt>
                <c:pt idx="44">
                  <c:v>70.8</c:v>
                </c:pt>
                <c:pt idx="45">
                  <c:v>61.8</c:v>
                </c:pt>
                <c:pt idx="46">
                  <c:v>68</c:v>
                </c:pt>
                <c:pt idx="47">
                  <c:v>80.3</c:v>
                </c:pt>
                <c:pt idx="48">
                  <c:v>88.6</c:v>
                </c:pt>
                <c:pt idx="49">
                  <c:v>69.400000000000006</c:v>
                </c:pt>
                <c:pt idx="50">
                  <c:v>100</c:v>
                </c:pt>
                <c:pt idx="51">
                  <c:v>81.8</c:v>
                </c:pt>
                <c:pt idx="52">
                  <c:v>72.599999999999994</c:v>
                </c:pt>
                <c:pt idx="53">
                  <c:v>85.3</c:v>
                </c:pt>
                <c:pt idx="54">
                  <c:v>99.8</c:v>
                </c:pt>
                <c:pt idx="55">
                  <c:v>84.3</c:v>
                </c:pt>
                <c:pt idx="56">
                  <c:v>71.5</c:v>
                </c:pt>
                <c:pt idx="57">
                  <c:v>84.3</c:v>
                </c:pt>
                <c:pt idx="58">
                  <c:v>74.5</c:v>
                </c:pt>
                <c:pt idx="59">
                  <c:v>89.5</c:v>
                </c:pt>
                <c:pt idx="60">
                  <c:v>80.400000000000006</c:v>
                </c:pt>
                <c:pt idx="61">
                  <c:v>71.099999999999994</c:v>
                </c:pt>
                <c:pt idx="62">
                  <c:v>87.8</c:v>
                </c:pt>
                <c:pt idx="63">
                  <c:v>73</c:v>
                </c:pt>
                <c:pt idx="64">
                  <c:v>80.8</c:v>
                </c:pt>
                <c:pt idx="65">
                  <c:v>97.4</c:v>
                </c:pt>
                <c:pt idx="66">
                  <c:v>67.8</c:v>
                </c:pt>
                <c:pt idx="67">
                  <c:v>79.2</c:v>
                </c:pt>
                <c:pt idx="68">
                  <c:v>73.5</c:v>
                </c:pt>
                <c:pt idx="69">
                  <c:v>85.1</c:v>
                </c:pt>
                <c:pt idx="70">
                  <c:v>79.599999999999994</c:v>
                </c:pt>
                <c:pt idx="71">
                  <c:v>77.400000000000006</c:v>
                </c:pt>
                <c:pt idx="72">
                  <c:v>94.6</c:v>
                </c:pt>
                <c:pt idx="73">
                  <c:v>77.599999999999994</c:v>
                </c:pt>
                <c:pt idx="74">
                  <c:v>99.9</c:v>
                </c:pt>
                <c:pt idx="75">
                  <c:v>64.400000000000006</c:v>
                </c:pt>
                <c:pt idx="76">
                  <c:v>71.900000000000006</c:v>
                </c:pt>
                <c:pt idx="77">
                  <c:v>79.3</c:v>
                </c:pt>
                <c:pt idx="78">
                  <c:v>74.900000000000006</c:v>
                </c:pt>
                <c:pt idx="79">
                  <c:v>87.4</c:v>
                </c:pt>
                <c:pt idx="80">
                  <c:v>97.6</c:v>
                </c:pt>
                <c:pt idx="81">
                  <c:v>74.5</c:v>
                </c:pt>
                <c:pt idx="82">
                  <c:v>64.099999999999994</c:v>
                </c:pt>
                <c:pt idx="83">
                  <c:v>90</c:v>
                </c:pt>
                <c:pt idx="84">
                  <c:v>99.3</c:v>
                </c:pt>
                <c:pt idx="85">
                  <c:v>63.9</c:v>
                </c:pt>
                <c:pt idx="86">
                  <c:v>79</c:v>
                </c:pt>
                <c:pt idx="87">
                  <c:v>100</c:v>
                </c:pt>
                <c:pt idx="88">
                  <c:v>78.900000000000006</c:v>
                </c:pt>
                <c:pt idx="89">
                  <c:v>84.5</c:v>
                </c:pt>
                <c:pt idx="90">
                  <c:v>71.7</c:v>
                </c:pt>
                <c:pt idx="91">
                  <c:v>86.3</c:v>
                </c:pt>
                <c:pt idx="92">
                  <c:v>98.3</c:v>
                </c:pt>
                <c:pt idx="93">
                  <c:v>88.1</c:v>
                </c:pt>
                <c:pt idx="94">
                  <c:v>99.6</c:v>
                </c:pt>
                <c:pt idx="95">
                  <c:v>74.8</c:v>
                </c:pt>
                <c:pt idx="96">
                  <c:v>87.4</c:v>
                </c:pt>
                <c:pt idx="97">
                  <c:v>88.5</c:v>
                </c:pt>
                <c:pt idx="98">
                  <c:v>65.2</c:v>
                </c:pt>
                <c:pt idx="99">
                  <c:v>79.2</c:v>
                </c:pt>
                <c:pt idx="100">
                  <c:v>74.5</c:v>
                </c:pt>
                <c:pt idx="101">
                  <c:v>66.3</c:v>
                </c:pt>
                <c:pt idx="102">
                  <c:v>89.5</c:v>
                </c:pt>
                <c:pt idx="103">
                  <c:v>92.7</c:v>
                </c:pt>
                <c:pt idx="104">
                  <c:v>87.2</c:v>
                </c:pt>
                <c:pt idx="105">
                  <c:v>92.5</c:v>
                </c:pt>
                <c:pt idx="106">
                  <c:v>75.7</c:v>
                </c:pt>
                <c:pt idx="107">
                  <c:v>74</c:v>
                </c:pt>
                <c:pt idx="108">
                  <c:v>100</c:v>
                </c:pt>
                <c:pt idx="109">
                  <c:v>75.5</c:v>
                </c:pt>
                <c:pt idx="110">
                  <c:v>61.7</c:v>
                </c:pt>
                <c:pt idx="111">
                  <c:v>91.4</c:v>
                </c:pt>
                <c:pt idx="112">
                  <c:v>72.7</c:v>
                </c:pt>
                <c:pt idx="113">
                  <c:v>74.599999999999994</c:v>
                </c:pt>
                <c:pt idx="114">
                  <c:v>96.5</c:v>
                </c:pt>
                <c:pt idx="115">
                  <c:v>94.5</c:v>
                </c:pt>
                <c:pt idx="116">
                  <c:v>59.3</c:v>
                </c:pt>
                <c:pt idx="117">
                  <c:v>96.2</c:v>
                </c:pt>
                <c:pt idx="118">
                  <c:v>75.3</c:v>
                </c:pt>
                <c:pt idx="119">
                  <c:v>73.3</c:v>
                </c:pt>
                <c:pt idx="120">
                  <c:v>95.8</c:v>
                </c:pt>
                <c:pt idx="121">
                  <c:v>81</c:v>
                </c:pt>
                <c:pt idx="122">
                  <c:v>76.5</c:v>
                </c:pt>
                <c:pt idx="123">
                  <c:v>88.1</c:v>
                </c:pt>
                <c:pt idx="124">
                  <c:v>88.1</c:v>
                </c:pt>
                <c:pt idx="125">
                  <c:v>92.1</c:v>
                </c:pt>
                <c:pt idx="126">
                  <c:v>85.2</c:v>
                </c:pt>
                <c:pt idx="127">
                  <c:v>63</c:v>
                </c:pt>
                <c:pt idx="128">
                  <c:v>81.099999999999994</c:v>
                </c:pt>
                <c:pt idx="129">
                  <c:v>87.1</c:v>
                </c:pt>
                <c:pt idx="130">
                  <c:v>100</c:v>
                </c:pt>
                <c:pt idx="131">
                  <c:v>75.7</c:v>
                </c:pt>
                <c:pt idx="132">
                  <c:v>77.3</c:v>
                </c:pt>
                <c:pt idx="133">
                  <c:v>85.6</c:v>
                </c:pt>
                <c:pt idx="134">
                  <c:v>80.8</c:v>
                </c:pt>
                <c:pt idx="135">
                  <c:v>94.5</c:v>
                </c:pt>
                <c:pt idx="136">
                  <c:v>59.7</c:v>
                </c:pt>
                <c:pt idx="137">
                  <c:v>80.900000000000006</c:v>
                </c:pt>
                <c:pt idx="138">
                  <c:v>82.6</c:v>
                </c:pt>
                <c:pt idx="139">
                  <c:v>80.2</c:v>
                </c:pt>
                <c:pt idx="140">
                  <c:v>82.4</c:v>
                </c:pt>
                <c:pt idx="141">
                  <c:v>75.900000000000006</c:v>
                </c:pt>
                <c:pt idx="142">
                  <c:v>88.5</c:v>
                </c:pt>
                <c:pt idx="143">
                  <c:v>69.599999999999994</c:v>
                </c:pt>
                <c:pt idx="144">
                  <c:v>86.8</c:v>
                </c:pt>
                <c:pt idx="145">
                  <c:v>65.2</c:v>
                </c:pt>
                <c:pt idx="146">
                  <c:v>82</c:v>
                </c:pt>
                <c:pt idx="147">
                  <c:v>46.8</c:v>
                </c:pt>
                <c:pt idx="148">
                  <c:v>68.599999999999994</c:v>
                </c:pt>
                <c:pt idx="149">
                  <c:v>69.2</c:v>
                </c:pt>
                <c:pt idx="150">
                  <c:v>84.7</c:v>
                </c:pt>
                <c:pt idx="151">
                  <c:v>75.900000000000006</c:v>
                </c:pt>
                <c:pt idx="152">
                  <c:v>84.7</c:v>
                </c:pt>
                <c:pt idx="153">
                  <c:v>75.7</c:v>
                </c:pt>
                <c:pt idx="154">
                  <c:v>95.4</c:v>
                </c:pt>
                <c:pt idx="155">
                  <c:v>87.6</c:v>
                </c:pt>
                <c:pt idx="156">
                  <c:v>87.7</c:v>
                </c:pt>
                <c:pt idx="157">
                  <c:v>89.3</c:v>
                </c:pt>
                <c:pt idx="158">
                  <c:v>63.7</c:v>
                </c:pt>
                <c:pt idx="159">
                  <c:v>74</c:v>
                </c:pt>
                <c:pt idx="160">
                  <c:v>87.9</c:v>
                </c:pt>
                <c:pt idx="161">
                  <c:v>76.599999999999994</c:v>
                </c:pt>
                <c:pt idx="162">
                  <c:v>97.3</c:v>
                </c:pt>
                <c:pt idx="163">
                  <c:v>90.2</c:v>
                </c:pt>
                <c:pt idx="164">
                  <c:v>88.7</c:v>
                </c:pt>
                <c:pt idx="165">
                  <c:v>84.8</c:v>
                </c:pt>
                <c:pt idx="166">
                  <c:v>100</c:v>
                </c:pt>
                <c:pt idx="167">
                  <c:v>82.1</c:v>
                </c:pt>
                <c:pt idx="168">
                  <c:v>75.099999999999994</c:v>
                </c:pt>
                <c:pt idx="169">
                  <c:v>78.099999999999994</c:v>
                </c:pt>
                <c:pt idx="170">
                  <c:v>92.9</c:v>
                </c:pt>
                <c:pt idx="171">
                  <c:v>71.8</c:v>
                </c:pt>
                <c:pt idx="172">
                  <c:v>78.5</c:v>
                </c:pt>
                <c:pt idx="173">
                  <c:v>82.6</c:v>
                </c:pt>
                <c:pt idx="174">
                  <c:v>79.2</c:v>
                </c:pt>
                <c:pt idx="175">
                  <c:v>89.7</c:v>
                </c:pt>
                <c:pt idx="176">
                  <c:v>89.2</c:v>
                </c:pt>
                <c:pt idx="177">
                  <c:v>81.7</c:v>
                </c:pt>
                <c:pt idx="178">
                  <c:v>96.7</c:v>
                </c:pt>
                <c:pt idx="179">
                  <c:v>73.7</c:v>
                </c:pt>
                <c:pt idx="180">
                  <c:v>77.099999999999994</c:v>
                </c:pt>
                <c:pt idx="181">
                  <c:v>76.5</c:v>
                </c:pt>
                <c:pt idx="182">
                  <c:v>73.2</c:v>
                </c:pt>
                <c:pt idx="183">
                  <c:v>83.6</c:v>
                </c:pt>
                <c:pt idx="184">
                  <c:v>85.8</c:v>
                </c:pt>
                <c:pt idx="185">
                  <c:v>95.7</c:v>
                </c:pt>
                <c:pt idx="186">
                  <c:v>89.2</c:v>
                </c:pt>
                <c:pt idx="187">
                  <c:v>83.1</c:v>
                </c:pt>
                <c:pt idx="188">
                  <c:v>100</c:v>
                </c:pt>
                <c:pt idx="189">
                  <c:v>67.2</c:v>
                </c:pt>
                <c:pt idx="190">
                  <c:v>84.6</c:v>
                </c:pt>
                <c:pt idx="191">
                  <c:v>100</c:v>
                </c:pt>
                <c:pt idx="192">
                  <c:v>75.2</c:v>
                </c:pt>
                <c:pt idx="193">
                  <c:v>81.099999999999994</c:v>
                </c:pt>
                <c:pt idx="194">
                  <c:v>96.5</c:v>
                </c:pt>
                <c:pt idx="195">
                  <c:v>79.8</c:v>
                </c:pt>
                <c:pt idx="196">
                  <c:v>73.400000000000006</c:v>
                </c:pt>
                <c:pt idx="197">
                  <c:v>92.2</c:v>
                </c:pt>
                <c:pt idx="198">
                  <c:v>87.3</c:v>
                </c:pt>
                <c:pt idx="199">
                  <c:v>92.5</c:v>
                </c:pt>
                <c:pt idx="200">
                  <c:v>94.6</c:v>
                </c:pt>
                <c:pt idx="201">
                  <c:v>75.5</c:v>
                </c:pt>
                <c:pt idx="202">
                  <c:v>85.3</c:v>
                </c:pt>
                <c:pt idx="203">
                  <c:v>76.7</c:v>
                </c:pt>
                <c:pt idx="204">
                  <c:v>86.8</c:v>
                </c:pt>
                <c:pt idx="205">
                  <c:v>61.1</c:v>
                </c:pt>
                <c:pt idx="206">
                  <c:v>100</c:v>
                </c:pt>
                <c:pt idx="207">
                  <c:v>90.9</c:v>
                </c:pt>
                <c:pt idx="208">
                  <c:v>96.1</c:v>
                </c:pt>
                <c:pt idx="209">
                  <c:v>73.099999999999994</c:v>
                </c:pt>
                <c:pt idx="210">
                  <c:v>81.2</c:v>
                </c:pt>
                <c:pt idx="211">
                  <c:v>81.8</c:v>
                </c:pt>
                <c:pt idx="212">
                  <c:v>70</c:v>
                </c:pt>
                <c:pt idx="213">
                  <c:v>78.5</c:v>
                </c:pt>
                <c:pt idx="214">
                  <c:v>84.7</c:v>
                </c:pt>
                <c:pt idx="215">
                  <c:v>74.7</c:v>
                </c:pt>
                <c:pt idx="216">
                  <c:v>91.2</c:v>
                </c:pt>
                <c:pt idx="217">
                  <c:v>93.4</c:v>
                </c:pt>
                <c:pt idx="218">
                  <c:v>86.8</c:v>
                </c:pt>
                <c:pt idx="219">
                  <c:v>100</c:v>
                </c:pt>
                <c:pt idx="220">
                  <c:v>84.3</c:v>
                </c:pt>
                <c:pt idx="221">
                  <c:v>71.5</c:v>
                </c:pt>
                <c:pt idx="222">
                  <c:v>70.5</c:v>
                </c:pt>
                <c:pt idx="223">
                  <c:v>89.9</c:v>
                </c:pt>
                <c:pt idx="224">
                  <c:v>81.099999999999994</c:v>
                </c:pt>
                <c:pt idx="225">
                  <c:v>67.400000000000006</c:v>
                </c:pt>
                <c:pt idx="226">
                  <c:v>82.2</c:v>
                </c:pt>
                <c:pt idx="227">
                  <c:v>90</c:v>
                </c:pt>
                <c:pt idx="228">
                  <c:v>100</c:v>
                </c:pt>
                <c:pt idx="229">
                  <c:v>82.7</c:v>
                </c:pt>
                <c:pt idx="230">
                  <c:v>98.3</c:v>
                </c:pt>
                <c:pt idx="231">
                  <c:v>91.5</c:v>
                </c:pt>
                <c:pt idx="232">
                  <c:v>82.2</c:v>
                </c:pt>
                <c:pt idx="233">
                  <c:v>100</c:v>
                </c:pt>
                <c:pt idx="234">
                  <c:v>80.2</c:v>
                </c:pt>
                <c:pt idx="235">
                  <c:v>85.7</c:v>
                </c:pt>
                <c:pt idx="236">
                  <c:v>100</c:v>
                </c:pt>
                <c:pt idx="237">
                  <c:v>84.4</c:v>
                </c:pt>
                <c:pt idx="238">
                  <c:v>100</c:v>
                </c:pt>
                <c:pt idx="239">
                  <c:v>84.6</c:v>
                </c:pt>
                <c:pt idx="240">
                  <c:v>80.599999999999994</c:v>
                </c:pt>
                <c:pt idx="241">
                  <c:v>85.1</c:v>
                </c:pt>
                <c:pt idx="242">
                  <c:v>69.400000000000006</c:v>
                </c:pt>
                <c:pt idx="243">
                  <c:v>92.2</c:v>
                </c:pt>
                <c:pt idx="244">
                  <c:v>76.2</c:v>
                </c:pt>
                <c:pt idx="245">
                  <c:v>100</c:v>
                </c:pt>
                <c:pt idx="246">
                  <c:v>92.2</c:v>
                </c:pt>
                <c:pt idx="247">
                  <c:v>76.5</c:v>
                </c:pt>
                <c:pt idx="248">
                  <c:v>82.7</c:v>
                </c:pt>
                <c:pt idx="249">
                  <c:v>67.099999999999994</c:v>
                </c:pt>
                <c:pt idx="250">
                  <c:v>88.4</c:v>
                </c:pt>
                <c:pt idx="251">
                  <c:v>91</c:v>
                </c:pt>
                <c:pt idx="252">
                  <c:v>75.8</c:v>
                </c:pt>
                <c:pt idx="253">
                  <c:v>88.3</c:v>
                </c:pt>
                <c:pt idx="254">
                  <c:v>87.6</c:v>
                </c:pt>
                <c:pt idx="255">
                  <c:v>96.8</c:v>
                </c:pt>
                <c:pt idx="256">
                  <c:v>86.7</c:v>
                </c:pt>
                <c:pt idx="257">
                  <c:v>63.7</c:v>
                </c:pt>
                <c:pt idx="258">
                  <c:v>73</c:v>
                </c:pt>
                <c:pt idx="259">
                  <c:v>94.3</c:v>
                </c:pt>
                <c:pt idx="260">
                  <c:v>71.3</c:v>
                </c:pt>
                <c:pt idx="261">
                  <c:v>79.7</c:v>
                </c:pt>
                <c:pt idx="262">
                  <c:v>81.2</c:v>
                </c:pt>
                <c:pt idx="263">
                  <c:v>91.1</c:v>
                </c:pt>
                <c:pt idx="264">
                  <c:v>97.5</c:v>
                </c:pt>
                <c:pt idx="265">
                  <c:v>100</c:v>
                </c:pt>
                <c:pt idx="266">
                  <c:v>81.599999999999994</c:v>
                </c:pt>
                <c:pt idx="267">
                  <c:v>83.9</c:v>
                </c:pt>
                <c:pt idx="268">
                  <c:v>100</c:v>
                </c:pt>
                <c:pt idx="269">
                  <c:v>80.2</c:v>
                </c:pt>
                <c:pt idx="270">
                  <c:v>75.099999999999994</c:v>
                </c:pt>
                <c:pt idx="271">
                  <c:v>78.2</c:v>
                </c:pt>
                <c:pt idx="272">
                  <c:v>64.7</c:v>
                </c:pt>
                <c:pt idx="273">
                  <c:v>97.8</c:v>
                </c:pt>
                <c:pt idx="274">
                  <c:v>74.400000000000006</c:v>
                </c:pt>
                <c:pt idx="275">
                  <c:v>76.400000000000006</c:v>
                </c:pt>
                <c:pt idx="276">
                  <c:v>76.3</c:v>
                </c:pt>
                <c:pt idx="277">
                  <c:v>88.3</c:v>
                </c:pt>
                <c:pt idx="278">
                  <c:v>94</c:v>
                </c:pt>
                <c:pt idx="279">
                  <c:v>58.8</c:v>
                </c:pt>
                <c:pt idx="280">
                  <c:v>81.099999999999994</c:v>
                </c:pt>
                <c:pt idx="281">
                  <c:v>84.5</c:v>
                </c:pt>
                <c:pt idx="282">
                  <c:v>69.900000000000006</c:v>
                </c:pt>
                <c:pt idx="283">
                  <c:v>82.2</c:v>
                </c:pt>
                <c:pt idx="284">
                  <c:v>83.3</c:v>
                </c:pt>
                <c:pt idx="285">
                  <c:v>69.5</c:v>
                </c:pt>
                <c:pt idx="286">
                  <c:v>68.5</c:v>
                </c:pt>
                <c:pt idx="287">
                  <c:v>61.5</c:v>
                </c:pt>
                <c:pt idx="288">
                  <c:v>72.3</c:v>
                </c:pt>
                <c:pt idx="289">
                  <c:v>74.099999999999994</c:v>
                </c:pt>
                <c:pt idx="290">
                  <c:v>94.9</c:v>
                </c:pt>
                <c:pt idx="291">
                  <c:v>100</c:v>
                </c:pt>
                <c:pt idx="292">
                  <c:v>84.5</c:v>
                </c:pt>
                <c:pt idx="293">
                  <c:v>93.7</c:v>
                </c:pt>
                <c:pt idx="294">
                  <c:v>100</c:v>
                </c:pt>
                <c:pt idx="295">
                  <c:v>81.599999999999994</c:v>
                </c:pt>
                <c:pt idx="296">
                  <c:v>70.900000000000006</c:v>
                </c:pt>
                <c:pt idx="297">
                  <c:v>89.6</c:v>
                </c:pt>
                <c:pt idx="298">
                  <c:v>69.2</c:v>
                </c:pt>
                <c:pt idx="299">
                  <c:v>82.3</c:v>
                </c:pt>
                <c:pt idx="300">
                  <c:v>80.900000000000006</c:v>
                </c:pt>
                <c:pt idx="301">
                  <c:v>82.4</c:v>
                </c:pt>
                <c:pt idx="302">
                  <c:v>91</c:v>
                </c:pt>
                <c:pt idx="303">
                  <c:v>81.599999999999994</c:v>
                </c:pt>
                <c:pt idx="304">
                  <c:v>83.2</c:v>
                </c:pt>
                <c:pt idx="305">
                  <c:v>80.7</c:v>
                </c:pt>
                <c:pt idx="306">
                  <c:v>87.2</c:v>
                </c:pt>
                <c:pt idx="307">
                  <c:v>72.8</c:v>
                </c:pt>
                <c:pt idx="308">
                  <c:v>85.2</c:v>
                </c:pt>
                <c:pt idx="309">
                  <c:v>83.3</c:v>
                </c:pt>
                <c:pt idx="310">
                  <c:v>82.6</c:v>
                </c:pt>
                <c:pt idx="311">
                  <c:v>63.4</c:v>
                </c:pt>
                <c:pt idx="312">
                  <c:v>100</c:v>
                </c:pt>
                <c:pt idx="313">
                  <c:v>79.400000000000006</c:v>
                </c:pt>
                <c:pt idx="314">
                  <c:v>100</c:v>
                </c:pt>
                <c:pt idx="315">
                  <c:v>100</c:v>
                </c:pt>
                <c:pt idx="316">
                  <c:v>72.900000000000006</c:v>
                </c:pt>
                <c:pt idx="317">
                  <c:v>79.2</c:v>
                </c:pt>
                <c:pt idx="318">
                  <c:v>84.2</c:v>
                </c:pt>
                <c:pt idx="319">
                  <c:v>80.7</c:v>
                </c:pt>
                <c:pt idx="320">
                  <c:v>85.3</c:v>
                </c:pt>
                <c:pt idx="321">
                  <c:v>93.1</c:v>
                </c:pt>
                <c:pt idx="322">
                  <c:v>73.5</c:v>
                </c:pt>
                <c:pt idx="323">
                  <c:v>90.8</c:v>
                </c:pt>
                <c:pt idx="324">
                  <c:v>80.8</c:v>
                </c:pt>
                <c:pt idx="325">
                  <c:v>88.9</c:v>
                </c:pt>
                <c:pt idx="326">
                  <c:v>63.7</c:v>
                </c:pt>
                <c:pt idx="327">
                  <c:v>82.6</c:v>
                </c:pt>
                <c:pt idx="328">
                  <c:v>63.7</c:v>
                </c:pt>
                <c:pt idx="329">
                  <c:v>96.6</c:v>
                </c:pt>
                <c:pt idx="330">
                  <c:v>97</c:v>
                </c:pt>
                <c:pt idx="331">
                  <c:v>93.3</c:v>
                </c:pt>
                <c:pt idx="332">
                  <c:v>82.8</c:v>
                </c:pt>
                <c:pt idx="333">
                  <c:v>81.2</c:v>
                </c:pt>
                <c:pt idx="334">
                  <c:v>88.7</c:v>
                </c:pt>
                <c:pt idx="335">
                  <c:v>71.2</c:v>
                </c:pt>
                <c:pt idx="336">
                  <c:v>87.1</c:v>
                </c:pt>
                <c:pt idx="337">
                  <c:v>94.9</c:v>
                </c:pt>
                <c:pt idx="338">
                  <c:v>76.099999999999994</c:v>
                </c:pt>
                <c:pt idx="339">
                  <c:v>85.1</c:v>
                </c:pt>
                <c:pt idx="340">
                  <c:v>96.3</c:v>
                </c:pt>
                <c:pt idx="341">
                  <c:v>100</c:v>
                </c:pt>
                <c:pt idx="342">
                  <c:v>92</c:v>
                </c:pt>
                <c:pt idx="343">
                  <c:v>77.2</c:v>
                </c:pt>
                <c:pt idx="344">
                  <c:v>97.5</c:v>
                </c:pt>
                <c:pt idx="345">
                  <c:v>70.599999999999994</c:v>
                </c:pt>
                <c:pt idx="346">
                  <c:v>87.2</c:v>
                </c:pt>
                <c:pt idx="347">
                  <c:v>69</c:v>
                </c:pt>
                <c:pt idx="348">
                  <c:v>90.2</c:v>
                </c:pt>
                <c:pt idx="349">
                  <c:v>74</c:v>
                </c:pt>
                <c:pt idx="350">
                  <c:v>75.3</c:v>
                </c:pt>
                <c:pt idx="351">
                  <c:v>86.5</c:v>
                </c:pt>
                <c:pt idx="352">
                  <c:v>100</c:v>
                </c:pt>
                <c:pt idx="353">
                  <c:v>93.6</c:v>
                </c:pt>
                <c:pt idx="354">
                  <c:v>72</c:v>
                </c:pt>
                <c:pt idx="355">
                  <c:v>76.2</c:v>
                </c:pt>
                <c:pt idx="356">
                  <c:v>80.900000000000006</c:v>
                </c:pt>
                <c:pt idx="357">
                  <c:v>85.3</c:v>
                </c:pt>
                <c:pt idx="358">
                  <c:v>81.900000000000006</c:v>
                </c:pt>
                <c:pt idx="359">
                  <c:v>78</c:v>
                </c:pt>
                <c:pt idx="360">
                  <c:v>93.6</c:v>
                </c:pt>
                <c:pt idx="361">
                  <c:v>95.1</c:v>
                </c:pt>
                <c:pt idx="362">
                  <c:v>66.7</c:v>
                </c:pt>
                <c:pt idx="363">
                  <c:v>75.599999999999994</c:v>
                </c:pt>
                <c:pt idx="364">
                  <c:v>57.4</c:v>
                </c:pt>
                <c:pt idx="365">
                  <c:v>75.400000000000006</c:v>
                </c:pt>
                <c:pt idx="366">
                  <c:v>80.5</c:v>
                </c:pt>
                <c:pt idx="367">
                  <c:v>75.099999999999994</c:v>
                </c:pt>
                <c:pt idx="368">
                  <c:v>67.8</c:v>
                </c:pt>
                <c:pt idx="369">
                  <c:v>97.4</c:v>
                </c:pt>
                <c:pt idx="370">
                  <c:v>80.2</c:v>
                </c:pt>
                <c:pt idx="371">
                  <c:v>82.8</c:v>
                </c:pt>
                <c:pt idx="372">
                  <c:v>87.8</c:v>
                </c:pt>
                <c:pt idx="373">
                  <c:v>85.8</c:v>
                </c:pt>
                <c:pt idx="374">
                  <c:v>91.7</c:v>
                </c:pt>
                <c:pt idx="375">
                  <c:v>84.9</c:v>
                </c:pt>
                <c:pt idx="376">
                  <c:v>99.3</c:v>
                </c:pt>
                <c:pt idx="377">
                  <c:v>74.3</c:v>
                </c:pt>
                <c:pt idx="378">
                  <c:v>93.3</c:v>
                </c:pt>
                <c:pt idx="379">
                  <c:v>79.400000000000006</c:v>
                </c:pt>
                <c:pt idx="380">
                  <c:v>77.400000000000006</c:v>
                </c:pt>
                <c:pt idx="381">
                  <c:v>100</c:v>
                </c:pt>
                <c:pt idx="382">
                  <c:v>76.8</c:v>
                </c:pt>
                <c:pt idx="383">
                  <c:v>100</c:v>
                </c:pt>
                <c:pt idx="384">
                  <c:v>88.6</c:v>
                </c:pt>
                <c:pt idx="385">
                  <c:v>79.099999999999994</c:v>
                </c:pt>
                <c:pt idx="386">
                  <c:v>79.400000000000006</c:v>
                </c:pt>
                <c:pt idx="387">
                  <c:v>100</c:v>
                </c:pt>
                <c:pt idx="388">
                  <c:v>86.7</c:v>
                </c:pt>
                <c:pt idx="389">
                  <c:v>69.5</c:v>
                </c:pt>
                <c:pt idx="390">
                  <c:v>86.3</c:v>
                </c:pt>
                <c:pt idx="391">
                  <c:v>87.3</c:v>
                </c:pt>
                <c:pt idx="392">
                  <c:v>72.099999999999994</c:v>
                </c:pt>
                <c:pt idx="393">
                  <c:v>92.3</c:v>
                </c:pt>
                <c:pt idx="394">
                  <c:v>67.599999999999994</c:v>
                </c:pt>
                <c:pt idx="395">
                  <c:v>72.7</c:v>
                </c:pt>
                <c:pt idx="396">
                  <c:v>76.099999999999994</c:v>
                </c:pt>
                <c:pt idx="397">
                  <c:v>81.2</c:v>
                </c:pt>
                <c:pt idx="398">
                  <c:v>90.4</c:v>
                </c:pt>
                <c:pt idx="399">
                  <c:v>73.2</c:v>
                </c:pt>
                <c:pt idx="400">
                  <c:v>85.2</c:v>
                </c:pt>
                <c:pt idx="401">
                  <c:v>96.4</c:v>
                </c:pt>
                <c:pt idx="402">
                  <c:v>81.900000000000006</c:v>
                </c:pt>
                <c:pt idx="403">
                  <c:v>86.5</c:v>
                </c:pt>
                <c:pt idx="404">
                  <c:v>84.7</c:v>
                </c:pt>
                <c:pt idx="405">
                  <c:v>93</c:v>
                </c:pt>
                <c:pt idx="406">
                  <c:v>78.900000000000006</c:v>
                </c:pt>
                <c:pt idx="407">
                  <c:v>90.4</c:v>
                </c:pt>
                <c:pt idx="408">
                  <c:v>80.099999999999994</c:v>
                </c:pt>
                <c:pt idx="409">
                  <c:v>78.099999999999994</c:v>
                </c:pt>
                <c:pt idx="410">
                  <c:v>70.099999999999994</c:v>
                </c:pt>
                <c:pt idx="411">
                  <c:v>90.2</c:v>
                </c:pt>
                <c:pt idx="412">
                  <c:v>86.5</c:v>
                </c:pt>
                <c:pt idx="413">
                  <c:v>93.5</c:v>
                </c:pt>
                <c:pt idx="414">
                  <c:v>83.3</c:v>
                </c:pt>
                <c:pt idx="415">
                  <c:v>81.2</c:v>
                </c:pt>
                <c:pt idx="416">
                  <c:v>76</c:v>
                </c:pt>
                <c:pt idx="417">
                  <c:v>84.9</c:v>
                </c:pt>
                <c:pt idx="418">
                  <c:v>79.2</c:v>
                </c:pt>
                <c:pt idx="419">
                  <c:v>72.8</c:v>
                </c:pt>
                <c:pt idx="420">
                  <c:v>69.900000000000006</c:v>
                </c:pt>
                <c:pt idx="421">
                  <c:v>89.6</c:v>
                </c:pt>
                <c:pt idx="422">
                  <c:v>77.3</c:v>
                </c:pt>
                <c:pt idx="423">
                  <c:v>64.599999999999994</c:v>
                </c:pt>
                <c:pt idx="424">
                  <c:v>81.8</c:v>
                </c:pt>
                <c:pt idx="425">
                  <c:v>86.2</c:v>
                </c:pt>
                <c:pt idx="426">
                  <c:v>100</c:v>
                </c:pt>
                <c:pt idx="427">
                  <c:v>100</c:v>
                </c:pt>
                <c:pt idx="428">
                  <c:v>100</c:v>
                </c:pt>
                <c:pt idx="429">
                  <c:v>72</c:v>
                </c:pt>
                <c:pt idx="430">
                  <c:v>81.2</c:v>
                </c:pt>
                <c:pt idx="431">
                  <c:v>100</c:v>
                </c:pt>
                <c:pt idx="432">
                  <c:v>79.7</c:v>
                </c:pt>
                <c:pt idx="433">
                  <c:v>89.4</c:v>
                </c:pt>
                <c:pt idx="434">
                  <c:v>77.8</c:v>
                </c:pt>
                <c:pt idx="435">
                  <c:v>93.4</c:v>
                </c:pt>
                <c:pt idx="436">
                  <c:v>100</c:v>
                </c:pt>
                <c:pt idx="437">
                  <c:v>76.5</c:v>
                </c:pt>
                <c:pt idx="438">
                  <c:v>79.3</c:v>
                </c:pt>
                <c:pt idx="439">
                  <c:v>100</c:v>
                </c:pt>
                <c:pt idx="440">
                  <c:v>98.9</c:v>
                </c:pt>
                <c:pt idx="441">
                  <c:v>87.5</c:v>
                </c:pt>
                <c:pt idx="442">
                  <c:v>85.2</c:v>
                </c:pt>
                <c:pt idx="443">
                  <c:v>86</c:v>
                </c:pt>
                <c:pt idx="444">
                  <c:v>80.7</c:v>
                </c:pt>
                <c:pt idx="445">
                  <c:v>79.900000000000006</c:v>
                </c:pt>
                <c:pt idx="446">
                  <c:v>79.099999999999994</c:v>
                </c:pt>
                <c:pt idx="447">
                  <c:v>87.1</c:v>
                </c:pt>
                <c:pt idx="448">
                  <c:v>90.7</c:v>
                </c:pt>
                <c:pt idx="449">
                  <c:v>64.599999999999994</c:v>
                </c:pt>
                <c:pt idx="450">
                  <c:v>77.900000000000006</c:v>
                </c:pt>
                <c:pt idx="451">
                  <c:v>82</c:v>
                </c:pt>
                <c:pt idx="452">
                  <c:v>92.8</c:v>
                </c:pt>
                <c:pt idx="453">
                  <c:v>85.4</c:v>
                </c:pt>
                <c:pt idx="454">
                  <c:v>80.7</c:v>
                </c:pt>
                <c:pt idx="455">
                  <c:v>72.7</c:v>
                </c:pt>
                <c:pt idx="456">
                  <c:v>68.8</c:v>
                </c:pt>
                <c:pt idx="457">
                  <c:v>89.9</c:v>
                </c:pt>
                <c:pt idx="458">
                  <c:v>83.3</c:v>
                </c:pt>
                <c:pt idx="459">
                  <c:v>86.8</c:v>
                </c:pt>
                <c:pt idx="460">
                  <c:v>98.2</c:v>
                </c:pt>
                <c:pt idx="461">
                  <c:v>100</c:v>
                </c:pt>
                <c:pt idx="462">
                  <c:v>95.1</c:v>
                </c:pt>
                <c:pt idx="463">
                  <c:v>93.5</c:v>
                </c:pt>
                <c:pt idx="464">
                  <c:v>63.2</c:v>
                </c:pt>
                <c:pt idx="465">
                  <c:v>100</c:v>
                </c:pt>
                <c:pt idx="466">
                  <c:v>77.099999999999994</c:v>
                </c:pt>
                <c:pt idx="467">
                  <c:v>88.8</c:v>
                </c:pt>
                <c:pt idx="468">
                  <c:v>100</c:v>
                </c:pt>
                <c:pt idx="469">
                  <c:v>89.9</c:v>
                </c:pt>
                <c:pt idx="470">
                  <c:v>87.6</c:v>
                </c:pt>
                <c:pt idx="471">
                  <c:v>68</c:v>
                </c:pt>
                <c:pt idx="472">
                  <c:v>82.2</c:v>
                </c:pt>
                <c:pt idx="473">
                  <c:v>94</c:v>
                </c:pt>
                <c:pt idx="474">
                  <c:v>90.9</c:v>
                </c:pt>
                <c:pt idx="475">
                  <c:v>85</c:v>
                </c:pt>
                <c:pt idx="476">
                  <c:v>100</c:v>
                </c:pt>
                <c:pt idx="477">
                  <c:v>100</c:v>
                </c:pt>
                <c:pt idx="478">
                  <c:v>87.4</c:v>
                </c:pt>
                <c:pt idx="479">
                  <c:v>84.8</c:v>
                </c:pt>
                <c:pt idx="480">
                  <c:v>89.5</c:v>
                </c:pt>
                <c:pt idx="481">
                  <c:v>92.3</c:v>
                </c:pt>
                <c:pt idx="482">
                  <c:v>86.6</c:v>
                </c:pt>
                <c:pt idx="483">
                  <c:v>100</c:v>
                </c:pt>
                <c:pt idx="484">
                  <c:v>75.7</c:v>
                </c:pt>
                <c:pt idx="485">
                  <c:v>87.3</c:v>
                </c:pt>
                <c:pt idx="486">
                  <c:v>66.599999999999994</c:v>
                </c:pt>
                <c:pt idx="487">
                  <c:v>74.099999999999994</c:v>
                </c:pt>
                <c:pt idx="488">
                  <c:v>100</c:v>
                </c:pt>
                <c:pt idx="489">
                  <c:v>100</c:v>
                </c:pt>
                <c:pt idx="490">
                  <c:v>74.3</c:v>
                </c:pt>
                <c:pt idx="491">
                  <c:v>71.099999999999994</c:v>
                </c:pt>
                <c:pt idx="492">
                  <c:v>66.7</c:v>
                </c:pt>
                <c:pt idx="493">
                  <c:v>82.1</c:v>
                </c:pt>
                <c:pt idx="494">
                  <c:v>88.5</c:v>
                </c:pt>
                <c:pt idx="495">
                  <c:v>79.400000000000006</c:v>
                </c:pt>
                <c:pt idx="496">
                  <c:v>71</c:v>
                </c:pt>
                <c:pt idx="497">
                  <c:v>85.4</c:v>
                </c:pt>
                <c:pt idx="498">
                  <c:v>61.8</c:v>
                </c:pt>
                <c:pt idx="499">
                  <c:v>99.6</c:v>
                </c:pt>
                <c:pt idx="500">
                  <c:v>76.099999999999994</c:v>
                </c:pt>
                <c:pt idx="501">
                  <c:v>90.4</c:v>
                </c:pt>
                <c:pt idx="502">
                  <c:v>93.3</c:v>
                </c:pt>
                <c:pt idx="503">
                  <c:v>88.9</c:v>
                </c:pt>
                <c:pt idx="504">
                  <c:v>99</c:v>
                </c:pt>
                <c:pt idx="505">
                  <c:v>100</c:v>
                </c:pt>
                <c:pt idx="506">
                  <c:v>74.5</c:v>
                </c:pt>
                <c:pt idx="507">
                  <c:v>72.8</c:v>
                </c:pt>
                <c:pt idx="508">
                  <c:v>76.099999999999994</c:v>
                </c:pt>
                <c:pt idx="509">
                  <c:v>99.5</c:v>
                </c:pt>
                <c:pt idx="510">
                  <c:v>79.900000000000006</c:v>
                </c:pt>
                <c:pt idx="511">
                  <c:v>88.2</c:v>
                </c:pt>
                <c:pt idx="512">
                  <c:v>88.9</c:v>
                </c:pt>
                <c:pt idx="513">
                  <c:v>77.900000000000006</c:v>
                </c:pt>
                <c:pt idx="514">
                  <c:v>97.2</c:v>
                </c:pt>
                <c:pt idx="515">
                  <c:v>79.3</c:v>
                </c:pt>
                <c:pt idx="516">
                  <c:v>84.2</c:v>
                </c:pt>
                <c:pt idx="517">
                  <c:v>86.3</c:v>
                </c:pt>
                <c:pt idx="518">
                  <c:v>67.599999999999994</c:v>
                </c:pt>
                <c:pt idx="519">
                  <c:v>80.7</c:v>
                </c:pt>
                <c:pt idx="520">
                  <c:v>64.7</c:v>
                </c:pt>
                <c:pt idx="521">
                  <c:v>71.8</c:v>
                </c:pt>
                <c:pt idx="522">
                  <c:v>84.9</c:v>
                </c:pt>
                <c:pt idx="523">
                  <c:v>100</c:v>
                </c:pt>
                <c:pt idx="524">
                  <c:v>82.4</c:v>
                </c:pt>
                <c:pt idx="525">
                  <c:v>87.3</c:v>
                </c:pt>
                <c:pt idx="526">
                  <c:v>84.8</c:v>
                </c:pt>
                <c:pt idx="527">
                  <c:v>96.4</c:v>
                </c:pt>
                <c:pt idx="528">
                  <c:v>84.3</c:v>
                </c:pt>
                <c:pt idx="529">
                  <c:v>84.5</c:v>
                </c:pt>
                <c:pt idx="530">
                  <c:v>94.7</c:v>
                </c:pt>
                <c:pt idx="531">
                  <c:v>89.6</c:v>
                </c:pt>
                <c:pt idx="532">
                  <c:v>68.599999999999994</c:v>
                </c:pt>
                <c:pt idx="533">
                  <c:v>92.8</c:v>
                </c:pt>
                <c:pt idx="534">
                  <c:v>80.7</c:v>
                </c:pt>
                <c:pt idx="535">
                  <c:v>77.599999999999994</c:v>
                </c:pt>
                <c:pt idx="536">
                  <c:v>87.7</c:v>
                </c:pt>
                <c:pt idx="537">
                  <c:v>86</c:v>
                </c:pt>
                <c:pt idx="538">
                  <c:v>100</c:v>
                </c:pt>
                <c:pt idx="539">
                  <c:v>57.3</c:v>
                </c:pt>
                <c:pt idx="540">
                  <c:v>75.599999999999994</c:v>
                </c:pt>
                <c:pt idx="541">
                  <c:v>87.3</c:v>
                </c:pt>
                <c:pt idx="542">
                  <c:v>88.8</c:v>
                </c:pt>
                <c:pt idx="543">
                  <c:v>91.8</c:v>
                </c:pt>
                <c:pt idx="544">
                  <c:v>66</c:v>
                </c:pt>
                <c:pt idx="545">
                  <c:v>100</c:v>
                </c:pt>
                <c:pt idx="546">
                  <c:v>71.099999999999994</c:v>
                </c:pt>
                <c:pt idx="547">
                  <c:v>88.8</c:v>
                </c:pt>
                <c:pt idx="548">
                  <c:v>100</c:v>
                </c:pt>
                <c:pt idx="549">
                  <c:v>85.2</c:v>
                </c:pt>
                <c:pt idx="550">
                  <c:v>75.400000000000006</c:v>
                </c:pt>
                <c:pt idx="551">
                  <c:v>100</c:v>
                </c:pt>
                <c:pt idx="552">
                  <c:v>78.900000000000006</c:v>
                </c:pt>
                <c:pt idx="553">
                  <c:v>83.4</c:v>
                </c:pt>
                <c:pt idx="554">
                  <c:v>63.4</c:v>
                </c:pt>
                <c:pt idx="555">
                  <c:v>80.7</c:v>
                </c:pt>
                <c:pt idx="556">
                  <c:v>80.8</c:v>
                </c:pt>
                <c:pt idx="557">
                  <c:v>73.099999999999994</c:v>
                </c:pt>
                <c:pt idx="558">
                  <c:v>99.8</c:v>
                </c:pt>
                <c:pt idx="559">
                  <c:v>73.5</c:v>
                </c:pt>
                <c:pt idx="560">
                  <c:v>68.2</c:v>
                </c:pt>
                <c:pt idx="561">
                  <c:v>83.9</c:v>
                </c:pt>
                <c:pt idx="562">
                  <c:v>75.3</c:v>
                </c:pt>
                <c:pt idx="563">
                  <c:v>78.7</c:v>
                </c:pt>
                <c:pt idx="564">
                  <c:v>82.8</c:v>
                </c:pt>
                <c:pt idx="565">
                  <c:v>100</c:v>
                </c:pt>
                <c:pt idx="566">
                  <c:v>92.6</c:v>
                </c:pt>
                <c:pt idx="567">
                  <c:v>99.1</c:v>
                </c:pt>
                <c:pt idx="568">
                  <c:v>76.2</c:v>
                </c:pt>
                <c:pt idx="569">
                  <c:v>90.9</c:v>
                </c:pt>
                <c:pt idx="570">
                  <c:v>63.3</c:v>
                </c:pt>
                <c:pt idx="571">
                  <c:v>85</c:v>
                </c:pt>
                <c:pt idx="572">
                  <c:v>88.7</c:v>
                </c:pt>
                <c:pt idx="573">
                  <c:v>75.3</c:v>
                </c:pt>
                <c:pt idx="574">
                  <c:v>84.9</c:v>
                </c:pt>
                <c:pt idx="575">
                  <c:v>81.099999999999994</c:v>
                </c:pt>
                <c:pt idx="576">
                  <c:v>75.599999999999994</c:v>
                </c:pt>
                <c:pt idx="577">
                  <c:v>95.5</c:v>
                </c:pt>
                <c:pt idx="578">
                  <c:v>83.3</c:v>
                </c:pt>
                <c:pt idx="579">
                  <c:v>95.7</c:v>
                </c:pt>
                <c:pt idx="580">
                  <c:v>70.400000000000006</c:v>
                </c:pt>
                <c:pt idx="581">
                  <c:v>82.7</c:v>
                </c:pt>
                <c:pt idx="582">
                  <c:v>76.7</c:v>
                </c:pt>
                <c:pt idx="583">
                  <c:v>68.400000000000006</c:v>
                </c:pt>
                <c:pt idx="584">
                  <c:v>84.6</c:v>
                </c:pt>
                <c:pt idx="585">
                  <c:v>67.7</c:v>
                </c:pt>
                <c:pt idx="586">
                  <c:v>89.2</c:v>
                </c:pt>
                <c:pt idx="587">
                  <c:v>85</c:v>
                </c:pt>
                <c:pt idx="588">
                  <c:v>77.3</c:v>
                </c:pt>
                <c:pt idx="589">
                  <c:v>72.2</c:v>
                </c:pt>
                <c:pt idx="590">
                  <c:v>89</c:v>
                </c:pt>
                <c:pt idx="591">
                  <c:v>63.2</c:v>
                </c:pt>
                <c:pt idx="592">
                  <c:v>73.2</c:v>
                </c:pt>
                <c:pt idx="593">
                  <c:v>87</c:v>
                </c:pt>
                <c:pt idx="594">
                  <c:v>88.5</c:v>
                </c:pt>
                <c:pt idx="595">
                  <c:v>80.400000000000006</c:v>
                </c:pt>
                <c:pt idx="596">
                  <c:v>80.2</c:v>
                </c:pt>
                <c:pt idx="597">
                  <c:v>80.900000000000006</c:v>
                </c:pt>
                <c:pt idx="598">
                  <c:v>86.4</c:v>
                </c:pt>
                <c:pt idx="599">
                  <c:v>86.3</c:v>
                </c:pt>
                <c:pt idx="600">
                  <c:v>93.4</c:v>
                </c:pt>
                <c:pt idx="601">
                  <c:v>95.1</c:v>
                </c:pt>
                <c:pt idx="602">
                  <c:v>83.9</c:v>
                </c:pt>
                <c:pt idx="603">
                  <c:v>100</c:v>
                </c:pt>
                <c:pt idx="604">
                  <c:v>80.900000000000006</c:v>
                </c:pt>
                <c:pt idx="605">
                  <c:v>76.400000000000006</c:v>
                </c:pt>
                <c:pt idx="606">
                  <c:v>73.599999999999994</c:v>
                </c:pt>
                <c:pt idx="607">
                  <c:v>84</c:v>
                </c:pt>
                <c:pt idx="608">
                  <c:v>58.6</c:v>
                </c:pt>
                <c:pt idx="609">
                  <c:v>96.3</c:v>
                </c:pt>
                <c:pt idx="610">
                  <c:v>78.8</c:v>
                </c:pt>
                <c:pt idx="611">
                  <c:v>79.8</c:v>
                </c:pt>
                <c:pt idx="612">
                  <c:v>70</c:v>
                </c:pt>
                <c:pt idx="613">
                  <c:v>75</c:v>
                </c:pt>
                <c:pt idx="614">
                  <c:v>95</c:v>
                </c:pt>
                <c:pt idx="615">
                  <c:v>92.4</c:v>
                </c:pt>
                <c:pt idx="616">
                  <c:v>86.4</c:v>
                </c:pt>
                <c:pt idx="617">
                  <c:v>79.099999999999994</c:v>
                </c:pt>
                <c:pt idx="618">
                  <c:v>91.5</c:v>
                </c:pt>
                <c:pt idx="619">
                  <c:v>80.3</c:v>
                </c:pt>
                <c:pt idx="620">
                  <c:v>98.3</c:v>
                </c:pt>
                <c:pt idx="621">
                  <c:v>79.3</c:v>
                </c:pt>
                <c:pt idx="622">
                  <c:v>89.5</c:v>
                </c:pt>
                <c:pt idx="623">
                  <c:v>75.7</c:v>
                </c:pt>
                <c:pt idx="624">
                  <c:v>89.6</c:v>
                </c:pt>
                <c:pt idx="625">
                  <c:v>71</c:v>
                </c:pt>
                <c:pt idx="626">
                  <c:v>96.8</c:v>
                </c:pt>
                <c:pt idx="627">
                  <c:v>61.9</c:v>
                </c:pt>
                <c:pt idx="628">
                  <c:v>93.9</c:v>
                </c:pt>
                <c:pt idx="629">
                  <c:v>81.3</c:v>
                </c:pt>
                <c:pt idx="630">
                  <c:v>77.599999999999994</c:v>
                </c:pt>
                <c:pt idx="631">
                  <c:v>71.400000000000006</c:v>
                </c:pt>
                <c:pt idx="632">
                  <c:v>89.4</c:v>
                </c:pt>
                <c:pt idx="633">
                  <c:v>74.3</c:v>
                </c:pt>
                <c:pt idx="634">
                  <c:v>76</c:v>
                </c:pt>
                <c:pt idx="635">
                  <c:v>96.3</c:v>
                </c:pt>
                <c:pt idx="636">
                  <c:v>100</c:v>
                </c:pt>
                <c:pt idx="637">
                  <c:v>99.9</c:v>
                </c:pt>
                <c:pt idx="638">
                  <c:v>83.8</c:v>
                </c:pt>
                <c:pt idx="639">
                  <c:v>79.400000000000006</c:v>
                </c:pt>
                <c:pt idx="640">
                  <c:v>86</c:v>
                </c:pt>
                <c:pt idx="641">
                  <c:v>97.9</c:v>
                </c:pt>
                <c:pt idx="642">
                  <c:v>90.5</c:v>
                </c:pt>
                <c:pt idx="643">
                  <c:v>70.400000000000006</c:v>
                </c:pt>
                <c:pt idx="644">
                  <c:v>82.9</c:v>
                </c:pt>
                <c:pt idx="645">
                  <c:v>75.5</c:v>
                </c:pt>
                <c:pt idx="646">
                  <c:v>100</c:v>
                </c:pt>
                <c:pt idx="647">
                  <c:v>94</c:v>
                </c:pt>
                <c:pt idx="648">
                  <c:v>88.9</c:v>
                </c:pt>
                <c:pt idx="649">
                  <c:v>97.3</c:v>
                </c:pt>
                <c:pt idx="650">
                  <c:v>59.5</c:v>
                </c:pt>
                <c:pt idx="651">
                  <c:v>73.3</c:v>
                </c:pt>
                <c:pt idx="652">
                  <c:v>88</c:v>
                </c:pt>
                <c:pt idx="653">
                  <c:v>74.8</c:v>
                </c:pt>
                <c:pt idx="654">
                  <c:v>89.9</c:v>
                </c:pt>
                <c:pt idx="655">
                  <c:v>72.599999999999994</c:v>
                </c:pt>
                <c:pt idx="656">
                  <c:v>83.6</c:v>
                </c:pt>
                <c:pt idx="657">
                  <c:v>100</c:v>
                </c:pt>
                <c:pt idx="658">
                  <c:v>84.3</c:v>
                </c:pt>
                <c:pt idx="659">
                  <c:v>85.4</c:v>
                </c:pt>
                <c:pt idx="660">
                  <c:v>95.2</c:v>
                </c:pt>
                <c:pt idx="661">
                  <c:v>69</c:v>
                </c:pt>
                <c:pt idx="662">
                  <c:v>94.2</c:v>
                </c:pt>
                <c:pt idx="663">
                  <c:v>99.7</c:v>
                </c:pt>
                <c:pt idx="664">
                  <c:v>85.8</c:v>
                </c:pt>
                <c:pt idx="665">
                  <c:v>91.7</c:v>
                </c:pt>
                <c:pt idx="666">
                  <c:v>92.2</c:v>
                </c:pt>
                <c:pt idx="667">
                  <c:v>96.3</c:v>
                </c:pt>
                <c:pt idx="668">
                  <c:v>97.6</c:v>
                </c:pt>
                <c:pt idx="669">
                  <c:v>66.400000000000006</c:v>
                </c:pt>
                <c:pt idx="670">
                  <c:v>60.8</c:v>
                </c:pt>
                <c:pt idx="671">
                  <c:v>99.8</c:v>
                </c:pt>
                <c:pt idx="672">
                  <c:v>85.2</c:v>
                </c:pt>
                <c:pt idx="673">
                  <c:v>73.2</c:v>
                </c:pt>
                <c:pt idx="674">
                  <c:v>83.8</c:v>
                </c:pt>
                <c:pt idx="675">
                  <c:v>61.3</c:v>
                </c:pt>
                <c:pt idx="676">
                  <c:v>90.6</c:v>
                </c:pt>
                <c:pt idx="677">
                  <c:v>67.7</c:v>
                </c:pt>
                <c:pt idx="678">
                  <c:v>63.6</c:v>
                </c:pt>
                <c:pt idx="679">
                  <c:v>84.1</c:v>
                </c:pt>
                <c:pt idx="680">
                  <c:v>86.2</c:v>
                </c:pt>
                <c:pt idx="681">
                  <c:v>93.9</c:v>
                </c:pt>
                <c:pt idx="682">
                  <c:v>73.900000000000006</c:v>
                </c:pt>
                <c:pt idx="683">
                  <c:v>79.3</c:v>
                </c:pt>
                <c:pt idx="684">
                  <c:v>83.8</c:v>
                </c:pt>
                <c:pt idx="685">
                  <c:v>91.7</c:v>
                </c:pt>
                <c:pt idx="686">
                  <c:v>91.7</c:v>
                </c:pt>
                <c:pt idx="687">
                  <c:v>74.400000000000006</c:v>
                </c:pt>
                <c:pt idx="688">
                  <c:v>81.5</c:v>
                </c:pt>
                <c:pt idx="689">
                  <c:v>67.7</c:v>
                </c:pt>
                <c:pt idx="690">
                  <c:v>71</c:v>
                </c:pt>
                <c:pt idx="691">
                  <c:v>79.900000000000006</c:v>
                </c:pt>
                <c:pt idx="692">
                  <c:v>92.2</c:v>
                </c:pt>
                <c:pt idx="693">
                  <c:v>100</c:v>
                </c:pt>
                <c:pt idx="694">
                  <c:v>89.6</c:v>
                </c:pt>
                <c:pt idx="695">
                  <c:v>77.5</c:v>
                </c:pt>
                <c:pt idx="696">
                  <c:v>72.599999999999994</c:v>
                </c:pt>
                <c:pt idx="697">
                  <c:v>97.9</c:v>
                </c:pt>
                <c:pt idx="698">
                  <c:v>85.5</c:v>
                </c:pt>
                <c:pt idx="699">
                  <c:v>92.1</c:v>
                </c:pt>
                <c:pt idx="700">
                  <c:v>84.5</c:v>
                </c:pt>
                <c:pt idx="701">
                  <c:v>82.8</c:v>
                </c:pt>
                <c:pt idx="702">
                  <c:v>65.400000000000006</c:v>
                </c:pt>
                <c:pt idx="703">
                  <c:v>89.6</c:v>
                </c:pt>
                <c:pt idx="704">
                  <c:v>83.1</c:v>
                </c:pt>
                <c:pt idx="705">
                  <c:v>94.2</c:v>
                </c:pt>
                <c:pt idx="706">
                  <c:v>92.9</c:v>
                </c:pt>
                <c:pt idx="707">
                  <c:v>77.099999999999994</c:v>
                </c:pt>
                <c:pt idx="708">
                  <c:v>98.3</c:v>
                </c:pt>
                <c:pt idx="709">
                  <c:v>72.099999999999994</c:v>
                </c:pt>
                <c:pt idx="710">
                  <c:v>94.6</c:v>
                </c:pt>
                <c:pt idx="711">
                  <c:v>67.099999999999994</c:v>
                </c:pt>
                <c:pt idx="712">
                  <c:v>72.2</c:v>
                </c:pt>
                <c:pt idx="713">
                  <c:v>95.6</c:v>
                </c:pt>
                <c:pt idx="714">
                  <c:v>91.9</c:v>
                </c:pt>
                <c:pt idx="715">
                  <c:v>54.1</c:v>
                </c:pt>
                <c:pt idx="716">
                  <c:v>98.5</c:v>
                </c:pt>
                <c:pt idx="717">
                  <c:v>85</c:v>
                </c:pt>
                <c:pt idx="718">
                  <c:v>99.1</c:v>
                </c:pt>
                <c:pt idx="719">
                  <c:v>78.2</c:v>
                </c:pt>
                <c:pt idx="720">
                  <c:v>83.8</c:v>
                </c:pt>
                <c:pt idx="721">
                  <c:v>70.7</c:v>
                </c:pt>
                <c:pt idx="722">
                  <c:v>69.900000000000006</c:v>
                </c:pt>
                <c:pt idx="723">
                  <c:v>93.7</c:v>
                </c:pt>
                <c:pt idx="724">
                  <c:v>84.9</c:v>
                </c:pt>
                <c:pt idx="725">
                  <c:v>100</c:v>
                </c:pt>
                <c:pt idx="726">
                  <c:v>97.5</c:v>
                </c:pt>
                <c:pt idx="727">
                  <c:v>88</c:v>
                </c:pt>
                <c:pt idx="728">
                  <c:v>85</c:v>
                </c:pt>
                <c:pt idx="729">
                  <c:v>98.9</c:v>
                </c:pt>
                <c:pt idx="730">
                  <c:v>100</c:v>
                </c:pt>
                <c:pt idx="731">
                  <c:v>85</c:v>
                </c:pt>
                <c:pt idx="732">
                  <c:v>74.3</c:v>
                </c:pt>
                <c:pt idx="733">
                  <c:v>99.6</c:v>
                </c:pt>
                <c:pt idx="734">
                  <c:v>79.8</c:v>
                </c:pt>
                <c:pt idx="735">
                  <c:v>91.3</c:v>
                </c:pt>
                <c:pt idx="736">
                  <c:v>95</c:v>
                </c:pt>
                <c:pt idx="737">
                  <c:v>66.599999999999994</c:v>
                </c:pt>
                <c:pt idx="738">
                  <c:v>93.1</c:v>
                </c:pt>
                <c:pt idx="739">
                  <c:v>81.8</c:v>
                </c:pt>
                <c:pt idx="740">
                  <c:v>62.9</c:v>
                </c:pt>
                <c:pt idx="741">
                  <c:v>94</c:v>
                </c:pt>
                <c:pt idx="742">
                  <c:v>85</c:v>
                </c:pt>
                <c:pt idx="743">
                  <c:v>82.4</c:v>
                </c:pt>
                <c:pt idx="744">
                  <c:v>89.5</c:v>
                </c:pt>
                <c:pt idx="745">
                  <c:v>83.3</c:v>
                </c:pt>
                <c:pt idx="746">
                  <c:v>100</c:v>
                </c:pt>
                <c:pt idx="747">
                  <c:v>92.4</c:v>
                </c:pt>
                <c:pt idx="748">
                  <c:v>77</c:v>
                </c:pt>
                <c:pt idx="749">
                  <c:v>95.1</c:v>
                </c:pt>
                <c:pt idx="750">
                  <c:v>88.8</c:v>
                </c:pt>
                <c:pt idx="751">
                  <c:v>93.2</c:v>
                </c:pt>
                <c:pt idx="752">
                  <c:v>96.4</c:v>
                </c:pt>
                <c:pt idx="753">
                  <c:v>67.2</c:v>
                </c:pt>
                <c:pt idx="754">
                  <c:v>84.6</c:v>
                </c:pt>
                <c:pt idx="755">
                  <c:v>89.8</c:v>
                </c:pt>
                <c:pt idx="756">
                  <c:v>90.3</c:v>
                </c:pt>
                <c:pt idx="757">
                  <c:v>82.5</c:v>
                </c:pt>
                <c:pt idx="758">
                  <c:v>84.5</c:v>
                </c:pt>
                <c:pt idx="759">
                  <c:v>72.099999999999994</c:v>
                </c:pt>
                <c:pt idx="760">
                  <c:v>53.2</c:v>
                </c:pt>
                <c:pt idx="761">
                  <c:v>74</c:v>
                </c:pt>
                <c:pt idx="762">
                  <c:v>96.8</c:v>
                </c:pt>
                <c:pt idx="763">
                  <c:v>81.2</c:v>
                </c:pt>
                <c:pt idx="764">
                  <c:v>85.4</c:v>
                </c:pt>
                <c:pt idx="765">
                  <c:v>81.099999999999994</c:v>
                </c:pt>
                <c:pt idx="766">
                  <c:v>83.9</c:v>
                </c:pt>
                <c:pt idx="767">
                  <c:v>71.2</c:v>
                </c:pt>
                <c:pt idx="768">
                  <c:v>85.5</c:v>
                </c:pt>
                <c:pt idx="769">
                  <c:v>98.4</c:v>
                </c:pt>
                <c:pt idx="770">
                  <c:v>82.6</c:v>
                </c:pt>
                <c:pt idx="771">
                  <c:v>91.6</c:v>
                </c:pt>
                <c:pt idx="772">
                  <c:v>91.3</c:v>
                </c:pt>
                <c:pt idx="773">
                  <c:v>84.3</c:v>
                </c:pt>
                <c:pt idx="774">
                  <c:v>74.599999999999994</c:v>
                </c:pt>
                <c:pt idx="775">
                  <c:v>88.6</c:v>
                </c:pt>
                <c:pt idx="776">
                  <c:v>73.599999999999994</c:v>
                </c:pt>
                <c:pt idx="777">
                  <c:v>95.8</c:v>
                </c:pt>
                <c:pt idx="778">
                  <c:v>87.1</c:v>
                </c:pt>
                <c:pt idx="779">
                  <c:v>89.9</c:v>
                </c:pt>
                <c:pt idx="780">
                  <c:v>79.099999999999994</c:v>
                </c:pt>
                <c:pt idx="781">
                  <c:v>97.6</c:v>
                </c:pt>
                <c:pt idx="782">
                  <c:v>90.3</c:v>
                </c:pt>
                <c:pt idx="783">
                  <c:v>78.099999999999994</c:v>
                </c:pt>
                <c:pt idx="784">
                  <c:v>92.6</c:v>
                </c:pt>
                <c:pt idx="785">
                  <c:v>97</c:v>
                </c:pt>
                <c:pt idx="786">
                  <c:v>77</c:v>
                </c:pt>
                <c:pt idx="787">
                  <c:v>96.8</c:v>
                </c:pt>
                <c:pt idx="788">
                  <c:v>72.099999999999994</c:v>
                </c:pt>
                <c:pt idx="789">
                  <c:v>75.400000000000006</c:v>
                </c:pt>
                <c:pt idx="790">
                  <c:v>57.6</c:v>
                </c:pt>
                <c:pt idx="791">
                  <c:v>67.599999999999994</c:v>
                </c:pt>
                <c:pt idx="792">
                  <c:v>91.2</c:v>
                </c:pt>
                <c:pt idx="793">
                  <c:v>86.8</c:v>
                </c:pt>
                <c:pt idx="794">
                  <c:v>89.5</c:v>
                </c:pt>
                <c:pt idx="795">
                  <c:v>100</c:v>
                </c:pt>
                <c:pt idx="796">
                  <c:v>93.4</c:v>
                </c:pt>
                <c:pt idx="797">
                  <c:v>78.7</c:v>
                </c:pt>
                <c:pt idx="798">
                  <c:v>60.8</c:v>
                </c:pt>
                <c:pt idx="799">
                  <c:v>96.1</c:v>
                </c:pt>
                <c:pt idx="800">
                  <c:v>83</c:v>
                </c:pt>
                <c:pt idx="801">
                  <c:v>94</c:v>
                </c:pt>
                <c:pt idx="802">
                  <c:v>100</c:v>
                </c:pt>
                <c:pt idx="803">
                  <c:v>94.6</c:v>
                </c:pt>
                <c:pt idx="804">
                  <c:v>87.7</c:v>
                </c:pt>
                <c:pt idx="805">
                  <c:v>82.1</c:v>
                </c:pt>
                <c:pt idx="806">
                  <c:v>80.099999999999994</c:v>
                </c:pt>
                <c:pt idx="807">
                  <c:v>57.8</c:v>
                </c:pt>
                <c:pt idx="808">
                  <c:v>74.3</c:v>
                </c:pt>
                <c:pt idx="809">
                  <c:v>82.5</c:v>
                </c:pt>
                <c:pt idx="810">
                  <c:v>85.9</c:v>
                </c:pt>
                <c:pt idx="811">
                  <c:v>88.4</c:v>
                </c:pt>
                <c:pt idx="812">
                  <c:v>100</c:v>
                </c:pt>
                <c:pt idx="813">
                  <c:v>75.599999999999994</c:v>
                </c:pt>
                <c:pt idx="814">
                  <c:v>78</c:v>
                </c:pt>
                <c:pt idx="815">
                  <c:v>80</c:v>
                </c:pt>
                <c:pt idx="816">
                  <c:v>80.2</c:v>
                </c:pt>
                <c:pt idx="817">
                  <c:v>82.2</c:v>
                </c:pt>
                <c:pt idx="818">
                  <c:v>79.599999999999994</c:v>
                </c:pt>
                <c:pt idx="819">
                  <c:v>96.3</c:v>
                </c:pt>
                <c:pt idx="820">
                  <c:v>65.400000000000006</c:v>
                </c:pt>
                <c:pt idx="821">
                  <c:v>79.900000000000006</c:v>
                </c:pt>
                <c:pt idx="822">
                  <c:v>71.599999999999994</c:v>
                </c:pt>
                <c:pt idx="823">
                  <c:v>100</c:v>
                </c:pt>
                <c:pt idx="824">
                  <c:v>93.9</c:v>
                </c:pt>
                <c:pt idx="825">
                  <c:v>87.5</c:v>
                </c:pt>
                <c:pt idx="826">
                  <c:v>86.3</c:v>
                </c:pt>
                <c:pt idx="827">
                  <c:v>77.599999999999994</c:v>
                </c:pt>
                <c:pt idx="828">
                  <c:v>70.2</c:v>
                </c:pt>
                <c:pt idx="829">
                  <c:v>100</c:v>
                </c:pt>
                <c:pt idx="830">
                  <c:v>73.5</c:v>
                </c:pt>
                <c:pt idx="831">
                  <c:v>91.2</c:v>
                </c:pt>
                <c:pt idx="832">
                  <c:v>78.099999999999994</c:v>
                </c:pt>
                <c:pt idx="833">
                  <c:v>89</c:v>
                </c:pt>
                <c:pt idx="834">
                  <c:v>82</c:v>
                </c:pt>
                <c:pt idx="835">
                  <c:v>89.5</c:v>
                </c:pt>
                <c:pt idx="836">
                  <c:v>100</c:v>
                </c:pt>
                <c:pt idx="837">
                  <c:v>88.7</c:v>
                </c:pt>
                <c:pt idx="838">
                  <c:v>86</c:v>
                </c:pt>
                <c:pt idx="839">
                  <c:v>82.9</c:v>
                </c:pt>
                <c:pt idx="840">
                  <c:v>88.6</c:v>
                </c:pt>
                <c:pt idx="841">
                  <c:v>79.2</c:v>
                </c:pt>
                <c:pt idx="842">
                  <c:v>85.1</c:v>
                </c:pt>
                <c:pt idx="843">
                  <c:v>80.2</c:v>
                </c:pt>
                <c:pt idx="844">
                  <c:v>80.2</c:v>
                </c:pt>
                <c:pt idx="845">
                  <c:v>80.3</c:v>
                </c:pt>
                <c:pt idx="846">
                  <c:v>69.8</c:v>
                </c:pt>
                <c:pt idx="847">
                  <c:v>100</c:v>
                </c:pt>
                <c:pt idx="848">
                  <c:v>80.8</c:v>
                </c:pt>
                <c:pt idx="849">
                  <c:v>100</c:v>
                </c:pt>
                <c:pt idx="850">
                  <c:v>99.5</c:v>
                </c:pt>
                <c:pt idx="851">
                  <c:v>80.7</c:v>
                </c:pt>
                <c:pt idx="852">
                  <c:v>86.6</c:v>
                </c:pt>
                <c:pt idx="853">
                  <c:v>98.8</c:v>
                </c:pt>
                <c:pt idx="854">
                  <c:v>81.900000000000006</c:v>
                </c:pt>
                <c:pt idx="855">
                  <c:v>79</c:v>
                </c:pt>
                <c:pt idx="856">
                  <c:v>91.7</c:v>
                </c:pt>
                <c:pt idx="857">
                  <c:v>78.8</c:v>
                </c:pt>
                <c:pt idx="858">
                  <c:v>84.8</c:v>
                </c:pt>
                <c:pt idx="859">
                  <c:v>66.5</c:v>
                </c:pt>
                <c:pt idx="860">
                  <c:v>91.1</c:v>
                </c:pt>
                <c:pt idx="861">
                  <c:v>74.2</c:v>
                </c:pt>
                <c:pt idx="862">
                  <c:v>86.3</c:v>
                </c:pt>
                <c:pt idx="863">
                  <c:v>71.2</c:v>
                </c:pt>
                <c:pt idx="864">
                  <c:v>83.5</c:v>
                </c:pt>
                <c:pt idx="865">
                  <c:v>89.8</c:v>
                </c:pt>
                <c:pt idx="866">
                  <c:v>80.3</c:v>
                </c:pt>
                <c:pt idx="867">
                  <c:v>91.6</c:v>
                </c:pt>
                <c:pt idx="868">
                  <c:v>95.8</c:v>
                </c:pt>
                <c:pt idx="869">
                  <c:v>84.4</c:v>
                </c:pt>
                <c:pt idx="870">
                  <c:v>96.1</c:v>
                </c:pt>
                <c:pt idx="871">
                  <c:v>92.6</c:v>
                </c:pt>
                <c:pt idx="872">
                  <c:v>75.5</c:v>
                </c:pt>
                <c:pt idx="873">
                  <c:v>85.1</c:v>
                </c:pt>
                <c:pt idx="874">
                  <c:v>93.8</c:v>
                </c:pt>
                <c:pt idx="875">
                  <c:v>81.400000000000006</c:v>
                </c:pt>
                <c:pt idx="876">
                  <c:v>98.8</c:v>
                </c:pt>
                <c:pt idx="877">
                  <c:v>65.400000000000006</c:v>
                </c:pt>
                <c:pt idx="878">
                  <c:v>77.599999999999994</c:v>
                </c:pt>
                <c:pt idx="879">
                  <c:v>85.6</c:v>
                </c:pt>
                <c:pt idx="880">
                  <c:v>81.400000000000006</c:v>
                </c:pt>
                <c:pt idx="881">
                  <c:v>85.4</c:v>
                </c:pt>
                <c:pt idx="882">
                  <c:v>71.900000000000006</c:v>
                </c:pt>
                <c:pt idx="883">
                  <c:v>94.4</c:v>
                </c:pt>
                <c:pt idx="884">
                  <c:v>100</c:v>
                </c:pt>
                <c:pt idx="885">
                  <c:v>77.099999999999994</c:v>
                </c:pt>
                <c:pt idx="886">
                  <c:v>76.8</c:v>
                </c:pt>
                <c:pt idx="887">
                  <c:v>79.8</c:v>
                </c:pt>
                <c:pt idx="888">
                  <c:v>82.2</c:v>
                </c:pt>
                <c:pt idx="889">
                  <c:v>77.400000000000006</c:v>
                </c:pt>
                <c:pt idx="890">
                  <c:v>100</c:v>
                </c:pt>
                <c:pt idx="891">
                  <c:v>87.2</c:v>
                </c:pt>
                <c:pt idx="892">
                  <c:v>76.400000000000006</c:v>
                </c:pt>
                <c:pt idx="893">
                  <c:v>79.599999999999994</c:v>
                </c:pt>
                <c:pt idx="894">
                  <c:v>71.400000000000006</c:v>
                </c:pt>
                <c:pt idx="895">
                  <c:v>80.8</c:v>
                </c:pt>
                <c:pt idx="896">
                  <c:v>91.1</c:v>
                </c:pt>
                <c:pt idx="897">
                  <c:v>78.8</c:v>
                </c:pt>
                <c:pt idx="898">
                  <c:v>66.7</c:v>
                </c:pt>
                <c:pt idx="899">
                  <c:v>68.8</c:v>
                </c:pt>
                <c:pt idx="900">
                  <c:v>69.900000000000006</c:v>
                </c:pt>
                <c:pt idx="901">
                  <c:v>80.7</c:v>
                </c:pt>
                <c:pt idx="902">
                  <c:v>73.3</c:v>
                </c:pt>
                <c:pt idx="903">
                  <c:v>68.8</c:v>
                </c:pt>
                <c:pt idx="904">
                  <c:v>90.8</c:v>
                </c:pt>
                <c:pt idx="905">
                  <c:v>100</c:v>
                </c:pt>
                <c:pt idx="906">
                  <c:v>85</c:v>
                </c:pt>
                <c:pt idx="907">
                  <c:v>86</c:v>
                </c:pt>
                <c:pt idx="908">
                  <c:v>73.099999999999994</c:v>
                </c:pt>
                <c:pt idx="909">
                  <c:v>87.6</c:v>
                </c:pt>
                <c:pt idx="910">
                  <c:v>96.5</c:v>
                </c:pt>
                <c:pt idx="911">
                  <c:v>100</c:v>
                </c:pt>
                <c:pt idx="912">
                  <c:v>82.1</c:v>
                </c:pt>
                <c:pt idx="913">
                  <c:v>80.3</c:v>
                </c:pt>
                <c:pt idx="914">
                  <c:v>76.900000000000006</c:v>
                </c:pt>
                <c:pt idx="915">
                  <c:v>81.7</c:v>
                </c:pt>
                <c:pt idx="916">
                  <c:v>88.1</c:v>
                </c:pt>
                <c:pt idx="917">
                  <c:v>88.1</c:v>
                </c:pt>
                <c:pt idx="918">
                  <c:v>97.3</c:v>
                </c:pt>
                <c:pt idx="919">
                  <c:v>83.4</c:v>
                </c:pt>
                <c:pt idx="920">
                  <c:v>72.8</c:v>
                </c:pt>
                <c:pt idx="921">
                  <c:v>90.5</c:v>
                </c:pt>
                <c:pt idx="922">
                  <c:v>83.8</c:v>
                </c:pt>
                <c:pt idx="923">
                  <c:v>93.1</c:v>
                </c:pt>
                <c:pt idx="924">
                  <c:v>71.2</c:v>
                </c:pt>
                <c:pt idx="925">
                  <c:v>95.3</c:v>
                </c:pt>
                <c:pt idx="926">
                  <c:v>99.6</c:v>
                </c:pt>
                <c:pt idx="927">
                  <c:v>92.4</c:v>
                </c:pt>
                <c:pt idx="928">
                  <c:v>75.400000000000006</c:v>
                </c:pt>
                <c:pt idx="929">
                  <c:v>80.8</c:v>
                </c:pt>
                <c:pt idx="930">
                  <c:v>72.900000000000006</c:v>
                </c:pt>
                <c:pt idx="931">
                  <c:v>63.7</c:v>
                </c:pt>
                <c:pt idx="932">
                  <c:v>75.3</c:v>
                </c:pt>
                <c:pt idx="933">
                  <c:v>71.7</c:v>
                </c:pt>
                <c:pt idx="934">
                  <c:v>100</c:v>
                </c:pt>
                <c:pt idx="935">
                  <c:v>83.3</c:v>
                </c:pt>
                <c:pt idx="936">
                  <c:v>85.6</c:v>
                </c:pt>
                <c:pt idx="937">
                  <c:v>93.1</c:v>
                </c:pt>
                <c:pt idx="938">
                  <c:v>77.3</c:v>
                </c:pt>
                <c:pt idx="939">
                  <c:v>74.8</c:v>
                </c:pt>
                <c:pt idx="940">
                  <c:v>76.7</c:v>
                </c:pt>
                <c:pt idx="941">
                  <c:v>85.3</c:v>
                </c:pt>
                <c:pt idx="942">
                  <c:v>68.599999999999994</c:v>
                </c:pt>
                <c:pt idx="943">
                  <c:v>96.4</c:v>
                </c:pt>
                <c:pt idx="944">
                  <c:v>95.7</c:v>
                </c:pt>
                <c:pt idx="945">
                  <c:v>96.1</c:v>
                </c:pt>
                <c:pt idx="946">
                  <c:v>70.400000000000006</c:v>
                </c:pt>
                <c:pt idx="947">
                  <c:v>85.8</c:v>
                </c:pt>
                <c:pt idx="948">
                  <c:v>100</c:v>
                </c:pt>
                <c:pt idx="949">
                  <c:v>65.8</c:v>
                </c:pt>
                <c:pt idx="950">
                  <c:v>72.400000000000006</c:v>
                </c:pt>
                <c:pt idx="951">
                  <c:v>83.6</c:v>
                </c:pt>
                <c:pt idx="952">
                  <c:v>89.5</c:v>
                </c:pt>
                <c:pt idx="953">
                  <c:v>77.900000000000006</c:v>
                </c:pt>
                <c:pt idx="954">
                  <c:v>100</c:v>
                </c:pt>
                <c:pt idx="955">
                  <c:v>88.3</c:v>
                </c:pt>
                <c:pt idx="956">
                  <c:v>93.5</c:v>
                </c:pt>
                <c:pt idx="957">
                  <c:v>89</c:v>
                </c:pt>
                <c:pt idx="958">
                  <c:v>87.6</c:v>
                </c:pt>
                <c:pt idx="959">
                  <c:v>80.5</c:v>
                </c:pt>
                <c:pt idx="960">
                  <c:v>75.400000000000006</c:v>
                </c:pt>
                <c:pt idx="961">
                  <c:v>80.7</c:v>
                </c:pt>
                <c:pt idx="962">
                  <c:v>73</c:v>
                </c:pt>
                <c:pt idx="963">
                  <c:v>78.400000000000006</c:v>
                </c:pt>
                <c:pt idx="964">
                  <c:v>69.5</c:v>
                </c:pt>
                <c:pt idx="965">
                  <c:v>76.2</c:v>
                </c:pt>
                <c:pt idx="966">
                  <c:v>90</c:v>
                </c:pt>
                <c:pt idx="967">
                  <c:v>100</c:v>
                </c:pt>
                <c:pt idx="968">
                  <c:v>60</c:v>
                </c:pt>
                <c:pt idx="969">
                  <c:v>78.3</c:v>
                </c:pt>
                <c:pt idx="970">
                  <c:v>100</c:v>
                </c:pt>
                <c:pt idx="971">
                  <c:v>75.599999999999994</c:v>
                </c:pt>
                <c:pt idx="972">
                  <c:v>84.1</c:v>
                </c:pt>
                <c:pt idx="973">
                  <c:v>77.900000000000006</c:v>
                </c:pt>
                <c:pt idx="974">
                  <c:v>67.900000000000006</c:v>
                </c:pt>
                <c:pt idx="975">
                  <c:v>67</c:v>
                </c:pt>
                <c:pt idx="976">
                  <c:v>80.900000000000006</c:v>
                </c:pt>
                <c:pt idx="977">
                  <c:v>72.099999999999994</c:v>
                </c:pt>
                <c:pt idx="978">
                  <c:v>83</c:v>
                </c:pt>
                <c:pt idx="979">
                  <c:v>93.9</c:v>
                </c:pt>
                <c:pt idx="980">
                  <c:v>91.4</c:v>
                </c:pt>
                <c:pt idx="981">
                  <c:v>79.7</c:v>
                </c:pt>
                <c:pt idx="982">
                  <c:v>77.7</c:v>
                </c:pt>
                <c:pt idx="983">
                  <c:v>85</c:v>
                </c:pt>
                <c:pt idx="984">
                  <c:v>75.400000000000006</c:v>
                </c:pt>
                <c:pt idx="985">
                  <c:v>96.4</c:v>
                </c:pt>
                <c:pt idx="986">
                  <c:v>81.8</c:v>
                </c:pt>
                <c:pt idx="987">
                  <c:v>85.8</c:v>
                </c:pt>
                <c:pt idx="988">
                  <c:v>80.900000000000006</c:v>
                </c:pt>
                <c:pt idx="989">
                  <c:v>93.9</c:v>
                </c:pt>
                <c:pt idx="990">
                  <c:v>81.900000000000006</c:v>
                </c:pt>
                <c:pt idx="991">
                  <c:v>80.400000000000006</c:v>
                </c:pt>
                <c:pt idx="992">
                  <c:v>78.8</c:v>
                </c:pt>
                <c:pt idx="993">
                  <c:v>92.7</c:v>
                </c:pt>
                <c:pt idx="994">
                  <c:v>79.099999999999994</c:v>
                </c:pt>
                <c:pt idx="995">
                  <c:v>70.7</c:v>
                </c:pt>
                <c:pt idx="996">
                  <c:v>99.5</c:v>
                </c:pt>
                <c:pt idx="997">
                  <c:v>79.2</c:v>
                </c:pt>
                <c:pt idx="998">
                  <c:v>82.2</c:v>
                </c:pt>
                <c:pt idx="999">
                  <c:v>70.400000000000006</c:v>
                </c:pt>
              </c:numCache>
            </c:numRef>
          </c:yVal>
          <c:smooth val="0"/>
          <c:extLst>
            <c:ext xmlns:c16="http://schemas.microsoft.com/office/drawing/2014/chart" uri="{C3380CC4-5D6E-409C-BE32-E72D297353CC}">
              <c16:uniqueId val="{00000000-8BEF-4970-80CD-BB00F222D643}"/>
            </c:ext>
          </c:extLst>
        </c:ser>
        <c:dLbls>
          <c:showLegendKey val="0"/>
          <c:showVal val="0"/>
          <c:showCatName val="0"/>
          <c:showSerName val="0"/>
          <c:showPercent val="0"/>
          <c:showBubbleSize val="0"/>
        </c:dLbls>
        <c:axId val="1304308416"/>
        <c:axId val="229881872"/>
      </c:scatterChart>
      <c:valAx>
        <c:axId val="1304308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Final Exam 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81872"/>
        <c:crosses val="autoZero"/>
        <c:crossBetween val="midCat"/>
      </c:valAx>
      <c:valAx>
        <c:axId val="229881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Study Time (Hours)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3084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2400" b="1" i="0" u="none" strike="noStrike" kern="1200" spc="0" baseline="0">
                <a:ln>
                  <a:noFill/>
                </a:ln>
                <a:solidFill>
                  <a:schemeClr val="tx1"/>
                </a:solidFill>
                <a:latin typeface="+mn-lt"/>
                <a:ea typeface="+mn-ea"/>
                <a:cs typeface="+mn-cs"/>
              </a:defRPr>
            </a:pPr>
            <a:r>
              <a:rPr lang="en-US" sz="2400" b="1"/>
              <a:t>Study Time vs Final Exam Score</a:t>
            </a:r>
          </a:p>
        </c:rich>
      </c:tx>
      <c:overlay val="0"/>
      <c:spPr>
        <a:noFill/>
        <a:ln>
          <a:noFill/>
        </a:ln>
        <a:effectLst/>
      </c:spPr>
      <c:txPr>
        <a:bodyPr rot="0" spcFirstLastPara="1" vertOverflow="ellipsis" vert="horz" wrap="square" anchor="ctr" anchorCtr="1"/>
        <a:lstStyle/>
        <a:p>
          <a:pPr>
            <a:defRPr sz="2400" b="1" i="0" u="none" strike="noStrike" kern="1200" spc="0" baseline="0">
              <a:ln>
                <a:noFill/>
              </a:ln>
              <a:solidFill>
                <a:schemeClr val="tx1"/>
              </a:solidFill>
              <a:latin typeface="+mn-lt"/>
              <a:ea typeface="+mn-ea"/>
              <a:cs typeface="+mn-cs"/>
            </a:defRPr>
          </a:pPr>
          <a:endParaRPr lang="en-US"/>
        </a:p>
      </c:txPr>
    </c:title>
    <c:autoTitleDeleted val="0"/>
    <c:plotArea>
      <c:layout>
        <c:manualLayout>
          <c:layoutTarget val="inner"/>
          <c:xMode val="edge"/>
          <c:yMode val="edge"/>
          <c:x val="8.7859919978262827E-2"/>
          <c:y val="0.12673508423972502"/>
          <c:w val="0.86533984165911582"/>
          <c:h val="0.70567456480259361"/>
        </c:manualLayout>
      </c:layout>
      <c:scatterChart>
        <c:scatterStyle val="lineMarker"/>
        <c:varyColors val="0"/>
        <c:ser>
          <c:idx val="0"/>
          <c:order val="0"/>
          <c:tx>
            <c:strRef>
              <c:f>'03_Clean_Data_Analysis'!$K$1</c:f>
              <c:strCache>
                <c:ptCount val="1"/>
                <c:pt idx="0">
                  <c:v>final_exam_score</c:v>
                </c:pt>
              </c:strCache>
            </c:strRef>
          </c:tx>
          <c:spPr>
            <a:ln w="38100" cap="rnd">
              <a:noFill/>
              <a:round/>
            </a:ln>
            <a:effectLst/>
          </c:spPr>
          <c:marker>
            <c:symbol val="circle"/>
            <c:size val="5"/>
            <c:spPr>
              <a:solidFill>
                <a:schemeClr val="dk1">
                  <a:tint val="88500"/>
                </a:schemeClr>
              </a:solidFill>
              <a:ln w="9525">
                <a:solidFill>
                  <a:schemeClr val="dk1">
                    <a:tint val="88500"/>
                  </a:schemeClr>
                </a:solidFill>
              </a:ln>
              <a:effectLst/>
            </c:spPr>
          </c:marker>
          <c:trendline>
            <c:spPr>
              <a:ln w="19050" cap="rnd">
                <a:solidFill>
                  <a:schemeClr val="dk1">
                    <a:tint val="88500"/>
                  </a:schemeClr>
                </a:solidFill>
                <a:prstDash val="sysDot"/>
              </a:ln>
              <a:effectLst/>
            </c:spPr>
            <c:trendlineType val="linear"/>
            <c:dispRSqr val="0"/>
            <c:dispEq val="0"/>
          </c:trendline>
          <c:xVal>
            <c:numRef>
              <c:f>'03_Clean_Data_Analysis'!$C$2:$C$1001</c:f>
              <c:numCache>
                <c:formatCode>General</c:formatCode>
                <c:ptCount val="1000"/>
                <c:pt idx="0">
                  <c:v>4</c:v>
                </c:pt>
                <c:pt idx="1">
                  <c:v>6.3</c:v>
                </c:pt>
                <c:pt idx="2">
                  <c:v>4.9000000000000004</c:v>
                </c:pt>
                <c:pt idx="3">
                  <c:v>2.6</c:v>
                </c:pt>
                <c:pt idx="4">
                  <c:v>2.2000000000000002</c:v>
                </c:pt>
                <c:pt idx="5">
                  <c:v>4.2</c:v>
                </c:pt>
                <c:pt idx="6">
                  <c:v>1.5</c:v>
                </c:pt>
                <c:pt idx="7">
                  <c:v>6.2</c:v>
                </c:pt>
                <c:pt idx="8">
                  <c:v>5.3</c:v>
                </c:pt>
                <c:pt idx="9">
                  <c:v>2.8</c:v>
                </c:pt>
                <c:pt idx="10">
                  <c:v>0.9</c:v>
                </c:pt>
                <c:pt idx="11">
                  <c:v>5.5</c:v>
                </c:pt>
                <c:pt idx="12">
                  <c:v>3.3</c:v>
                </c:pt>
                <c:pt idx="13">
                  <c:v>5.4</c:v>
                </c:pt>
                <c:pt idx="14">
                  <c:v>1.1000000000000001</c:v>
                </c:pt>
                <c:pt idx="15">
                  <c:v>2.6</c:v>
                </c:pt>
                <c:pt idx="16">
                  <c:v>3.5</c:v>
                </c:pt>
                <c:pt idx="17">
                  <c:v>3.6</c:v>
                </c:pt>
                <c:pt idx="18">
                  <c:v>2.8</c:v>
                </c:pt>
                <c:pt idx="19">
                  <c:v>4.4000000000000004</c:v>
                </c:pt>
                <c:pt idx="20">
                  <c:v>1.9</c:v>
                </c:pt>
                <c:pt idx="21">
                  <c:v>3.3</c:v>
                </c:pt>
                <c:pt idx="22">
                  <c:v>3.7</c:v>
                </c:pt>
                <c:pt idx="23">
                  <c:v>4.3</c:v>
                </c:pt>
                <c:pt idx="24">
                  <c:v>4.5999999999999996</c:v>
                </c:pt>
                <c:pt idx="25">
                  <c:v>1.8</c:v>
                </c:pt>
                <c:pt idx="26">
                  <c:v>1.2</c:v>
                </c:pt>
                <c:pt idx="27">
                  <c:v>5.4</c:v>
                </c:pt>
                <c:pt idx="28">
                  <c:v>4</c:v>
                </c:pt>
                <c:pt idx="29">
                  <c:v>2.4</c:v>
                </c:pt>
                <c:pt idx="30">
                  <c:v>5.8</c:v>
                </c:pt>
                <c:pt idx="31">
                  <c:v>3.7</c:v>
                </c:pt>
                <c:pt idx="32">
                  <c:v>5.3</c:v>
                </c:pt>
                <c:pt idx="33">
                  <c:v>3.6</c:v>
                </c:pt>
                <c:pt idx="34">
                  <c:v>6.6</c:v>
                </c:pt>
                <c:pt idx="35">
                  <c:v>6.1</c:v>
                </c:pt>
                <c:pt idx="36">
                  <c:v>3.1</c:v>
                </c:pt>
                <c:pt idx="37">
                  <c:v>5</c:v>
                </c:pt>
                <c:pt idx="38">
                  <c:v>4.5</c:v>
                </c:pt>
                <c:pt idx="39">
                  <c:v>5.6</c:v>
                </c:pt>
                <c:pt idx="40">
                  <c:v>2.1</c:v>
                </c:pt>
                <c:pt idx="41">
                  <c:v>4.5</c:v>
                </c:pt>
                <c:pt idx="42">
                  <c:v>5.0999999999999996</c:v>
                </c:pt>
                <c:pt idx="43">
                  <c:v>0.9</c:v>
                </c:pt>
                <c:pt idx="44">
                  <c:v>1.7</c:v>
                </c:pt>
                <c:pt idx="45">
                  <c:v>0.5</c:v>
                </c:pt>
                <c:pt idx="46">
                  <c:v>3.1</c:v>
                </c:pt>
                <c:pt idx="47">
                  <c:v>4.5999999999999996</c:v>
                </c:pt>
                <c:pt idx="48">
                  <c:v>5.8</c:v>
                </c:pt>
                <c:pt idx="49">
                  <c:v>3.6</c:v>
                </c:pt>
                <c:pt idx="50">
                  <c:v>5.9</c:v>
                </c:pt>
                <c:pt idx="51">
                  <c:v>1.4</c:v>
                </c:pt>
                <c:pt idx="52">
                  <c:v>0.9</c:v>
                </c:pt>
                <c:pt idx="53">
                  <c:v>3.4</c:v>
                </c:pt>
                <c:pt idx="54">
                  <c:v>4.0999999999999996</c:v>
                </c:pt>
                <c:pt idx="55">
                  <c:v>3.5</c:v>
                </c:pt>
                <c:pt idx="56">
                  <c:v>0.5</c:v>
                </c:pt>
                <c:pt idx="57">
                  <c:v>3.4</c:v>
                </c:pt>
                <c:pt idx="58">
                  <c:v>1.5</c:v>
                </c:pt>
                <c:pt idx="59">
                  <c:v>4.5</c:v>
                </c:pt>
                <c:pt idx="60">
                  <c:v>4</c:v>
                </c:pt>
                <c:pt idx="61">
                  <c:v>2.1</c:v>
                </c:pt>
                <c:pt idx="62">
                  <c:v>2.7</c:v>
                </c:pt>
                <c:pt idx="63">
                  <c:v>1.9</c:v>
                </c:pt>
                <c:pt idx="64">
                  <c:v>3.4</c:v>
                </c:pt>
                <c:pt idx="65">
                  <c:v>4.9000000000000004</c:v>
                </c:pt>
                <c:pt idx="66">
                  <c:v>2</c:v>
                </c:pt>
                <c:pt idx="67">
                  <c:v>4.3</c:v>
                </c:pt>
                <c:pt idx="68">
                  <c:v>2.7</c:v>
                </c:pt>
                <c:pt idx="69">
                  <c:v>2.2999999999999998</c:v>
                </c:pt>
                <c:pt idx="70">
                  <c:v>3.3</c:v>
                </c:pt>
                <c:pt idx="71">
                  <c:v>1.9</c:v>
                </c:pt>
                <c:pt idx="72">
                  <c:v>2.7</c:v>
                </c:pt>
                <c:pt idx="73">
                  <c:v>1.7</c:v>
                </c:pt>
                <c:pt idx="74">
                  <c:v>6.4</c:v>
                </c:pt>
                <c:pt idx="75">
                  <c:v>3.6</c:v>
                </c:pt>
                <c:pt idx="76">
                  <c:v>2.5</c:v>
                </c:pt>
                <c:pt idx="77">
                  <c:v>3.8</c:v>
                </c:pt>
                <c:pt idx="78">
                  <c:v>3.3</c:v>
                </c:pt>
                <c:pt idx="79">
                  <c:v>3.2</c:v>
                </c:pt>
                <c:pt idx="80">
                  <c:v>4.4000000000000004</c:v>
                </c:pt>
                <c:pt idx="81">
                  <c:v>4.5999999999999996</c:v>
                </c:pt>
                <c:pt idx="82">
                  <c:v>2.7</c:v>
                </c:pt>
                <c:pt idx="83">
                  <c:v>2.6</c:v>
                </c:pt>
                <c:pt idx="84">
                  <c:v>3.1</c:v>
                </c:pt>
                <c:pt idx="85">
                  <c:v>0.5</c:v>
                </c:pt>
                <c:pt idx="86">
                  <c:v>1.2</c:v>
                </c:pt>
                <c:pt idx="87">
                  <c:v>5.6</c:v>
                </c:pt>
                <c:pt idx="88">
                  <c:v>6</c:v>
                </c:pt>
                <c:pt idx="89">
                  <c:v>3.1</c:v>
                </c:pt>
                <c:pt idx="90">
                  <c:v>4.4000000000000004</c:v>
                </c:pt>
                <c:pt idx="91">
                  <c:v>4</c:v>
                </c:pt>
                <c:pt idx="92">
                  <c:v>8.1</c:v>
                </c:pt>
                <c:pt idx="93">
                  <c:v>5.2</c:v>
                </c:pt>
                <c:pt idx="94">
                  <c:v>3.3</c:v>
                </c:pt>
                <c:pt idx="95">
                  <c:v>2.1</c:v>
                </c:pt>
                <c:pt idx="96">
                  <c:v>1.1000000000000001</c:v>
                </c:pt>
                <c:pt idx="97">
                  <c:v>3.8</c:v>
                </c:pt>
                <c:pt idx="98">
                  <c:v>2.4</c:v>
                </c:pt>
                <c:pt idx="99">
                  <c:v>1.4</c:v>
                </c:pt>
                <c:pt idx="100">
                  <c:v>2.5</c:v>
                </c:pt>
                <c:pt idx="101">
                  <c:v>1.9</c:v>
                </c:pt>
                <c:pt idx="102">
                  <c:v>6</c:v>
                </c:pt>
                <c:pt idx="103">
                  <c:v>4.8</c:v>
                </c:pt>
                <c:pt idx="104">
                  <c:v>3.5</c:v>
                </c:pt>
                <c:pt idx="105">
                  <c:v>5.7</c:v>
                </c:pt>
                <c:pt idx="106">
                  <c:v>3.6</c:v>
                </c:pt>
                <c:pt idx="107">
                  <c:v>2.2000000000000002</c:v>
                </c:pt>
                <c:pt idx="108">
                  <c:v>5.8</c:v>
                </c:pt>
                <c:pt idx="109">
                  <c:v>4.3</c:v>
                </c:pt>
                <c:pt idx="110">
                  <c:v>1.9</c:v>
                </c:pt>
                <c:pt idx="111">
                  <c:v>3.2</c:v>
                </c:pt>
                <c:pt idx="112">
                  <c:v>2.2000000000000002</c:v>
                </c:pt>
                <c:pt idx="113">
                  <c:v>1.4</c:v>
                </c:pt>
                <c:pt idx="114">
                  <c:v>4.9000000000000004</c:v>
                </c:pt>
                <c:pt idx="115">
                  <c:v>6.4</c:v>
                </c:pt>
                <c:pt idx="116">
                  <c:v>1.4</c:v>
                </c:pt>
                <c:pt idx="117">
                  <c:v>4.3</c:v>
                </c:pt>
                <c:pt idx="118">
                  <c:v>2.5</c:v>
                </c:pt>
                <c:pt idx="119">
                  <c:v>2.8</c:v>
                </c:pt>
                <c:pt idx="120">
                  <c:v>2.6</c:v>
                </c:pt>
                <c:pt idx="121">
                  <c:v>2.2000000000000002</c:v>
                </c:pt>
                <c:pt idx="122">
                  <c:v>3.6</c:v>
                </c:pt>
                <c:pt idx="123">
                  <c:v>2.2999999999999998</c:v>
                </c:pt>
                <c:pt idx="124">
                  <c:v>3.9</c:v>
                </c:pt>
                <c:pt idx="125">
                  <c:v>3.4</c:v>
                </c:pt>
                <c:pt idx="126">
                  <c:v>3.1</c:v>
                </c:pt>
                <c:pt idx="127">
                  <c:v>2.1</c:v>
                </c:pt>
                <c:pt idx="128">
                  <c:v>2.6</c:v>
                </c:pt>
                <c:pt idx="129">
                  <c:v>4.5999999999999996</c:v>
                </c:pt>
                <c:pt idx="130">
                  <c:v>4.3</c:v>
                </c:pt>
                <c:pt idx="131">
                  <c:v>2</c:v>
                </c:pt>
                <c:pt idx="132">
                  <c:v>3.6</c:v>
                </c:pt>
                <c:pt idx="133">
                  <c:v>4.5999999999999996</c:v>
                </c:pt>
                <c:pt idx="134">
                  <c:v>1</c:v>
                </c:pt>
                <c:pt idx="135">
                  <c:v>4.3</c:v>
                </c:pt>
                <c:pt idx="136">
                  <c:v>2.5</c:v>
                </c:pt>
                <c:pt idx="137">
                  <c:v>4.4000000000000004</c:v>
                </c:pt>
                <c:pt idx="138">
                  <c:v>2.4</c:v>
                </c:pt>
                <c:pt idx="139">
                  <c:v>0.8</c:v>
                </c:pt>
                <c:pt idx="140">
                  <c:v>1.1000000000000001</c:v>
                </c:pt>
                <c:pt idx="141">
                  <c:v>3.6</c:v>
                </c:pt>
                <c:pt idx="142">
                  <c:v>3.9</c:v>
                </c:pt>
                <c:pt idx="143">
                  <c:v>2.1</c:v>
                </c:pt>
                <c:pt idx="144">
                  <c:v>4.5</c:v>
                </c:pt>
                <c:pt idx="145">
                  <c:v>1</c:v>
                </c:pt>
                <c:pt idx="146">
                  <c:v>3.4</c:v>
                </c:pt>
                <c:pt idx="147">
                  <c:v>1.7</c:v>
                </c:pt>
                <c:pt idx="148">
                  <c:v>2.5</c:v>
                </c:pt>
                <c:pt idx="149">
                  <c:v>3.6</c:v>
                </c:pt>
                <c:pt idx="150">
                  <c:v>2.2000000000000002</c:v>
                </c:pt>
                <c:pt idx="151">
                  <c:v>2.9</c:v>
                </c:pt>
                <c:pt idx="152">
                  <c:v>5</c:v>
                </c:pt>
                <c:pt idx="153">
                  <c:v>2.6</c:v>
                </c:pt>
                <c:pt idx="154">
                  <c:v>4.8</c:v>
                </c:pt>
                <c:pt idx="155">
                  <c:v>1.8</c:v>
                </c:pt>
                <c:pt idx="156">
                  <c:v>4.3</c:v>
                </c:pt>
                <c:pt idx="157">
                  <c:v>5.7</c:v>
                </c:pt>
                <c:pt idx="158">
                  <c:v>0.5</c:v>
                </c:pt>
                <c:pt idx="159">
                  <c:v>2.2999999999999998</c:v>
                </c:pt>
                <c:pt idx="160">
                  <c:v>4.4000000000000004</c:v>
                </c:pt>
                <c:pt idx="161">
                  <c:v>3.2</c:v>
                </c:pt>
                <c:pt idx="162">
                  <c:v>4.0999999999999996</c:v>
                </c:pt>
                <c:pt idx="163">
                  <c:v>2.6</c:v>
                </c:pt>
                <c:pt idx="164">
                  <c:v>3.6</c:v>
                </c:pt>
                <c:pt idx="165">
                  <c:v>3.3</c:v>
                </c:pt>
                <c:pt idx="166">
                  <c:v>5.3</c:v>
                </c:pt>
                <c:pt idx="167">
                  <c:v>3.9</c:v>
                </c:pt>
                <c:pt idx="168">
                  <c:v>4</c:v>
                </c:pt>
                <c:pt idx="169">
                  <c:v>2.9</c:v>
                </c:pt>
                <c:pt idx="170">
                  <c:v>2.8</c:v>
                </c:pt>
                <c:pt idx="171">
                  <c:v>2.9</c:v>
                </c:pt>
                <c:pt idx="172">
                  <c:v>4.0999999999999996</c:v>
                </c:pt>
                <c:pt idx="173">
                  <c:v>2.9</c:v>
                </c:pt>
                <c:pt idx="174">
                  <c:v>3.9</c:v>
                </c:pt>
                <c:pt idx="175">
                  <c:v>6.6</c:v>
                </c:pt>
                <c:pt idx="176">
                  <c:v>4.8</c:v>
                </c:pt>
                <c:pt idx="177">
                  <c:v>3</c:v>
                </c:pt>
                <c:pt idx="178">
                  <c:v>5.3</c:v>
                </c:pt>
                <c:pt idx="179">
                  <c:v>2.9</c:v>
                </c:pt>
                <c:pt idx="180">
                  <c:v>0.5</c:v>
                </c:pt>
                <c:pt idx="181">
                  <c:v>2</c:v>
                </c:pt>
                <c:pt idx="182">
                  <c:v>0.7</c:v>
                </c:pt>
                <c:pt idx="183">
                  <c:v>3</c:v>
                </c:pt>
                <c:pt idx="184">
                  <c:v>3.5</c:v>
                </c:pt>
                <c:pt idx="185">
                  <c:v>6</c:v>
                </c:pt>
                <c:pt idx="186">
                  <c:v>4</c:v>
                </c:pt>
                <c:pt idx="187">
                  <c:v>3.2</c:v>
                </c:pt>
                <c:pt idx="188">
                  <c:v>4.7</c:v>
                </c:pt>
                <c:pt idx="189">
                  <c:v>0.5</c:v>
                </c:pt>
                <c:pt idx="190">
                  <c:v>3.9</c:v>
                </c:pt>
                <c:pt idx="191">
                  <c:v>4.7</c:v>
                </c:pt>
                <c:pt idx="192">
                  <c:v>1.3</c:v>
                </c:pt>
                <c:pt idx="193">
                  <c:v>5.2</c:v>
                </c:pt>
                <c:pt idx="194">
                  <c:v>4</c:v>
                </c:pt>
                <c:pt idx="195">
                  <c:v>2.9</c:v>
                </c:pt>
                <c:pt idx="196">
                  <c:v>4.4000000000000004</c:v>
                </c:pt>
                <c:pt idx="197">
                  <c:v>6.9</c:v>
                </c:pt>
                <c:pt idx="198">
                  <c:v>3.8</c:v>
                </c:pt>
                <c:pt idx="199">
                  <c:v>3.9</c:v>
                </c:pt>
                <c:pt idx="200">
                  <c:v>2.8</c:v>
                </c:pt>
                <c:pt idx="201">
                  <c:v>2.2000000000000002</c:v>
                </c:pt>
                <c:pt idx="202">
                  <c:v>4.7</c:v>
                </c:pt>
                <c:pt idx="203">
                  <c:v>2.2000000000000002</c:v>
                </c:pt>
                <c:pt idx="204">
                  <c:v>3.6</c:v>
                </c:pt>
                <c:pt idx="205">
                  <c:v>2.8</c:v>
                </c:pt>
                <c:pt idx="206">
                  <c:v>4.2</c:v>
                </c:pt>
                <c:pt idx="207">
                  <c:v>4</c:v>
                </c:pt>
                <c:pt idx="208">
                  <c:v>5.0999999999999996</c:v>
                </c:pt>
                <c:pt idx="209">
                  <c:v>2.7</c:v>
                </c:pt>
                <c:pt idx="210">
                  <c:v>3.1</c:v>
                </c:pt>
                <c:pt idx="211">
                  <c:v>2</c:v>
                </c:pt>
                <c:pt idx="212">
                  <c:v>2.8</c:v>
                </c:pt>
                <c:pt idx="213">
                  <c:v>4.0999999999999996</c:v>
                </c:pt>
                <c:pt idx="214">
                  <c:v>4.5999999999999996</c:v>
                </c:pt>
                <c:pt idx="215">
                  <c:v>2.1</c:v>
                </c:pt>
                <c:pt idx="216">
                  <c:v>4.8</c:v>
                </c:pt>
                <c:pt idx="217">
                  <c:v>5.5</c:v>
                </c:pt>
                <c:pt idx="218">
                  <c:v>4.0999999999999996</c:v>
                </c:pt>
                <c:pt idx="219">
                  <c:v>6.3</c:v>
                </c:pt>
                <c:pt idx="220">
                  <c:v>2.2999999999999998</c:v>
                </c:pt>
                <c:pt idx="221">
                  <c:v>1.6</c:v>
                </c:pt>
                <c:pt idx="222">
                  <c:v>0.8</c:v>
                </c:pt>
                <c:pt idx="223">
                  <c:v>5.7</c:v>
                </c:pt>
                <c:pt idx="224">
                  <c:v>4.5</c:v>
                </c:pt>
                <c:pt idx="225">
                  <c:v>3.4</c:v>
                </c:pt>
                <c:pt idx="226">
                  <c:v>3.9</c:v>
                </c:pt>
                <c:pt idx="227">
                  <c:v>1.8</c:v>
                </c:pt>
                <c:pt idx="228">
                  <c:v>7.2</c:v>
                </c:pt>
                <c:pt idx="229">
                  <c:v>3.7</c:v>
                </c:pt>
                <c:pt idx="230">
                  <c:v>3.7</c:v>
                </c:pt>
                <c:pt idx="231">
                  <c:v>4.5999999999999996</c:v>
                </c:pt>
                <c:pt idx="232">
                  <c:v>4.2</c:v>
                </c:pt>
                <c:pt idx="233">
                  <c:v>3.8</c:v>
                </c:pt>
                <c:pt idx="234">
                  <c:v>2.2999999999999998</c:v>
                </c:pt>
                <c:pt idx="235">
                  <c:v>4.2</c:v>
                </c:pt>
                <c:pt idx="236">
                  <c:v>6.3</c:v>
                </c:pt>
                <c:pt idx="237">
                  <c:v>5.5</c:v>
                </c:pt>
                <c:pt idx="238">
                  <c:v>5.9</c:v>
                </c:pt>
                <c:pt idx="239">
                  <c:v>2.7</c:v>
                </c:pt>
                <c:pt idx="240">
                  <c:v>2</c:v>
                </c:pt>
                <c:pt idx="241">
                  <c:v>3.3</c:v>
                </c:pt>
                <c:pt idx="242">
                  <c:v>3.6</c:v>
                </c:pt>
                <c:pt idx="243">
                  <c:v>5.0999999999999996</c:v>
                </c:pt>
                <c:pt idx="244">
                  <c:v>1</c:v>
                </c:pt>
                <c:pt idx="245">
                  <c:v>5.8</c:v>
                </c:pt>
                <c:pt idx="246">
                  <c:v>3.3</c:v>
                </c:pt>
                <c:pt idx="247">
                  <c:v>2.9</c:v>
                </c:pt>
                <c:pt idx="248">
                  <c:v>2</c:v>
                </c:pt>
                <c:pt idx="249">
                  <c:v>1</c:v>
                </c:pt>
                <c:pt idx="250">
                  <c:v>4.7</c:v>
                </c:pt>
                <c:pt idx="251">
                  <c:v>3.6</c:v>
                </c:pt>
                <c:pt idx="252">
                  <c:v>1.6</c:v>
                </c:pt>
                <c:pt idx="253">
                  <c:v>1.6</c:v>
                </c:pt>
                <c:pt idx="254">
                  <c:v>3</c:v>
                </c:pt>
                <c:pt idx="255">
                  <c:v>6</c:v>
                </c:pt>
                <c:pt idx="256">
                  <c:v>3.1</c:v>
                </c:pt>
                <c:pt idx="257">
                  <c:v>1.2</c:v>
                </c:pt>
                <c:pt idx="258">
                  <c:v>3.1</c:v>
                </c:pt>
                <c:pt idx="259">
                  <c:v>3.1</c:v>
                </c:pt>
                <c:pt idx="260">
                  <c:v>0.5</c:v>
                </c:pt>
                <c:pt idx="261">
                  <c:v>3.4</c:v>
                </c:pt>
                <c:pt idx="262">
                  <c:v>3.2</c:v>
                </c:pt>
                <c:pt idx="263">
                  <c:v>4.5</c:v>
                </c:pt>
                <c:pt idx="264">
                  <c:v>6.3</c:v>
                </c:pt>
                <c:pt idx="265">
                  <c:v>5.2</c:v>
                </c:pt>
                <c:pt idx="266">
                  <c:v>3.1</c:v>
                </c:pt>
                <c:pt idx="267">
                  <c:v>1.8</c:v>
                </c:pt>
                <c:pt idx="268">
                  <c:v>7.4</c:v>
                </c:pt>
                <c:pt idx="269">
                  <c:v>3.6</c:v>
                </c:pt>
                <c:pt idx="270">
                  <c:v>3.5</c:v>
                </c:pt>
                <c:pt idx="271">
                  <c:v>3.5</c:v>
                </c:pt>
                <c:pt idx="272">
                  <c:v>3.8</c:v>
                </c:pt>
                <c:pt idx="273">
                  <c:v>3.3</c:v>
                </c:pt>
                <c:pt idx="274">
                  <c:v>2.6</c:v>
                </c:pt>
                <c:pt idx="275">
                  <c:v>2.7</c:v>
                </c:pt>
                <c:pt idx="276">
                  <c:v>3.5</c:v>
                </c:pt>
                <c:pt idx="277">
                  <c:v>2.7</c:v>
                </c:pt>
                <c:pt idx="278">
                  <c:v>2.4</c:v>
                </c:pt>
                <c:pt idx="279">
                  <c:v>3.7</c:v>
                </c:pt>
                <c:pt idx="280">
                  <c:v>3.1</c:v>
                </c:pt>
                <c:pt idx="281">
                  <c:v>5.8</c:v>
                </c:pt>
                <c:pt idx="282">
                  <c:v>0.5</c:v>
                </c:pt>
                <c:pt idx="283">
                  <c:v>5.0999999999999996</c:v>
                </c:pt>
                <c:pt idx="284">
                  <c:v>5.4</c:v>
                </c:pt>
                <c:pt idx="285">
                  <c:v>0.5</c:v>
                </c:pt>
                <c:pt idx="286">
                  <c:v>3</c:v>
                </c:pt>
                <c:pt idx="287">
                  <c:v>2.9</c:v>
                </c:pt>
                <c:pt idx="288">
                  <c:v>1.4</c:v>
                </c:pt>
                <c:pt idx="289">
                  <c:v>2.2999999999999998</c:v>
                </c:pt>
                <c:pt idx="290">
                  <c:v>1.8</c:v>
                </c:pt>
                <c:pt idx="291">
                  <c:v>6.1</c:v>
                </c:pt>
                <c:pt idx="292">
                  <c:v>4.9000000000000004</c:v>
                </c:pt>
                <c:pt idx="293">
                  <c:v>5.4</c:v>
                </c:pt>
                <c:pt idx="294">
                  <c:v>4.5999999999999996</c:v>
                </c:pt>
                <c:pt idx="295">
                  <c:v>1.8</c:v>
                </c:pt>
                <c:pt idx="296">
                  <c:v>2.7</c:v>
                </c:pt>
                <c:pt idx="297">
                  <c:v>4.2</c:v>
                </c:pt>
                <c:pt idx="298">
                  <c:v>1.7</c:v>
                </c:pt>
                <c:pt idx="299">
                  <c:v>4.5999999999999996</c:v>
                </c:pt>
                <c:pt idx="300">
                  <c:v>3.1</c:v>
                </c:pt>
                <c:pt idx="301">
                  <c:v>2.9</c:v>
                </c:pt>
                <c:pt idx="302">
                  <c:v>4.5999999999999996</c:v>
                </c:pt>
                <c:pt idx="303">
                  <c:v>4.2</c:v>
                </c:pt>
                <c:pt idx="304">
                  <c:v>3</c:v>
                </c:pt>
                <c:pt idx="305">
                  <c:v>5.2</c:v>
                </c:pt>
                <c:pt idx="306">
                  <c:v>1.9</c:v>
                </c:pt>
                <c:pt idx="307">
                  <c:v>4.4000000000000004</c:v>
                </c:pt>
                <c:pt idx="308">
                  <c:v>4.4000000000000004</c:v>
                </c:pt>
                <c:pt idx="309">
                  <c:v>3</c:v>
                </c:pt>
                <c:pt idx="310">
                  <c:v>4</c:v>
                </c:pt>
                <c:pt idx="311">
                  <c:v>1.6</c:v>
                </c:pt>
                <c:pt idx="312">
                  <c:v>4.9000000000000004</c:v>
                </c:pt>
                <c:pt idx="313">
                  <c:v>3.2</c:v>
                </c:pt>
                <c:pt idx="314">
                  <c:v>2.7</c:v>
                </c:pt>
                <c:pt idx="315">
                  <c:v>5.0999999999999996</c:v>
                </c:pt>
                <c:pt idx="316">
                  <c:v>2.4</c:v>
                </c:pt>
                <c:pt idx="317">
                  <c:v>1.4</c:v>
                </c:pt>
                <c:pt idx="318">
                  <c:v>1.2</c:v>
                </c:pt>
                <c:pt idx="319">
                  <c:v>4.4000000000000004</c:v>
                </c:pt>
                <c:pt idx="320">
                  <c:v>1.6</c:v>
                </c:pt>
                <c:pt idx="321">
                  <c:v>6.1</c:v>
                </c:pt>
                <c:pt idx="322">
                  <c:v>0.5</c:v>
                </c:pt>
                <c:pt idx="323">
                  <c:v>6</c:v>
                </c:pt>
                <c:pt idx="324">
                  <c:v>3.8</c:v>
                </c:pt>
                <c:pt idx="325">
                  <c:v>3.4</c:v>
                </c:pt>
                <c:pt idx="326">
                  <c:v>2.7</c:v>
                </c:pt>
                <c:pt idx="327">
                  <c:v>4.0999999999999996</c:v>
                </c:pt>
                <c:pt idx="328">
                  <c:v>3.4</c:v>
                </c:pt>
                <c:pt idx="329">
                  <c:v>5.2</c:v>
                </c:pt>
                <c:pt idx="330">
                  <c:v>3.7</c:v>
                </c:pt>
                <c:pt idx="331">
                  <c:v>3.7</c:v>
                </c:pt>
                <c:pt idx="332">
                  <c:v>3</c:v>
                </c:pt>
                <c:pt idx="333">
                  <c:v>3.4</c:v>
                </c:pt>
                <c:pt idx="334">
                  <c:v>4</c:v>
                </c:pt>
                <c:pt idx="335">
                  <c:v>0.9</c:v>
                </c:pt>
                <c:pt idx="336">
                  <c:v>1.5</c:v>
                </c:pt>
                <c:pt idx="337">
                  <c:v>4.5999999999999996</c:v>
                </c:pt>
                <c:pt idx="338">
                  <c:v>3.8</c:v>
                </c:pt>
                <c:pt idx="339">
                  <c:v>3.2</c:v>
                </c:pt>
                <c:pt idx="340">
                  <c:v>3.5</c:v>
                </c:pt>
                <c:pt idx="341">
                  <c:v>4</c:v>
                </c:pt>
                <c:pt idx="342">
                  <c:v>2.7</c:v>
                </c:pt>
                <c:pt idx="343">
                  <c:v>2.2999999999999998</c:v>
                </c:pt>
                <c:pt idx="344">
                  <c:v>3.8</c:v>
                </c:pt>
                <c:pt idx="345">
                  <c:v>2</c:v>
                </c:pt>
                <c:pt idx="346">
                  <c:v>4.0999999999999996</c:v>
                </c:pt>
                <c:pt idx="347">
                  <c:v>0.9</c:v>
                </c:pt>
                <c:pt idx="348">
                  <c:v>5</c:v>
                </c:pt>
                <c:pt idx="349">
                  <c:v>4.2</c:v>
                </c:pt>
                <c:pt idx="350">
                  <c:v>3.9</c:v>
                </c:pt>
                <c:pt idx="351">
                  <c:v>5</c:v>
                </c:pt>
                <c:pt idx="352">
                  <c:v>6</c:v>
                </c:pt>
                <c:pt idx="353">
                  <c:v>5</c:v>
                </c:pt>
                <c:pt idx="354">
                  <c:v>0.7</c:v>
                </c:pt>
                <c:pt idx="355">
                  <c:v>1.6</c:v>
                </c:pt>
                <c:pt idx="356">
                  <c:v>2.6</c:v>
                </c:pt>
                <c:pt idx="357">
                  <c:v>3.5</c:v>
                </c:pt>
                <c:pt idx="358">
                  <c:v>4.3</c:v>
                </c:pt>
                <c:pt idx="359">
                  <c:v>2.4</c:v>
                </c:pt>
                <c:pt idx="360">
                  <c:v>3.8</c:v>
                </c:pt>
                <c:pt idx="361">
                  <c:v>2.4</c:v>
                </c:pt>
                <c:pt idx="362">
                  <c:v>2.6</c:v>
                </c:pt>
                <c:pt idx="363">
                  <c:v>1.4</c:v>
                </c:pt>
                <c:pt idx="364">
                  <c:v>2.1</c:v>
                </c:pt>
                <c:pt idx="365">
                  <c:v>1.5</c:v>
                </c:pt>
                <c:pt idx="366">
                  <c:v>2</c:v>
                </c:pt>
                <c:pt idx="367">
                  <c:v>5.0999999999999996</c:v>
                </c:pt>
                <c:pt idx="368">
                  <c:v>2.1</c:v>
                </c:pt>
                <c:pt idx="369">
                  <c:v>7.4</c:v>
                </c:pt>
                <c:pt idx="370">
                  <c:v>4.2</c:v>
                </c:pt>
                <c:pt idx="371">
                  <c:v>3.8</c:v>
                </c:pt>
                <c:pt idx="372">
                  <c:v>2.2000000000000002</c:v>
                </c:pt>
                <c:pt idx="373">
                  <c:v>4.5999999999999996</c:v>
                </c:pt>
                <c:pt idx="374">
                  <c:v>2.6</c:v>
                </c:pt>
                <c:pt idx="375">
                  <c:v>3.7</c:v>
                </c:pt>
                <c:pt idx="376">
                  <c:v>7.3</c:v>
                </c:pt>
                <c:pt idx="377">
                  <c:v>3.4</c:v>
                </c:pt>
                <c:pt idx="378">
                  <c:v>5.2</c:v>
                </c:pt>
                <c:pt idx="379">
                  <c:v>2.4</c:v>
                </c:pt>
                <c:pt idx="380">
                  <c:v>3.4</c:v>
                </c:pt>
                <c:pt idx="381">
                  <c:v>6.2</c:v>
                </c:pt>
                <c:pt idx="382">
                  <c:v>2.6</c:v>
                </c:pt>
                <c:pt idx="383">
                  <c:v>6.2</c:v>
                </c:pt>
                <c:pt idx="384">
                  <c:v>4.5999999999999996</c:v>
                </c:pt>
                <c:pt idx="385">
                  <c:v>2.7</c:v>
                </c:pt>
                <c:pt idx="386">
                  <c:v>4.4000000000000004</c:v>
                </c:pt>
                <c:pt idx="387">
                  <c:v>5</c:v>
                </c:pt>
                <c:pt idx="388">
                  <c:v>4.4000000000000004</c:v>
                </c:pt>
                <c:pt idx="389">
                  <c:v>1.1000000000000001</c:v>
                </c:pt>
                <c:pt idx="390">
                  <c:v>2.4</c:v>
                </c:pt>
                <c:pt idx="391">
                  <c:v>3.1</c:v>
                </c:pt>
                <c:pt idx="392">
                  <c:v>3.4</c:v>
                </c:pt>
                <c:pt idx="393">
                  <c:v>4.4000000000000004</c:v>
                </c:pt>
                <c:pt idx="394">
                  <c:v>3.8</c:v>
                </c:pt>
                <c:pt idx="395">
                  <c:v>1.5</c:v>
                </c:pt>
                <c:pt idx="396">
                  <c:v>4.0999999999999996</c:v>
                </c:pt>
                <c:pt idx="397">
                  <c:v>4.4000000000000004</c:v>
                </c:pt>
                <c:pt idx="398">
                  <c:v>4.3</c:v>
                </c:pt>
                <c:pt idx="399">
                  <c:v>5.0999999999999996</c:v>
                </c:pt>
                <c:pt idx="400">
                  <c:v>4.8</c:v>
                </c:pt>
                <c:pt idx="401">
                  <c:v>4.2</c:v>
                </c:pt>
                <c:pt idx="402">
                  <c:v>3.4</c:v>
                </c:pt>
                <c:pt idx="403">
                  <c:v>1</c:v>
                </c:pt>
                <c:pt idx="404">
                  <c:v>4.0999999999999996</c:v>
                </c:pt>
                <c:pt idx="405">
                  <c:v>3.8</c:v>
                </c:pt>
                <c:pt idx="406">
                  <c:v>3.9</c:v>
                </c:pt>
                <c:pt idx="407">
                  <c:v>1.6</c:v>
                </c:pt>
                <c:pt idx="408">
                  <c:v>1.9</c:v>
                </c:pt>
                <c:pt idx="409">
                  <c:v>5.0999999999999996</c:v>
                </c:pt>
                <c:pt idx="410">
                  <c:v>3.4</c:v>
                </c:pt>
                <c:pt idx="411">
                  <c:v>4.5</c:v>
                </c:pt>
                <c:pt idx="412">
                  <c:v>3.5</c:v>
                </c:pt>
                <c:pt idx="413">
                  <c:v>3.5</c:v>
                </c:pt>
                <c:pt idx="414">
                  <c:v>4.9000000000000004</c:v>
                </c:pt>
                <c:pt idx="415">
                  <c:v>2.7</c:v>
                </c:pt>
                <c:pt idx="416">
                  <c:v>3.6</c:v>
                </c:pt>
                <c:pt idx="417">
                  <c:v>2.8</c:v>
                </c:pt>
                <c:pt idx="418">
                  <c:v>2.8</c:v>
                </c:pt>
                <c:pt idx="419">
                  <c:v>3</c:v>
                </c:pt>
                <c:pt idx="420">
                  <c:v>3.8</c:v>
                </c:pt>
                <c:pt idx="421">
                  <c:v>2.8</c:v>
                </c:pt>
                <c:pt idx="422">
                  <c:v>5.4</c:v>
                </c:pt>
                <c:pt idx="423">
                  <c:v>2.2000000000000002</c:v>
                </c:pt>
                <c:pt idx="424">
                  <c:v>3.2</c:v>
                </c:pt>
                <c:pt idx="425">
                  <c:v>2.8</c:v>
                </c:pt>
                <c:pt idx="426">
                  <c:v>5.7</c:v>
                </c:pt>
                <c:pt idx="427">
                  <c:v>3.8</c:v>
                </c:pt>
                <c:pt idx="428">
                  <c:v>5</c:v>
                </c:pt>
                <c:pt idx="429">
                  <c:v>1.3</c:v>
                </c:pt>
                <c:pt idx="430">
                  <c:v>3.9</c:v>
                </c:pt>
                <c:pt idx="431">
                  <c:v>4.8</c:v>
                </c:pt>
                <c:pt idx="432">
                  <c:v>3.6</c:v>
                </c:pt>
                <c:pt idx="433">
                  <c:v>5.0999999999999996</c:v>
                </c:pt>
                <c:pt idx="434">
                  <c:v>2.7</c:v>
                </c:pt>
                <c:pt idx="435">
                  <c:v>5.6</c:v>
                </c:pt>
                <c:pt idx="436">
                  <c:v>6.9</c:v>
                </c:pt>
                <c:pt idx="437">
                  <c:v>3</c:v>
                </c:pt>
                <c:pt idx="438">
                  <c:v>2.8</c:v>
                </c:pt>
                <c:pt idx="439">
                  <c:v>5.7</c:v>
                </c:pt>
                <c:pt idx="440">
                  <c:v>5.9</c:v>
                </c:pt>
                <c:pt idx="441">
                  <c:v>2.7</c:v>
                </c:pt>
                <c:pt idx="442">
                  <c:v>2.9</c:v>
                </c:pt>
                <c:pt idx="443">
                  <c:v>3.1</c:v>
                </c:pt>
                <c:pt idx="444">
                  <c:v>1.5</c:v>
                </c:pt>
                <c:pt idx="445">
                  <c:v>2.1</c:v>
                </c:pt>
                <c:pt idx="446">
                  <c:v>2</c:v>
                </c:pt>
                <c:pt idx="447">
                  <c:v>2.2999999999999998</c:v>
                </c:pt>
                <c:pt idx="448">
                  <c:v>3.4</c:v>
                </c:pt>
                <c:pt idx="449">
                  <c:v>3.9</c:v>
                </c:pt>
                <c:pt idx="450">
                  <c:v>5.8</c:v>
                </c:pt>
                <c:pt idx="451">
                  <c:v>2</c:v>
                </c:pt>
                <c:pt idx="452">
                  <c:v>5</c:v>
                </c:pt>
                <c:pt idx="453">
                  <c:v>3.2</c:v>
                </c:pt>
                <c:pt idx="454">
                  <c:v>3.4</c:v>
                </c:pt>
                <c:pt idx="455">
                  <c:v>4.5</c:v>
                </c:pt>
                <c:pt idx="456">
                  <c:v>1.8</c:v>
                </c:pt>
                <c:pt idx="457">
                  <c:v>4.0999999999999996</c:v>
                </c:pt>
                <c:pt idx="458">
                  <c:v>3.7</c:v>
                </c:pt>
                <c:pt idx="459">
                  <c:v>4.2</c:v>
                </c:pt>
                <c:pt idx="460">
                  <c:v>3.9</c:v>
                </c:pt>
                <c:pt idx="461">
                  <c:v>7.2</c:v>
                </c:pt>
                <c:pt idx="462">
                  <c:v>2.5</c:v>
                </c:pt>
                <c:pt idx="463">
                  <c:v>2.7</c:v>
                </c:pt>
                <c:pt idx="464">
                  <c:v>2.6</c:v>
                </c:pt>
                <c:pt idx="465">
                  <c:v>2.7</c:v>
                </c:pt>
                <c:pt idx="466">
                  <c:v>2.5</c:v>
                </c:pt>
                <c:pt idx="467">
                  <c:v>5.3</c:v>
                </c:pt>
                <c:pt idx="468">
                  <c:v>5.6</c:v>
                </c:pt>
                <c:pt idx="469">
                  <c:v>2.6</c:v>
                </c:pt>
                <c:pt idx="470">
                  <c:v>2.2999999999999998</c:v>
                </c:pt>
                <c:pt idx="471">
                  <c:v>4.2</c:v>
                </c:pt>
                <c:pt idx="472">
                  <c:v>2.7</c:v>
                </c:pt>
                <c:pt idx="473">
                  <c:v>4.4000000000000004</c:v>
                </c:pt>
                <c:pt idx="474">
                  <c:v>3.8</c:v>
                </c:pt>
                <c:pt idx="475">
                  <c:v>1.2</c:v>
                </c:pt>
                <c:pt idx="476">
                  <c:v>5.8</c:v>
                </c:pt>
                <c:pt idx="477">
                  <c:v>6.2</c:v>
                </c:pt>
                <c:pt idx="478">
                  <c:v>2.6</c:v>
                </c:pt>
                <c:pt idx="479">
                  <c:v>2.9</c:v>
                </c:pt>
                <c:pt idx="480">
                  <c:v>3.9</c:v>
                </c:pt>
                <c:pt idx="481">
                  <c:v>4</c:v>
                </c:pt>
                <c:pt idx="482">
                  <c:v>4.5</c:v>
                </c:pt>
                <c:pt idx="483">
                  <c:v>6.5</c:v>
                </c:pt>
                <c:pt idx="484">
                  <c:v>3.2</c:v>
                </c:pt>
                <c:pt idx="485">
                  <c:v>2.2999999999999998</c:v>
                </c:pt>
                <c:pt idx="486">
                  <c:v>1.4</c:v>
                </c:pt>
                <c:pt idx="487">
                  <c:v>2.4</c:v>
                </c:pt>
                <c:pt idx="488">
                  <c:v>3.5</c:v>
                </c:pt>
                <c:pt idx="489">
                  <c:v>6.2</c:v>
                </c:pt>
                <c:pt idx="490">
                  <c:v>2.7</c:v>
                </c:pt>
                <c:pt idx="491">
                  <c:v>3.8</c:v>
                </c:pt>
                <c:pt idx="492">
                  <c:v>3.5</c:v>
                </c:pt>
                <c:pt idx="493">
                  <c:v>5.3</c:v>
                </c:pt>
                <c:pt idx="494">
                  <c:v>7.3</c:v>
                </c:pt>
                <c:pt idx="495">
                  <c:v>2.7</c:v>
                </c:pt>
                <c:pt idx="496">
                  <c:v>2.8</c:v>
                </c:pt>
                <c:pt idx="497">
                  <c:v>5.0999999999999996</c:v>
                </c:pt>
                <c:pt idx="498">
                  <c:v>4.5</c:v>
                </c:pt>
                <c:pt idx="499">
                  <c:v>6.3</c:v>
                </c:pt>
                <c:pt idx="500">
                  <c:v>4.4000000000000004</c:v>
                </c:pt>
                <c:pt idx="501">
                  <c:v>3</c:v>
                </c:pt>
                <c:pt idx="502">
                  <c:v>4.4000000000000004</c:v>
                </c:pt>
                <c:pt idx="503">
                  <c:v>5.2</c:v>
                </c:pt>
                <c:pt idx="504">
                  <c:v>4.7</c:v>
                </c:pt>
                <c:pt idx="505">
                  <c:v>4.3</c:v>
                </c:pt>
                <c:pt idx="506">
                  <c:v>5.0999999999999996</c:v>
                </c:pt>
                <c:pt idx="507">
                  <c:v>5.3</c:v>
                </c:pt>
                <c:pt idx="508">
                  <c:v>5.6</c:v>
                </c:pt>
                <c:pt idx="509">
                  <c:v>4.5</c:v>
                </c:pt>
                <c:pt idx="510">
                  <c:v>3.2</c:v>
                </c:pt>
                <c:pt idx="511">
                  <c:v>3.7</c:v>
                </c:pt>
                <c:pt idx="512">
                  <c:v>5.3</c:v>
                </c:pt>
                <c:pt idx="513">
                  <c:v>2.2999999999999998</c:v>
                </c:pt>
                <c:pt idx="514">
                  <c:v>4.0999999999999996</c:v>
                </c:pt>
                <c:pt idx="515">
                  <c:v>2.9</c:v>
                </c:pt>
                <c:pt idx="516">
                  <c:v>3.5</c:v>
                </c:pt>
                <c:pt idx="517">
                  <c:v>5.4</c:v>
                </c:pt>
                <c:pt idx="518">
                  <c:v>3.8</c:v>
                </c:pt>
                <c:pt idx="519">
                  <c:v>3.6</c:v>
                </c:pt>
                <c:pt idx="520">
                  <c:v>1.5</c:v>
                </c:pt>
                <c:pt idx="521">
                  <c:v>4.5999999999999996</c:v>
                </c:pt>
                <c:pt idx="522">
                  <c:v>4.5</c:v>
                </c:pt>
                <c:pt idx="523">
                  <c:v>6.7</c:v>
                </c:pt>
                <c:pt idx="524">
                  <c:v>3</c:v>
                </c:pt>
                <c:pt idx="525">
                  <c:v>3.8</c:v>
                </c:pt>
                <c:pt idx="526">
                  <c:v>3.9</c:v>
                </c:pt>
                <c:pt idx="527">
                  <c:v>5.9</c:v>
                </c:pt>
                <c:pt idx="528">
                  <c:v>3.4</c:v>
                </c:pt>
                <c:pt idx="529">
                  <c:v>3.9</c:v>
                </c:pt>
                <c:pt idx="530">
                  <c:v>4.4000000000000004</c:v>
                </c:pt>
                <c:pt idx="531">
                  <c:v>3.8</c:v>
                </c:pt>
                <c:pt idx="532">
                  <c:v>2.8</c:v>
                </c:pt>
                <c:pt idx="533">
                  <c:v>3.8</c:v>
                </c:pt>
                <c:pt idx="534">
                  <c:v>5.0999999999999996</c:v>
                </c:pt>
                <c:pt idx="535">
                  <c:v>2</c:v>
                </c:pt>
                <c:pt idx="536">
                  <c:v>3.7</c:v>
                </c:pt>
                <c:pt idx="537">
                  <c:v>2.4</c:v>
                </c:pt>
                <c:pt idx="538">
                  <c:v>5.3</c:v>
                </c:pt>
                <c:pt idx="539">
                  <c:v>1.2</c:v>
                </c:pt>
                <c:pt idx="540">
                  <c:v>2.7</c:v>
                </c:pt>
                <c:pt idx="541">
                  <c:v>4.0999999999999996</c:v>
                </c:pt>
                <c:pt idx="542">
                  <c:v>5.8</c:v>
                </c:pt>
                <c:pt idx="543">
                  <c:v>3.4</c:v>
                </c:pt>
                <c:pt idx="544">
                  <c:v>2.7</c:v>
                </c:pt>
                <c:pt idx="545">
                  <c:v>6.3</c:v>
                </c:pt>
                <c:pt idx="546">
                  <c:v>1.3</c:v>
                </c:pt>
                <c:pt idx="547">
                  <c:v>0.5</c:v>
                </c:pt>
                <c:pt idx="548">
                  <c:v>4.2</c:v>
                </c:pt>
                <c:pt idx="549">
                  <c:v>2.7</c:v>
                </c:pt>
                <c:pt idx="550">
                  <c:v>2</c:v>
                </c:pt>
                <c:pt idx="551">
                  <c:v>4.5999999999999996</c:v>
                </c:pt>
                <c:pt idx="552">
                  <c:v>3.9</c:v>
                </c:pt>
                <c:pt idx="553">
                  <c:v>2.7</c:v>
                </c:pt>
                <c:pt idx="554">
                  <c:v>1.6</c:v>
                </c:pt>
                <c:pt idx="555">
                  <c:v>4.8</c:v>
                </c:pt>
                <c:pt idx="556">
                  <c:v>4.5</c:v>
                </c:pt>
                <c:pt idx="557">
                  <c:v>3.4</c:v>
                </c:pt>
                <c:pt idx="558">
                  <c:v>6.3</c:v>
                </c:pt>
                <c:pt idx="559">
                  <c:v>1.9</c:v>
                </c:pt>
                <c:pt idx="560">
                  <c:v>1.2</c:v>
                </c:pt>
                <c:pt idx="561">
                  <c:v>2.5</c:v>
                </c:pt>
                <c:pt idx="562">
                  <c:v>3.4</c:v>
                </c:pt>
                <c:pt idx="563">
                  <c:v>3.9</c:v>
                </c:pt>
                <c:pt idx="564">
                  <c:v>3.1</c:v>
                </c:pt>
                <c:pt idx="565">
                  <c:v>4</c:v>
                </c:pt>
                <c:pt idx="566">
                  <c:v>1.6</c:v>
                </c:pt>
                <c:pt idx="567">
                  <c:v>5.7</c:v>
                </c:pt>
                <c:pt idx="568">
                  <c:v>3.4</c:v>
                </c:pt>
                <c:pt idx="569">
                  <c:v>5.2</c:v>
                </c:pt>
                <c:pt idx="570">
                  <c:v>4</c:v>
                </c:pt>
                <c:pt idx="571">
                  <c:v>4.2</c:v>
                </c:pt>
                <c:pt idx="572">
                  <c:v>4.4000000000000004</c:v>
                </c:pt>
                <c:pt idx="573">
                  <c:v>4.2</c:v>
                </c:pt>
                <c:pt idx="574">
                  <c:v>4.5</c:v>
                </c:pt>
                <c:pt idx="575">
                  <c:v>5.5</c:v>
                </c:pt>
                <c:pt idx="576">
                  <c:v>3.8</c:v>
                </c:pt>
                <c:pt idx="577">
                  <c:v>4.5999999999999996</c:v>
                </c:pt>
                <c:pt idx="578">
                  <c:v>3.4</c:v>
                </c:pt>
                <c:pt idx="579">
                  <c:v>5.7</c:v>
                </c:pt>
                <c:pt idx="580">
                  <c:v>2.5</c:v>
                </c:pt>
                <c:pt idx="581">
                  <c:v>6.2</c:v>
                </c:pt>
                <c:pt idx="582">
                  <c:v>3.4</c:v>
                </c:pt>
                <c:pt idx="583">
                  <c:v>1.4</c:v>
                </c:pt>
                <c:pt idx="584">
                  <c:v>3.7</c:v>
                </c:pt>
                <c:pt idx="585">
                  <c:v>2.5</c:v>
                </c:pt>
                <c:pt idx="586">
                  <c:v>4.8</c:v>
                </c:pt>
                <c:pt idx="587">
                  <c:v>2.5</c:v>
                </c:pt>
                <c:pt idx="588">
                  <c:v>2.8</c:v>
                </c:pt>
                <c:pt idx="589">
                  <c:v>0.7</c:v>
                </c:pt>
                <c:pt idx="590">
                  <c:v>2.8</c:v>
                </c:pt>
                <c:pt idx="591">
                  <c:v>0.5</c:v>
                </c:pt>
                <c:pt idx="592">
                  <c:v>1.1000000000000001</c:v>
                </c:pt>
                <c:pt idx="593">
                  <c:v>4.5999999999999996</c:v>
                </c:pt>
                <c:pt idx="594">
                  <c:v>4.7</c:v>
                </c:pt>
                <c:pt idx="595">
                  <c:v>4.0999999999999996</c:v>
                </c:pt>
                <c:pt idx="596">
                  <c:v>2</c:v>
                </c:pt>
                <c:pt idx="597">
                  <c:v>3.4</c:v>
                </c:pt>
                <c:pt idx="598">
                  <c:v>3.5</c:v>
                </c:pt>
                <c:pt idx="599">
                  <c:v>1.8</c:v>
                </c:pt>
                <c:pt idx="600">
                  <c:v>5.8</c:v>
                </c:pt>
                <c:pt idx="601">
                  <c:v>4.8</c:v>
                </c:pt>
                <c:pt idx="602">
                  <c:v>3.2</c:v>
                </c:pt>
                <c:pt idx="603">
                  <c:v>3.5</c:v>
                </c:pt>
                <c:pt idx="604">
                  <c:v>3.8</c:v>
                </c:pt>
                <c:pt idx="605">
                  <c:v>0.5</c:v>
                </c:pt>
                <c:pt idx="606">
                  <c:v>3.1</c:v>
                </c:pt>
                <c:pt idx="607">
                  <c:v>2.5</c:v>
                </c:pt>
                <c:pt idx="608">
                  <c:v>2</c:v>
                </c:pt>
                <c:pt idx="609">
                  <c:v>3.1</c:v>
                </c:pt>
                <c:pt idx="610">
                  <c:v>6.2</c:v>
                </c:pt>
                <c:pt idx="611">
                  <c:v>4.5</c:v>
                </c:pt>
                <c:pt idx="612">
                  <c:v>2.6</c:v>
                </c:pt>
                <c:pt idx="613">
                  <c:v>4.4000000000000004</c:v>
                </c:pt>
                <c:pt idx="614">
                  <c:v>5.6</c:v>
                </c:pt>
                <c:pt idx="615">
                  <c:v>4.9000000000000004</c:v>
                </c:pt>
                <c:pt idx="616">
                  <c:v>3.6</c:v>
                </c:pt>
                <c:pt idx="617">
                  <c:v>2.5</c:v>
                </c:pt>
                <c:pt idx="618">
                  <c:v>4.5</c:v>
                </c:pt>
                <c:pt idx="619">
                  <c:v>4.0999999999999996</c:v>
                </c:pt>
                <c:pt idx="620">
                  <c:v>4.8</c:v>
                </c:pt>
                <c:pt idx="621">
                  <c:v>4.5</c:v>
                </c:pt>
                <c:pt idx="622">
                  <c:v>5.0999999999999996</c:v>
                </c:pt>
                <c:pt idx="623">
                  <c:v>2.7</c:v>
                </c:pt>
                <c:pt idx="624">
                  <c:v>5.5</c:v>
                </c:pt>
                <c:pt idx="625">
                  <c:v>3.8</c:v>
                </c:pt>
                <c:pt idx="626">
                  <c:v>6.6</c:v>
                </c:pt>
                <c:pt idx="627">
                  <c:v>2.5</c:v>
                </c:pt>
                <c:pt idx="628">
                  <c:v>6.1</c:v>
                </c:pt>
                <c:pt idx="629">
                  <c:v>3.8</c:v>
                </c:pt>
                <c:pt idx="630">
                  <c:v>2.5</c:v>
                </c:pt>
                <c:pt idx="631">
                  <c:v>2.8</c:v>
                </c:pt>
                <c:pt idx="632">
                  <c:v>3</c:v>
                </c:pt>
                <c:pt idx="633">
                  <c:v>4.0999999999999996</c:v>
                </c:pt>
                <c:pt idx="634">
                  <c:v>4.3</c:v>
                </c:pt>
                <c:pt idx="635">
                  <c:v>2.6</c:v>
                </c:pt>
                <c:pt idx="636">
                  <c:v>3.5</c:v>
                </c:pt>
                <c:pt idx="637">
                  <c:v>6.7</c:v>
                </c:pt>
                <c:pt idx="638">
                  <c:v>6.1</c:v>
                </c:pt>
                <c:pt idx="639">
                  <c:v>4.2</c:v>
                </c:pt>
                <c:pt idx="640">
                  <c:v>3.6</c:v>
                </c:pt>
                <c:pt idx="641">
                  <c:v>3.7</c:v>
                </c:pt>
                <c:pt idx="642">
                  <c:v>4.4000000000000004</c:v>
                </c:pt>
                <c:pt idx="643">
                  <c:v>2</c:v>
                </c:pt>
                <c:pt idx="644">
                  <c:v>3.1</c:v>
                </c:pt>
                <c:pt idx="645">
                  <c:v>1</c:v>
                </c:pt>
                <c:pt idx="646">
                  <c:v>4.0999999999999996</c:v>
                </c:pt>
                <c:pt idx="647">
                  <c:v>4.5</c:v>
                </c:pt>
                <c:pt idx="648">
                  <c:v>2.8</c:v>
                </c:pt>
                <c:pt idx="649">
                  <c:v>5.9</c:v>
                </c:pt>
                <c:pt idx="650">
                  <c:v>1.7</c:v>
                </c:pt>
                <c:pt idx="651">
                  <c:v>1.3</c:v>
                </c:pt>
                <c:pt idx="652">
                  <c:v>3.8</c:v>
                </c:pt>
                <c:pt idx="653">
                  <c:v>5.0999999999999996</c:v>
                </c:pt>
                <c:pt idx="654">
                  <c:v>6</c:v>
                </c:pt>
                <c:pt idx="655">
                  <c:v>2.8</c:v>
                </c:pt>
                <c:pt idx="656">
                  <c:v>5.0999999999999996</c:v>
                </c:pt>
                <c:pt idx="657">
                  <c:v>3.4</c:v>
                </c:pt>
                <c:pt idx="658">
                  <c:v>3.2</c:v>
                </c:pt>
                <c:pt idx="659">
                  <c:v>4.8</c:v>
                </c:pt>
                <c:pt idx="660">
                  <c:v>4.5</c:v>
                </c:pt>
                <c:pt idx="661">
                  <c:v>1.1000000000000001</c:v>
                </c:pt>
                <c:pt idx="662">
                  <c:v>5.7</c:v>
                </c:pt>
                <c:pt idx="663">
                  <c:v>5.6</c:v>
                </c:pt>
                <c:pt idx="664">
                  <c:v>2.6</c:v>
                </c:pt>
                <c:pt idx="665">
                  <c:v>4.0999999999999996</c:v>
                </c:pt>
                <c:pt idx="666">
                  <c:v>4.2</c:v>
                </c:pt>
                <c:pt idx="667">
                  <c:v>3.9</c:v>
                </c:pt>
                <c:pt idx="668">
                  <c:v>2.7</c:v>
                </c:pt>
                <c:pt idx="669">
                  <c:v>2.5</c:v>
                </c:pt>
                <c:pt idx="670">
                  <c:v>3.5</c:v>
                </c:pt>
                <c:pt idx="671">
                  <c:v>5.3</c:v>
                </c:pt>
                <c:pt idx="672">
                  <c:v>4.3</c:v>
                </c:pt>
                <c:pt idx="673">
                  <c:v>2.9</c:v>
                </c:pt>
                <c:pt idx="674">
                  <c:v>4.7</c:v>
                </c:pt>
                <c:pt idx="675">
                  <c:v>0.5</c:v>
                </c:pt>
                <c:pt idx="676">
                  <c:v>5.2</c:v>
                </c:pt>
                <c:pt idx="677">
                  <c:v>0.9</c:v>
                </c:pt>
                <c:pt idx="678">
                  <c:v>3</c:v>
                </c:pt>
                <c:pt idx="679">
                  <c:v>1.8</c:v>
                </c:pt>
                <c:pt idx="680">
                  <c:v>1.6</c:v>
                </c:pt>
                <c:pt idx="681">
                  <c:v>5.2</c:v>
                </c:pt>
                <c:pt idx="682">
                  <c:v>2.8</c:v>
                </c:pt>
                <c:pt idx="683">
                  <c:v>4</c:v>
                </c:pt>
                <c:pt idx="684">
                  <c:v>3.4</c:v>
                </c:pt>
                <c:pt idx="685">
                  <c:v>4.2</c:v>
                </c:pt>
                <c:pt idx="686">
                  <c:v>3.6</c:v>
                </c:pt>
                <c:pt idx="687">
                  <c:v>1.6</c:v>
                </c:pt>
                <c:pt idx="688">
                  <c:v>5</c:v>
                </c:pt>
                <c:pt idx="689">
                  <c:v>2.8</c:v>
                </c:pt>
                <c:pt idx="690">
                  <c:v>1.2</c:v>
                </c:pt>
                <c:pt idx="691">
                  <c:v>2.9</c:v>
                </c:pt>
                <c:pt idx="692">
                  <c:v>5.8</c:v>
                </c:pt>
                <c:pt idx="693">
                  <c:v>4.8</c:v>
                </c:pt>
                <c:pt idx="694">
                  <c:v>3</c:v>
                </c:pt>
                <c:pt idx="695">
                  <c:v>3</c:v>
                </c:pt>
                <c:pt idx="696">
                  <c:v>3</c:v>
                </c:pt>
                <c:pt idx="697">
                  <c:v>6.6</c:v>
                </c:pt>
                <c:pt idx="698">
                  <c:v>4.0999999999999996</c:v>
                </c:pt>
                <c:pt idx="699">
                  <c:v>4.0999999999999996</c:v>
                </c:pt>
                <c:pt idx="700">
                  <c:v>5</c:v>
                </c:pt>
                <c:pt idx="701">
                  <c:v>3.9</c:v>
                </c:pt>
                <c:pt idx="702">
                  <c:v>3.1</c:v>
                </c:pt>
                <c:pt idx="703">
                  <c:v>3.2</c:v>
                </c:pt>
                <c:pt idx="704">
                  <c:v>3.4</c:v>
                </c:pt>
                <c:pt idx="705">
                  <c:v>3.4</c:v>
                </c:pt>
                <c:pt idx="706">
                  <c:v>4.5999999999999996</c:v>
                </c:pt>
                <c:pt idx="707">
                  <c:v>3.6</c:v>
                </c:pt>
                <c:pt idx="708">
                  <c:v>4.5999999999999996</c:v>
                </c:pt>
                <c:pt idx="709">
                  <c:v>3.4</c:v>
                </c:pt>
                <c:pt idx="710">
                  <c:v>3.6</c:v>
                </c:pt>
                <c:pt idx="711">
                  <c:v>0.5</c:v>
                </c:pt>
                <c:pt idx="712">
                  <c:v>4.9000000000000004</c:v>
                </c:pt>
                <c:pt idx="713">
                  <c:v>4</c:v>
                </c:pt>
                <c:pt idx="714">
                  <c:v>5</c:v>
                </c:pt>
                <c:pt idx="715">
                  <c:v>0.5</c:v>
                </c:pt>
                <c:pt idx="716">
                  <c:v>6.6</c:v>
                </c:pt>
                <c:pt idx="717">
                  <c:v>3.3</c:v>
                </c:pt>
                <c:pt idx="718">
                  <c:v>5.2</c:v>
                </c:pt>
                <c:pt idx="719">
                  <c:v>1.9</c:v>
                </c:pt>
                <c:pt idx="720">
                  <c:v>4.4000000000000004</c:v>
                </c:pt>
                <c:pt idx="721">
                  <c:v>1.9</c:v>
                </c:pt>
                <c:pt idx="722">
                  <c:v>2.6</c:v>
                </c:pt>
                <c:pt idx="723">
                  <c:v>6.4</c:v>
                </c:pt>
                <c:pt idx="724">
                  <c:v>3.2</c:v>
                </c:pt>
                <c:pt idx="725">
                  <c:v>3.8</c:v>
                </c:pt>
                <c:pt idx="726">
                  <c:v>4.8</c:v>
                </c:pt>
                <c:pt idx="727">
                  <c:v>4.2</c:v>
                </c:pt>
                <c:pt idx="728">
                  <c:v>3.7</c:v>
                </c:pt>
                <c:pt idx="729">
                  <c:v>4</c:v>
                </c:pt>
                <c:pt idx="730">
                  <c:v>7.1</c:v>
                </c:pt>
                <c:pt idx="731">
                  <c:v>3.4</c:v>
                </c:pt>
                <c:pt idx="732">
                  <c:v>3.8</c:v>
                </c:pt>
                <c:pt idx="733">
                  <c:v>5.0999999999999996</c:v>
                </c:pt>
                <c:pt idx="734">
                  <c:v>5.2</c:v>
                </c:pt>
                <c:pt idx="735">
                  <c:v>5.3</c:v>
                </c:pt>
                <c:pt idx="736">
                  <c:v>4.5</c:v>
                </c:pt>
                <c:pt idx="737">
                  <c:v>1.8</c:v>
                </c:pt>
                <c:pt idx="738">
                  <c:v>6</c:v>
                </c:pt>
                <c:pt idx="739">
                  <c:v>1.8</c:v>
                </c:pt>
                <c:pt idx="740">
                  <c:v>4</c:v>
                </c:pt>
                <c:pt idx="741">
                  <c:v>2.4</c:v>
                </c:pt>
                <c:pt idx="742">
                  <c:v>3.4</c:v>
                </c:pt>
                <c:pt idx="743">
                  <c:v>4</c:v>
                </c:pt>
                <c:pt idx="744">
                  <c:v>4</c:v>
                </c:pt>
                <c:pt idx="745">
                  <c:v>4.0999999999999996</c:v>
                </c:pt>
                <c:pt idx="746">
                  <c:v>5.9</c:v>
                </c:pt>
                <c:pt idx="747">
                  <c:v>4.2</c:v>
                </c:pt>
                <c:pt idx="748">
                  <c:v>3.1</c:v>
                </c:pt>
                <c:pt idx="749">
                  <c:v>4.9000000000000004</c:v>
                </c:pt>
                <c:pt idx="750">
                  <c:v>5.3</c:v>
                </c:pt>
                <c:pt idx="751">
                  <c:v>1.7</c:v>
                </c:pt>
                <c:pt idx="752">
                  <c:v>4.4000000000000004</c:v>
                </c:pt>
                <c:pt idx="753">
                  <c:v>4.5999999999999996</c:v>
                </c:pt>
                <c:pt idx="754">
                  <c:v>3.1</c:v>
                </c:pt>
                <c:pt idx="755">
                  <c:v>5.6</c:v>
                </c:pt>
                <c:pt idx="756">
                  <c:v>3.3</c:v>
                </c:pt>
                <c:pt idx="757">
                  <c:v>3.7</c:v>
                </c:pt>
                <c:pt idx="758">
                  <c:v>3.2</c:v>
                </c:pt>
                <c:pt idx="759">
                  <c:v>3.5</c:v>
                </c:pt>
                <c:pt idx="760">
                  <c:v>1.9</c:v>
                </c:pt>
                <c:pt idx="761">
                  <c:v>1.3</c:v>
                </c:pt>
                <c:pt idx="762">
                  <c:v>5.9</c:v>
                </c:pt>
                <c:pt idx="763">
                  <c:v>2.2000000000000002</c:v>
                </c:pt>
                <c:pt idx="764">
                  <c:v>2</c:v>
                </c:pt>
                <c:pt idx="765">
                  <c:v>0.5</c:v>
                </c:pt>
                <c:pt idx="766">
                  <c:v>2.5</c:v>
                </c:pt>
                <c:pt idx="767">
                  <c:v>1.5</c:v>
                </c:pt>
                <c:pt idx="768">
                  <c:v>6</c:v>
                </c:pt>
                <c:pt idx="769">
                  <c:v>5</c:v>
                </c:pt>
                <c:pt idx="770">
                  <c:v>2.5</c:v>
                </c:pt>
                <c:pt idx="771">
                  <c:v>6.9</c:v>
                </c:pt>
                <c:pt idx="772">
                  <c:v>5</c:v>
                </c:pt>
                <c:pt idx="773">
                  <c:v>3</c:v>
                </c:pt>
                <c:pt idx="774">
                  <c:v>0.5</c:v>
                </c:pt>
                <c:pt idx="775">
                  <c:v>6.9</c:v>
                </c:pt>
                <c:pt idx="776">
                  <c:v>1.4</c:v>
                </c:pt>
                <c:pt idx="777">
                  <c:v>1</c:v>
                </c:pt>
                <c:pt idx="778">
                  <c:v>5</c:v>
                </c:pt>
                <c:pt idx="779">
                  <c:v>7.2</c:v>
                </c:pt>
                <c:pt idx="780">
                  <c:v>5.6</c:v>
                </c:pt>
                <c:pt idx="781">
                  <c:v>4.3</c:v>
                </c:pt>
                <c:pt idx="782">
                  <c:v>4.4000000000000004</c:v>
                </c:pt>
                <c:pt idx="783">
                  <c:v>4.8</c:v>
                </c:pt>
                <c:pt idx="784">
                  <c:v>4.5999999999999996</c:v>
                </c:pt>
                <c:pt idx="785">
                  <c:v>3.9</c:v>
                </c:pt>
                <c:pt idx="786">
                  <c:v>3.7</c:v>
                </c:pt>
                <c:pt idx="787">
                  <c:v>3.4</c:v>
                </c:pt>
                <c:pt idx="788">
                  <c:v>2.4</c:v>
                </c:pt>
                <c:pt idx="789">
                  <c:v>3.1</c:v>
                </c:pt>
                <c:pt idx="790">
                  <c:v>1</c:v>
                </c:pt>
                <c:pt idx="791">
                  <c:v>3.4</c:v>
                </c:pt>
                <c:pt idx="792">
                  <c:v>2</c:v>
                </c:pt>
                <c:pt idx="793">
                  <c:v>1.8</c:v>
                </c:pt>
                <c:pt idx="794">
                  <c:v>3.8</c:v>
                </c:pt>
                <c:pt idx="795">
                  <c:v>5.6</c:v>
                </c:pt>
                <c:pt idx="796">
                  <c:v>4.9000000000000004</c:v>
                </c:pt>
                <c:pt idx="797">
                  <c:v>1.1000000000000001</c:v>
                </c:pt>
                <c:pt idx="798">
                  <c:v>2</c:v>
                </c:pt>
                <c:pt idx="799">
                  <c:v>4.9000000000000004</c:v>
                </c:pt>
                <c:pt idx="800">
                  <c:v>2</c:v>
                </c:pt>
                <c:pt idx="801">
                  <c:v>3.2</c:v>
                </c:pt>
                <c:pt idx="802">
                  <c:v>4.3</c:v>
                </c:pt>
                <c:pt idx="803">
                  <c:v>2</c:v>
                </c:pt>
                <c:pt idx="804">
                  <c:v>3.7</c:v>
                </c:pt>
                <c:pt idx="805">
                  <c:v>1.5</c:v>
                </c:pt>
                <c:pt idx="806">
                  <c:v>2.6</c:v>
                </c:pt>
                <c:pt idx="807">
                  <c:v>4</c:v>
                </c:pt>
                <c:pt idx="808">
                  <c:v>1.1000000000000001</c:v>
                </c:pt>
                <c:pt idx="809">
                  <c:v>4.2</c:v>
                </c:pt>
                <c:pt idx="810">
                  <c:v>3.5</c:v>
                </c:pt>
                <c:pt idx="811">
                  <c:v>4.3</c:v>
                </c:pt>
                <c:pt idx="812">
                  <c:v>3.8</c:v>
                </c:pt>
                <c:pt idx="813">
                  <c:v>5.5</c:v>
                </c:pt>
                <c:pt idx="814">
                  <c:v>3.7</c:v>
                </c:pt>
                <c:pt idx="815">
                  <c:v>2.9</c:v>
                </c:pt>
                <c:pt idx="816">
                  <c:v>3.7</c:v>
                </c:pt>
                <c:pt idx="817">
                  <c:v>4.3</c:v>
                </c:pt>
                <c:pt idx="818">
                  <c:v>3.6</c:v>
                </c:pt>
                <c:pt idx="819">
                  <c:v>3.6</c:v>
                </c:pt>
                <c:pt idx="820">
                  <c:v>2.4</c:v>
                </c:pt>
                <c:pt idx="821">
                  <c:v>2.5</c:v>
                </c:pt>
                <c:pt idx="822">
                  <c:v>1.4</c:v>
                </c:pt>
                <c:pt idx="823">
                  <c:v>6.1</c:v>
                </c:pt>
                <c:pt idx="824">
                  <c:v>1.6</c:v>
                </c:pt>
                <c:pt idx="825">
                  <c:v>2.5</c:v>
                </c:pt>
                <c:pt idx="826">
                  <c:v>2.4</c:v>
                </c:pt>
                <c:pt idx="827">
                  <c:v>4.8</c:v>
                </c:pt>
                <c:pt idx="828">
                  <c:v>3.1</c:v>
                </c:pt>
                <c:pt idx="829">
                  <c:v>5.4</c:v>
                </c:pt>
                <c:pt idx="830">
                  <c:v>2.5</c:v>
                </c:pt>
                <c:pt idx="831">
                  <c:v>3.9</c:v>
                </c:pt>
                <c:pt idx="832">
                  <c:v>2.2000000000000002</c:v>
                </c:pt>
                <c:pt idx="833">
                  <c:v>6.7</c:v>
                </c:pt>
                <c:pt idx="834">
                  <c:v>1.7</c:v>
                </c:pt>
                <c:pt idx="835">
                  <c:v>4</c:v>
                </c:pt>
                <c:pt idx="836">
                  <c:v>4.5</c:v>
                </c:pt>
                <c:pt idx="837">
                  <c:v>4.0999999999999996</c:v>
                </c:pt>
                <c:pt idx="838">
                  <c:v>3.2</c:v>
                </c:pt>
                <c:pt idx="839">
                  <c:v>3.3</c:v>
                </c:pt>
                <c:pt idx="840">
                  <c:v>3.6</c:v>
                </c:pt>
                <c:pt idx="841">
                  <c:v>3.3</c:v>
                </c:pt>
                <c:pt idx="842">
                  <c:v>4.9000000000000004</c:v>
                </c:pt>
                <c:pt idx="843">
                  <c:v>6.8</c:v>
                </c:pt>
                <c:pt idx="844">
                  <c:v>2.7</c:v>
                </c:pt>
                <c:pt idx="845">
                  <c:v>1.4</c:v>
                </c:pt>
                <c:pt idx="846">
                  <c:v>3.4</c:v>
                </c:pt>
                <c:pt idx="847">
                  <c:v>7.4</c:v>
                </c:pt>
                <c:pt idx="848">
                  <c:v>2.2999999999999998</c:v>
                </c:pt>
                <c:pt idx="849">
                  <c:v>6</c:v>
                </c:pt>
                <c:pt idx="850">
                  <c:v>6</c:v>
                </c:pt>
                <c:pt idx="851">
                  <c:v>2.7</c:v>
                </c:pt>
                <c:pt idx="852">
                  <c:v>4.4000000000000004</c:v>
                </c:pt>
                <c:pt idx="853">
                  <c:v>5.9</c:v>
                </c:pt>
                <c:pt idx="854">
                  <c:v>2.9</c:v>
                </c:pt>
                <c:pt idx="855">
                  <c:v>3.2</c:v>
                </c:pt>
                <c:pt idx="856">
                  <c:v>2.6</c:v>
                </c:pt>
                <c:pt idx="857">
                  <c:v>2</c:v>
                </c:pt>
                <c:pt idx="858">
                  <c:v>2.5</c:v>
                </c:pt>
                <c:pt idx="859">
                  <c:v>1.7</c:v>
                </c:pt>
                <c:pt idx="860">
                  <c:v>3.6</c:v>
                </c:pt>
                <c:pt idx="861">
                  <c:v>2.2999999999999998</c:v>
                </c:pt>
                <c:pt idx="862">
                  <c:v>3.9</c:v>
                </c:pt>
                <c:pt idx="863">
                  <c:v>1.2</c:v>
                </c:pt>
                <c:pt idx="864">
                  <c:v>4</c:v>
                </c:pt>
                <c:pt idx="865">
                  <c:v>4.8</c:v>
                </c:pt>
                <c:pt idx="866">
                  <c:v>0.5</c:v>
                </c:pt>
                <c:pt idx="867">
                  <c:v>4.0999999999999996</c:v>
                </c:pt>
                <c:pt idx="868">
                  <c:v>5.3</c:v>
                </c:pt>
                <c:pt idx="869">
                  <c:v>1.7</c:v>
                </c:pt>
                <c:pt idx="870">
                  <c:v>6</c:v>
                </c:pt>
                <c:pt idx="871">
                  <c:v>4.0999999999999996</c:v>
                </c:pt>
                <c:pt idx="872">
                  <c:v>2.4</c:v>
                </c:pt>
                <c:pt idx="873">
                  <c:v>3.4</c:v>
                </c:pt>
                <c:pt idx="874">
                  <c:v>4.3</c:v>
                </c:pt>
                <c:pt idx="875">
                  <c:v>3.6</c:v>
                </c:pt>
                <c:pt idx="876">
                  <c:v>4.3</c:v>
                </c:pt>
                <c:pt idx="877">
                  <c:v>2.1</c:v>
                </c:pt>
                <c:pt idx="878">
                  <c:v>3.8</c:v>
                </c:pt>
                <c:pt idx="879">
                  <c:v>1.4</c:v>
                </c:pt>
                <c:pt idx="880">
                  <c:v>3.3</c:v>
                </c:pt>
                <c:pt idx="881">
                  <c:v>2.1</c:v>
                </c:pt>
                <c:pt idx="882">
                  <c:v>2.4</c:v>
                </c:pt>
                <c:pt idx="883">
                  <c:v>5.4</c:v>
                </c:pt>
                <c:pt idx="884">
                  <c:v>5.0999999999999996</c:v>
                </c:pt>
                <c:pt idx="885">
                  <c:v>4.4000000000000004</c:v>
                </c:pt>
                <c:pt idx="886">
                  <c:v>1.9</c:v>
                </c:pt>
                <c:pt idx="887">
                  <c:v>3</c:v>
                </c:pt>
                <c:pt idx="888">
                  <c:v>5.3</c:v>
                </c:pt>
                <c:pt idx="889">
                  <c:v>3.7</c:v>
                </c:pt>
                <c:pt idx="890">
                  <c:v>7</c:v>
                </c:pt>
                <c:pt idx="891">
                  <c:v>4.0999999999999996</c:v>
                </c:pt>
                <c:pt idx="892">
                  <c:v>3.8</c:v>
                </c:pt>
                <c:pt idx="893">
                  <c:v>3</c:v>
                </c:pt>
                <c:pt idx="894">
                  <c:v>3.7</c:v>
                </c:pt>
                <c:pt idx="895">
                  <c:v>3.3</c:v>
                </c:pt>
                <c:pt idx="896">
                  <c:v>4.5999999999999996</c:v>
                </c:pt>
                <c:pt idx="897">
                  <c:v>4.9000000000000004</c:v>
                </c:pt>
                <c:pt idx="898">
                  <c:v>2.2999999999999998</c:v>
                </c:pt>
                <c:pt idx="899">
                  <c:v>1.5</c:v>
                </c:pt>
                <c:pt idx="900">
                  <c:v>0.7</c:v>
                </c:pt>
                <c:pt idx="901">
                  <c:v>4.3</c:v>
                </c:pt>
                <c:pt idx="902">
                  <c:v>1.8</c:v>
                </c:pt>
                <c:pt idx="903">
                  <c:v>0.5</c:v>
                </c:pt>
                <c:pt idx="904">
                  <c:v>4.0999999999999996</c:v>
                </c:pt>
                <c:pt idx="905">
                  <c:v>7.2</c:v>
                </c:pt>
                <c:pt idx="906">
                  <c:v>3.5</c:v>
                </c:pt>
                <c:pt idx="907">
                  <c:v>4.8</c:v>
                </c:pt>
                <c:pt idx="908">
                  <c:v>3.6</c:v>
                </c:pt>
                <c:pt idx="909">
                  <c:v>3.4</c:v>
                </c:pt>
                <c:pt idx="910">
                  <c:v>4.9000000000000004</c:v>
                </c:pt>
                <c:pt idx="911">
                  <c:v>3.1</c:v>
                </c:pt>
                <c:pt idx="912">
                  <c:v>3.9</c:v>
                </c:pt>
                <c:pt idx="913">
                  <c:v>4</c:v>
                </c:pt>
                <c:pt idx="914">
                  <c:v>2.5</c:v>
                </c:pt>
                <c:pt idx="915">
                  <c:v>5</c:v>
                </c:pt>
                <c:pt idx="916">
                  <c:v>3.2</c:v>
                </c:pt>
                <c:pt idx="917">
                  <c:v>2.4</c:v>
                </c:pt>
                <c:pt idx="918">
                  <c:v>4.3</c:v>
                </c:pt>
                <c:pt idx="919">
                  <c:v>2.2000000000000002</c:v>
                </c:pt>
                <c:pt idx="920">
                  <c:v>3.5</c:v>
                </c:pt>
                <c:pt idx="921">
                  <c:v>3.5</c:v>
                </c:pt>
                <c:pt idx="922">
                  <c:v>5.0999999999999996</c:v>
                </c:pt>
                <c:pt idx="923">
                  <c:v>4.2</c:v>
                </c:pt>
                <c:pt idx="924">
                  <c:v>3.5</c:v>
                </c:pt>
                <c:pt idx="925">
                  <c:v>4.7</c:v>
                </c:pt>
                <c:pt idx="926">
                  <c:v>5.6</c:v>
                </c:pt>
                <c:pt idx="927">
                  <c:v>4.3</c:v>
                </c:pt>
                <c:pt idx="928">
                  <c:v>3.5</c:v>
                </c:pt>
                <c:pt idx="929">
                  <c:v>1.5</c:v>
                </c:pt>
                <c:pt idx="930">
                  <c:v>1.9</c:v>
                </c:pt>
                <c:pt idx="931">
                  <c:v>3</c:v>
                </c:pt>
                <c:pt idx="932">
                  <c:v>2.6</c:v>
                </c:pt>
                <c:pt idx="933">
                  <c:v>3.2</c:v>
                </c:pt>
                <c:pt idx="934">
                  <c:v>3.6</c:v>
                </c:pt>
                <c:pt idx="935">
                  <c:v>4.3</c:v>
                </c:pt>
                <c:pt idx="936">
                  <c:v>3.4</c:v>
                </c:pt>
                <c:pt idx="937">
                  <c:v>4.2</c:v>
                </c:pt>
                <c:pt idx="938">
                  <c:v>3.6</c:v>
                </c:pt>
                <c:pt idx="939">
                  <c:v>0.5</c:v>
                </c:pt>
                <c:pt idx="940">
                  <c:v>2.1</c:v>
                </c:pt>
                <c:pt idx="941">
                  <c:v>3.3</c:v>
                </c:pt>
                <c:pt idx="942">
                  <c:v>1.7</c:v>
                </c:pt>
                <c:pt idx="943">
                  <c:v>4.4000000000000004</c:v>
                </c:pt>
                <c:pt idx="944">
                  <c:v>5.8</c:v>
                </c:pt>
                <c:pt idx="945">
                  <c:v>5.3</c:v>
                </c:pt>
                <c:pt idx="946">
                  <c:v>3.2</c:v>
                </c:pt>
                <c:pt idx="947">
                  <c:v>5.7</c:v>
                </c:pt>
                <c:pt idx="948">
                  <c:v>3.7</c:v>
                </c:pt>
                <c:pt idx="949">
                  <c:v>3</c:v>
                </c:pt>
                <c:pt idx="950">
                  <c:v>2.6</c:v>
                </c:pt>
                <c:pt idx="951">
                  <c:v>3</c:v>
                </c:pt>
                <c:pt idx="952">
                  <c:v>2.9</c:v>
                </c:pt>
                <c:pt idx="953">
                  <c:v>3.8</c:v>
                </c:pt>
                <c:pt idx="954">
                  <c:v>3.7</c:v>
                </c:pt>
                <c:pt idx="955">
                  <c:v>3.5</c:v>
                </c:pt>
                <c:pt idx="956">
                  <c:v>4.2</c:v>
                </c:pt>
                <c:pt idx="957">
                  <c:v>5.3</c:v>
                </c:pt>
                <c:pt idx="958">
                  <c:v>4.9000000000000004</c:v>
                </c:pt>
                <c:pt idx="959">
                  <c:v>1.3</c:v>
                </c:pt>
                <c:pt idx="960">
                  <c:v>0.5</c:v>
                </c:pt>
                <c:pt idx="961">
                  <c:v>4.9000000000000004</c:v>
                </c:pt>
                <c:pt idx="962">
                  <c:v>1.4</c:v>
                </c:pt>
                <c:pt idx="963">
                  <c:v>3.2</c:v>
                </c:pt>
                <c:pt idx="964">
                  <c:v>1.7</c:v>
                </c:pt>
                <c:pt idx="965">
                  <c:v>0.8</c:v>
                </c:pt>
                <c:pt idx="966">
                  <c:v>4.3</c:v>
                </c:pt>
                <c:pt idx="967">
                  <c:v>4.5999999999999996</c:v>
                </c:pt>
                <c:pt idx="968">
                  <c:v>2.6</c:v>
                </c:pt>
                <c:pt idx="969">
                  <c:v>0.5</c:v>
                </c:pt>
                <c:pt idx="970">
                  <c:v>2.7</c:v>
                </c:pt>
                <c:pt idx="971">
                  <c:v>4.0999999999999996</c:v>
                </c:pt>
                <c:pt idx="972">
                  <c:v>1.3</c:v>
                </c:pt>
                <c:pt idx="973">
                  <c:v>3.8</c:v>
                </c:pt>
                <c:pt idx="974">
                  <c:v>3.5</c:v>
                </c:pt>
                <c:pt idx="975">
                  <c:v>4.4000000000000004</c:v>
                </c:pt>
                <c:pt idx="976">
                  <c:v>3.7</c:v>
                </c:pt>
                <c:pt idx="977">
                  <c:v>2</c:v>
                </c:pt>
                <c:pt idx="978">
                  <c:v>5.3</c:v>
                </c:pt>
                <c:pt idx="979">
                  <c:v>3.3</c:v>
                </c:pt>
                <c:pt idx="980">
                  <c:v>3.5</c:v>
                </c:pt>
                <c:pt idx="981">
                  <c:v>2.1</c:v>
                </c:pt>
                <c:pt idx="982">
                  <c:v>2.8</c:v>
                </c:pt>
                <c:pt idx="983">
                  <c:v>2.2000000000000002</c:v>
                </c:pt>
                <c:pt idx="984">
                  <c:v>3.2</c:v>
                </c:pt>
                <c:pt idx="985">
                  <c:v>6.1</c:v>
                </c:pt>
                <c:pt idx="986">
                  <c:v>1.4</c:v>
                </c:pt>
                <c:pt idx="987">
                  <c:v>1.1000000000000001</c:v>
                </c:pt>
                <c:pt idx="988">
                  <c:v>5.7</c:v>
                </c:pt>
                <c:pt idx="989">
                  <c:v>3.2</c:v>
                </c:pt>
                <c:pt idx="990">
                  <c:v>2.5</c:v>
                </c:pt>
                <c:pt idx="991">
                  <c:v>5.0999999999999996</c:v>
                </c:pt>
                <c:pt idx="992">
                  <c:v>2.6</c:v>
                </c:pt>
                <c:pt idx="993">
                  <c:v>6.2</c:v>
                </c:pt>
                <c:pt idx="994">
                  <c:v>4.5</c:v>
                </c:pt>
                <c:pt idx="995">
                  <c:v>2.8</c:v>
                </c:pt>
                <c:pt idx="996">
                  <c:v>6.7</c:v>
                </c:pt>
                <c:pt idx="997">
                  <c:v>2.6</c:v>
                </c:pt>
                <c:pt idx="998">
                  <c:v>4.5999999999999996</c:v>
                </c:pt>
                <c:pt idx="999">
                  <c:v>3.9</c:v>
                </c:pt>
              </c:numCache>
            </c:numRef>
          </c:xVal>
          <c:yVal>
            <c:numRef>
              <c:f>'03_Clean_Data_Analysis'!$K$2:$K$1001</c:f>
              <c:numCache>
                <c:formatCode>General</c:formatCode>
                <c:ptCount val="1000"/>
                <c:pt idx="0">
                  <c:v>100</c:v>
                </c:pt>
                <c:pt idx="1">
                  <c:v>100</c:v>
                </c:pt>
                <c:pt idx="2">
                  <c:v>97.3</c:v>
                </c:pt>
                <c:pt idx="3">
                  <c:v>83.8</c:v>
                </c:pt>
                <c:pt idx="4">
                  <c:v>68.3</c:v>
                </c:pt>
                <c:pt idx="5">
                  <c:v>81.599999999999994</c:v>
                </c:pt>
                <c:pt idx="6">
                  <c:v>69.599999999999994</c:v>
                </c:pt>
                <c:pt idx="7">
                  <c:v>88</c:v>
                </c:pt>
                <c:pt idx="8">
                  <c:v>84.4</c:v>
                </c:pt>
                <c:pt idx="9">
                  <c:v>74.3</c:v>
                </c:pt>
                <c:pt idx="10">
                  <c:v>68.900000000000006</c:v>
                </c:pt>
                <c:pt idx="11">
                  <c:v>76.7</c:v>
                </c:pt>
                <c:pt idx="12">
                  <c:v>82.6</c:v>
                </c:pt>
                <c:pt idx="13">
                  <c:v>93.3</c:v>
                </c:pt>
                <c:pt idx="14">
                  <c:v>73.900000000000006</c:v>
                </c:pt>
                <c:pt idx="15">
                  <c:v>84.8</c:v>
                </c:pt>
                <c:pt idx="16">
                  <c:v>81.5</c:v>
                </c:pt>
                <c:pt idx="17">
                  <c:v>75.5</c:v>
                </c:pt>
                <c:pt idx="18">
                  <c:v>89.7</c:v>
                </c:pt>
                <c:pt idx="19">
                  <c:v>92.8</c:v>
                </c:pt>
                <c:pt idx="20">
                  <c:v>73.5</c:v>
                </c:pt>
                <c:pt idx="21">
                  <c:v>100</c:v>
                </c:pt>
                <c:pt idx="22">
                  <c:v>73.400000000000006</c:v>
                </c:pt>
                <c:pt idx="23">
                  <c:v>71.2</c:v>
                </c:pt>
                <c:pt idx="24">
                  <c:v>97.2</c:v>
                </c:pt>
                <c:pt idx="25">
                  <c:v>76</c:v>
                </c:pt>
                <c:pt idx="26">
                  <c:v>78.7</c:v>
                </c:pt>
                <c:pt idx="27">
                  <c:v>97.4</c:v>
                </c:pt>
                <c:pt idx="28">
                  <c:v>84.2</c:v>
                </c:pt>
                <c:pt idx="29">
                  <c:v>89.8</c:v>
                </c:pt>
                <c:pt idx="30">
                  <c:v>82.4</c:v>
                </c:pt>
                <c:pt idx="31">
                  <c:v>87.7</c:v>
                </c:pt>
                <c:pt idx="32">
                  <c:v>100</c:v>
                </c:pt>
                <c:pt idx="33">
                  <c:v>93.3</c:v>
                </c:pt>
                <c:pt idx="34">
                  <c:v>100</c:v>
                </c:pt>
                <c:pt idx="35">
                  <c:v>92.9</c:v>
                </c:pt>
                <c:pt idx="36">
                  <c:v>83.2</c:v>
                </c:pt>
                <c:pt idx="37">
                  <c:v>81.099999999999994</c:v>
                </c:pt>
                <c:pt idx="38">
                  <c:v>89.5</c:v>
                </c:pt>
                <c:pt idx="39">
                  <c:v>91.6</c:v>
                </c:pt>
                <c:pt idx="40">
                  <c:v>75.3</c:v>
                </c:pt>
                <c:pt idx="41">
                  <c:v>79</c:v>
                </c:pt>
                <c:pt idx="42">
                  <c:v>100</c:v>
                </c:pt>
                <c:pt idx="43">
                  <c:v>79.2</c:v>
                </c:pt>
                <c:pt idx="44">
                  <c:v>70.8</c:v>
                </c:pt>
                <c:pt idx="45">
                  <c:v>61.8</c:v>
                </c:pt>
                <c:pt idx="46">
                  <c:v>68</c:v>
                </c:pt>
                <c:pt idx="47">
                  <c:v>80.3</c:v>
                </c:pt>
                <c:pt idx="48">
                  <c:v>88.6</c:v>
                </c:pt>
                <c:pt idx="49">
                  <c:v>69.400000000000006</c:v>
                </c:pt>
                <c:pt idx="50">
                  <c:v>100</c:v>
                </c:pt>
                <c:pt idx="51">
                  <c:v>81.8</c:v>
                </c:pt>
                <c:pt idx="52">
                  <c:v>72.599999999999994</c:v>
                </c:pt>
                <c:pt idx="53">
                  <c:v>85.3</c:v>
                </c:pt>
                <c:pt idx="54">
                  <c:v>99.8</c:v>
                </c:pt>
                <c:pt idx="55">
                  <c:v>84.3</c:v>
                </c:pt>
                <c:pt idx="56">
                  <c:v>71.5</c:v>
                </c:pt>
                <c:pt idx="57">
                  <c:v>84.3</c:v>
                </c:pt>
                <c:pt idx="58">
                  <c:v>74.5</c:v>
                </c:pt>
                <c:pt idx="59">
                  <c:v>89.5</c:v>
                </c:pt>
                <c:pt idx="60">
                  <c:v>80.400000000000006</c:v>
                </c:pt>
                <c:pt idx="61">
                  <c:v>71.099999999999994</c:v>
                </c:pt>
                <c:pt idx="62">
                  <c:v>87.8</c:v>
                </c:pt>
                <c:pt idx="63">
                  <c:v>73</c:v>
                </c:pt>
                <c:pt idx="64">
                  <c:v>80.8</c:v>
                </c:pt>
                <c:pt idx="65">
                  <c:v>97.4</c:v>
                </c:pt>
                <c:pt idx="66">
                  <c:v>67.8</c:v>
                </c:pt>
                <c:pt idx="67">
                  <c:v>79.2</c:v>
                </c:pt>
                <c:pt idx="68">
                  <c:v>73.5</c:v>
                </c:pt>
                <c:pt idx="69">
                  <c:v>85.1</c:v>
                </c:pt>
                <c:pt idx="70">
                  <c:v>79.599999999999994</c:v>
                </c:pt>
                <c:pt idx="71">
                  <c:v>77.400000000000006</c:v>
                </c:pt>
                <c:pt idx="72">
                  <c:v>94.6</c:v>
                </c:pt>
                <c:pt idx="73">
                  <c:v>77.599999999999994</c:v>
                </c:pt>
                <c:pt idx="74">
                  <c:v>99.9</c:v>
                </c:pt>
                <c:pt idx="75">
                  <c:v>64.400000000000006</c:v>
                </c:pt>
                <c:pt idx="76">
                  <c:v>71.900000000000006</c:v>
                </c:pt>
                <c:pt idx="77">
                  <c:v>79.3</c:v>
                </c:pt>
                <c:pt idx="78">
                  <c:v>74.900000000000006</c:v>
                </c:pt>
                <c:pt idx="79">
                  <c:v>87.4</c:v>
                </c:pt>
                <c:pt idx="80">
                  <c:v>97.6</c:v>
                </c:pt>
                <c:pt idx="81">
                  <c:v>74.5</c:v>
                </c:pt>
                <c:pt idx="82">
                  <c:v>64.099999999999994</c:v>
                </c:pt>
                <c:pt idx="83">
                  <c:v>90</c:v>
                </c:pt>
                <c:pt idx="84">
                  <c:v>99.3</c:v>
                </c:pt>
                <c:pt idx="85">
                  <c:v>63.9</c:v>
                </c:pt>
                <c:pt idx="86">
                  <c:v>79</c:v>
                </c:pt>
                <c:pt idx="87">
                  <c:v>100</c:v>
                </c:pt>
                <c:pt idx="88">
                  <c:v>78.900000000000006</c:v>
                </c:pt>
                <c:pt idx="89">
                  <c:v>84.5</c:v>
                </c:pt>
                <c:pt idx="90">
                  <c:v>71.7</c:v>
                </c:pt>
                <c:pt idx="91">
                  <c:v>86.3</c:v>
                </c:pt>
                <c:pt idx="92">
                  <c:v>98.3</c:v>
                </c:pt>
                <c:pt idx="93">
                  <c:v>88.1</c:v>
                </c:pt>
                <c:pt idx="94">
                  <c:v>99.6</c:v>
                </c:pt>
                <c:pt idx="95">
                  <c:v>74.8</c:v>
                </c:pt>
                <c:pt idx="96">
                  <c:v>87.4</c:v>
                </c:pt>
                <c:pt idx="97">
                  <c:v>88.5</c:v>
                </c:pt>
                <c:pt idx="98">
                  <c:v>65.2</c:v>
                </c:pt>
                <c:pt idx="99">
                  <c:v>79.2</c:v>
                </c:pt>
                <c:pt idx="100">
                  <c:v>74.5</c:v>
                </c:pt>
                <c:pt idx="101">
                  <c:v>66.3</c:v>
                </c:pt>
                <c:pt idx="102">
                  <c:v>89.5</c:v>
                </c:pt>
                <c:pt idx="103">
                  <c:v>92.7</c:v>
                </c:pt>
                <c:pt idx="104">
                  <c:v>87.2</c:v>
                </c:pt>
                <c:pt idx="105">
                  <c:v>92.5</c:v>
                </c:pt>
                <c:pt idx="106">
                  <c:v>75.7</c:v>
                </c:pt>
                <c:pt idx="107">
                  <c:v>74</c:v>
                </c:pt>
                <c:pt idx="108">
                  <c:v>100</c:v>
                </c:pt>
                <c:pt idx="109">
                  <c:v>75.5</c:v>
                </c:pt>
                <c:pt idx="110">
                  <c:v>61.7</c:v>
                </c:pt>
                <c:pt idx="111">
                  <c:v>91.4</c:v>
                </c:pt>
                <c:pt idx="112">
                  <c:v>72.7</c:v>
                </c:pt>
                <c:pt idx="113">
                  <c:v>74.599999999999994</c:v>
                </c:pt>
                <c:pt idx="114">
                  <c:v>96.5</c:v>
                </c:pt>
                <c:pt idx="115">
                  <c:v>94.5</c:v>
                </c:pt>
                <c:pt idx="116">
                  <c:v>59.3</c:v>
                </c:pt>
                <c:pt idx="117">
                  <c:v>96.2</c:v>
                </c:pt>
                <c:pt idx="118">
                  <c:v>75.3</c:v>
                </c:pt>
                <c:pt idx="119">
                  <c:v>73.3</c:v>
                </c:pt>
                <c:pt idx="120">
                  <c:v>95.8</c:v>
                </c:pt>
                <c:pt idx="121">
                  <c:v>81</c:v>
                </c:pt>
                <c:pt idx="122">
                  <c:v>76.5</c:v>
                </c:pt>
                <c:pt idx="123">
                  <c:v>88.1</c:v>
                </c:pt>
                <c:pt idx="124">
                  <c:v>88.1</c:v>
                </c:pt>
                <c:pt idx="125">
                  <c:v>92.1</c:v>
                </c:pt>
                <c:pt idx="126">
                  <c:v>85.2</c:v>
                </c:pt>
                <c:pt idx="127">
                  <c:v>63</c:v>
                </c:pt>
                <c:pt idx="128">
                  <c:v>81.099999999999994</c:v>
                </c:pt>
                <c:pt idx="129">
                  <c:v>87.1</c:v>
                </c:pt>
                <c:pt idx="130">
                  <c:v>100</c:v>
                </c:pt>
                <c:pt idx="131">
                  <c:v>75.7</c:v>
                </c:pt>
                <c:pt idx="132">
                  <c:v>77.3</c:v>
                </c:pt>
                <c:pt idx="133">
                  <c:v>85.6</c:v>
                </c:pt>
                <c:pt idx="134">
                  <c:v>80.8</c:v>
                </c:pt>
                <c:pt idx="135">
                  <c:v>94.5</c:v>
                </c:pt>
                <c:pt idx="136">
                  <c:v>59.7</c:v>
                </c:pt>
                <c:pt idx="137">
                  <c:v>80.900000000000006</c:v>
                </c:pt>
                <c:pt idx="138">
                  <c:v>82.6</c:v>
                </c:pt>
                <c:pt idx="139">
                  <c:v>80.2</c:v>
                </c:pt>
                <c:pt idx="140">
                  <c:v>82.4</c:v>
                </c:pt>
                <c:pt idx="141">
                  <c:v>75.900000000000006</c:v>
                </c:pt>
                <c:pt idx="142">
                  <c:v>88.5</c:v>
                </c:pt>
                <c:pt idx="143">
                  <c:v>69.599999999999994</c:v>
                </c:pt>
                <c:pt idx="144">
                  <c:v>86.8</c:v>
                </c:pt>
                <c:pt idx="145">
                  <c:v>65.2</c:v>
                </c:pt>
                <c:pt idx="146">
                  <c:v>82</c:v>
                </c:pt>
                <c:pt idx="147">
                  <c:v>46.8</c:v>
                </c:pt>
                <c:pt idx="148">
                  <c:v>68.599999999999994</c:v>
                </c:pt>
                <c:pt idx="149">
                  <c:v>69.2</c:v>
                </c:pt>
                <c:pt idx="150">
                  <c:v>84.7</c:v>
                </c:pt>
                <c:pt idx="151">
                  <c:v>75.900000000000006</c:v>
                </c:pt>
                <c:pt idx="152">
                  <c:v>84.7</c:v>
                </c:pt>
                <c:pt idx="153">
                  <c:v>75.7</c:v>
                </c:pt>
                <c:pt idx="154">
                  <c:v>95.4</c:v>
                </c:pt>
                <c:pt idx="155">
                  <c:v>87.6</c:v>
                </c:pt>
                <c:pt idx="156">
                  <c:v>87.7</c:v>
                </c:pt>
                <c:pt idx="157">
                  <c:v>89.3</c:v>
                </c:pt>
                <c:pt idx="158">
                  <c:v>63.7</c:v>
                </c:pt>
                <c:pt idx="159">
                  <c:v>74</c:v>
                </c:pt>
                <c:pt idx="160">
                  <c:v>87.9</c:v>
                </c:pt>
                <c:pt idx="161">
                  <c:v>76.599999999999994</c:v>
                </c:pt>
                <c:pt idx="162">
                  <c:v>97.3</c:v>
                </c:pt>
                <c:pt idx="163">
                  <c:v>90.2</c:v>
                </c:pt>
                <c:pt idx="164">
                  <c:v>88.7</c:v>
                </c:pt>
                <c:pt idx="165">
                  <c:v>84.8</c:v>
                </c:pt>
                <c:pt idx="166">
                  <c:v>100</c:v>
                </c:pt>
                <c:pt idx="167">
                  <c:v>82.1</c:v>
                </c:pt>
                <c:pt idx="168">
                  <c:v>75.099999999999994</c:v>
                </c:pt>
                <c:pt idx="169">
                  <c:v>78.099999999999994</c:v>
                </c:pt>
                <c:pt idx="170">
                  <c:v>92.9</c:v>
                </c:pt>
                <c:pt idx="171">
                  <c:v>71.8</c:v>
                </c:pt>
                <c:pt idx="172">
                  <c:v>78.5</c:v>
                </c:pt>
                <c:pt idx="173">
                  <c:v>82.6</c:v>
                </c:pt>
                <c:pt idx="174">
                  <c:v>79.2</c:v>
                </c:pt>
                <c:pt idx="175">
                  <c:v>89.7</c:v>
                </c:pt>
                <c:pt idx="176">
                  <c:v>89.2</c:v>
                </c:pt>
                <c:pt idx="177">
                  <c:v>81.7</c:v>
                </c:pt>
                <c:pt idx="178">
                  <c:v>96.7</c:v>
                </c:pt>
                <c:pt idx="179">
                  <c:v>73.7</c:v>
                </c:pt>
                <c:pt idx="180">
                  <c:v>77.099999999999994</c:v>
                </c:pt>
                <c:pt idx="181">
                  <c:v>76.5</c:v>
                </c:pt>
                <c:pt idx="182">
                  <c:v>73.2</c:v>
                </c:pt>
                <c:pt idx="183">
                  <c:v>83.6</c:v>
                </c:pt>
                <c:pt idx="184">
                  <c:v>85.8</c:v>
                </c:pt>
                <c:pt idx="185">
                  <c:v>95.7</c:v>
                </c:pt>
                <c:pt idx="186">
                  <c:v>89.2</c:v>
                </c:pt>
                <c:pt idx="187">
                  <c:v>83.1</c:v>
                </c:pt>
                <c:pt idx="188">
                  <c:v>100</c:v>
                </c:pt>
                <c:pt idx="189">
                  <c:v>67.2</c:v>
                </c:pt>
                <c:pt idx="190">
                  <c:v>84.6</c:v>
                </c:pt>
                <c:pt idx="191">
                  <c:v>100</c:v>
                </c:pt>
                <c:pt idx="192">
                  <c:v>75.2</c:v>
                </c:pt>
                <c:pt idx="193">
                  <c:v>81.099999999999994</c:v>
                </c:pt>
                <c:pt idx="194">
                  <c:v>96.5</c:v>
                </c:pt>
                <c:pt idx="195">
                  <c:v>79.8</c:v>
                </c:pt>
                <c:pt idx="196">
                  <c:v>73.400000000000006</c:v>
                </c:pt>
                <c:pt idx="197">
                  <c:v>92.2</c:v>
                </c:pt>
                <c:pt idx="198">
                  <c:v>87.3</c:v>
                </c:pt>
                <c:pt idx="199">
                  <c:v>92.5</c:v>
                </c:pt>
                <c:pt idx="200">
                  <c:v>94.6</c:v>
                </c:pt>
                <c:pt idx="201">
                  <c:v>75.5</c:v>
                </c:pt>
                <c:pt idx="202">
                  <c:v>85.3</c:v>
                </c:pt>
                <c:pt idx="203">
                  <c:v>76.7</c:v>
                </c:pt>
                <c:pt idx="204">
                  <c:v>86.8</c:v>
                </c:pt>
                <c:pt idx="205">
                  <c:v>61.1</c:v>
                </c:pt>
                <c:pt idx="206">
                  <c:v>100</c:v>
                </c:pt>
                <c:pt idx="207">
                  <c:v>90.9</c:v>
                </c:pt>
                <c:pt idx="208">
                  <c:v>96.1</c:v>
                </c:pt>
                <c:pt idx="209">
                  <c:v>73.099999999999994</c:v>
                </c:pt>
                <c:pt idx="210">
                  <c:v>81.2</c:v>
                </c:pt>
                <c:pt idx="211">
                  <c:v>81.8</c:v>
                </c:pt>
                <c:pt idx="212">
                  <c:v>70</c:v>
                </c:pt>
                <c:pt idx="213">
                  <c:v>78.5</c:v>
                </c:pt>
                <c:pt idx="214">
                  <c:v>84.7</c:v>
                </c:pt>
                <c:pt idx="215">
                  <c:v>74.7</c:v>
                </c:pt>
                <c:pt idx="216">
                  <c:v>91.2</c:v>
                </c:pt>
                <c:pt idx="217">
                  <c:v>93.4</c:v>
                </c:pt>
                <c:pt idx="218">
                  <c:v>86.8</c:v>
                </c:pt>
                <c:pt idx="219">
                  <c:v>100</c:v>
                </c:pt>
                <c:pt idx="220">
                  <c:v>84.3</c:v>
                </c:pt>
                <c:pt idx="221">
                  <c:v>71.5</c:v>
                </c:pt>
                <c:pt idx="222">
                  <c:v>70.5</c:v>
                </c:pt>
                <c:pt idx="223">
                  <c:v>89.9</c:v>
                </c:pt>
                <c:pt idx="224">
                  <c:v>81.099999999999994</c:v>
                </c:pt>
                <c:pt idx="225">
                  <c:v>67.400000000000006</c:v>
                </c:pt>
                <c:pt idx="226">
                  <c:v>82.2</c:v>
                </c:pt>
                <c:pt idx="227">
                  <c:v>90</c:v>
                </c:pt>
                <c:pt idx="228">
                  <c:v>100</c:v>
                </c:pt>
                <c:pt idx="229">
                  <c:v>82.7</c:v>
                </c:pt>
                <c:pt idx="230">
                  <c:v>98.3</c:v>
                </c:pt>
                <c:pt idx="231">
                  <c:v>91.5</c:v>
                </c:pt>
                <c:pt idx="232">
                  <c:v>82.2</c:v>
                </c:pt>
                <c:pt idx="233">
                  <c:v>100</c:v>
                </c:pt>
                <c:pt idx="234">
                  <c:v>80.2</c:v>
                </c:pt>
                <c:pt idx="235">
                  <c:v>85.7</c:v>
                </c:pt>
                <c:pt idx="236">
                  <c:v>100</c:v>
                </c:pt>
                <c:pt idx="237">
                  <c:v>84.4</c:v>
                </c:pt>
                <c:pt idx="238">
                  <c:v>100</c:v>
                </c:pt>
                <c:pt idx="239">
                  <c:v>84.6</c:v>
                </c:pt>
                <c:pt idx="240">
                  <c:v>80.599999999999994</c:v>
                </c:pt>
                <c:pt idx="241">
                  <c:v>85.1</c:v>
                </c:pt>
                <c:pt idx="242">
                  <c:v>69.400000000000006</c:v>
                </c:pt>
                <c:pt idx="243">
                  <c:v>92.2</c:v>
                </c:pt>
                <c:pt idx="244">
                  <c:v>76.2</c:v>
                </c:pt>
                <c:pt idx="245">
                  <c:v>100</c:v>
                </c:pt>
                <c:pt idx="246">
                  <c:v>92.2</c:v>
                </c:pt>
                <c:pt idx="247">
                  <c:v>76.5</c:v>
                </c:pt>
                <c:pt idx="248">
                  <c:v>82.7</c:v>
                </c:pt>
                <c:pt idx="249">
                  <c:v>67.099999999999994</c:v>
                </c:pt>
                <c:pt idx="250">
                  <c:v>88.4</c:v>
                </c:pt>
                <c:pt idx="251">
                  <c:v>91</c:v>
                </c:pt>
                <c:pt idx="252">
                  <c:v>75.8</c:v>
                </c:pt>
                <c:pt idx="253">
                  <c:v>88.3</c:v>
                </c:pt>
                <c:pt idx="254">
                  <c:v>87.6</c:v>
                </c:pt>
                <c:pt idx="255">
                  <c:v>96.8</c:v>
                </c:pt>
                <c:pt idx="256">
                  <c:v>86.7</c:v>
                </c:pt>
                <c:pt idx="257">
                  <c:v>63.7</c:v>
                </c:pt>
                <c:pt idx="258">
                  <c:v>73</c:v>
                </c:pt>
                <c:pt idx="259">
                  <c:v>94.3</c:v>
                </c:pt>
                <c:pt idx="260">
                  <c:v>71.3</c:v>
                </c:pt>
                <c:pt idx="261">
                  <c:v>79.7</c:v>
                </c:pt>
                <c:pt idx="262">
                  <c:v>81.2</c:v>
                </c:pt>
                <c:pt idx="263">
                  <c:v>91.1</c:v>
                </c:pt>
                <c:pt idx="264">
                  <c:v>97.5</c:v>
                </c:pt>
                <c:pt idx="265">
                  <c:v>100</c:v>
                </c:pt>
                <c:pt idx="266">
                  <c:v>81.599999999999994</c:v>
                </c:pt>
                <c:pt idx="267">
                  <c:v>83.9</c:v>
                </c:pt>
                <c:pt idx="268">
                  <c:v>100</c:v>
                </c:pt>
                <c:pt idx="269">
                  <c:v>80.2</c:v>
                </c:pt>
                <c:pt idx="270">
                  <c:v>75.099999999999994</c:v>
                </c:pt>
                <c:pt idx="271">
                  <c:v>78.2</c:v>
                </c:pt>
                <c:pt idx="272">
                  <c:v>64.7</c:v>
                </c:pt>
                <c:pt idx="273">
                  <c:v>97.8</c:v>
                </c:pt>
                <c:pt idx="274">
                  <c:v>74.400000000000006</c:v>
                </c:pt>
                <c:pt idx="275">
                  <c:v>76.400000000000006</c:v>
                </c:pt>
                <c:pt idx="276">
                  <c:v>76.3</c:v>
                </c:pt>
                <c:pt idx="277">
                  <c:v>88.3</c:v>
                </c:pt>
                <c:pt idx="278">
                  <c:v>94</c:v>
                </c:pt>
                <c:pt idx="279">
                  <c:v>58.8</c:v>
                </c:pt>
                <c:pt idx="280">
                  <c:v>81.099999999999994</c:v>
                </c:pt>
                <c:pt idx="281">
                  <c:v>84.5</c:v>
                </c:pt>
                <c:pt idx="282">
                  <c:v>69.900000000000006</c:v>
                </c:pt>
                <c:pt idx="283">
                  <c:v>82.2</c:v>
                </c:pt>
                <c:pt idx="284">
                  <c:v>83.3</c:v>
                </c:pt>
                <c:pt idx="285">
                  <c:v>69.5</c:v>
                </c:pt>
                <c:pt idx="286">
                  <c:v>68.5</c:v>
                </c:pt>
                <c:pt idx="287">
                  <c:v>61.5</c:v>
                </c:pt>
                <c:pt idx="288">
                  <c:v>72.3</c:v>
                </c:pt>
                <c:pt idx="289">
                  <c:v>74.099999999999994</c:v>
                </c:pt>
                <c:pt idx="290">
                  <c:v>94.9</c:v>
                </c:pt>
                <c:pt idx="291">
                  <c:v>100</c:v>
                </c:pt>
                <c:pt idx="292">
                  <c:v>84.5</c:v>
                </c:pt>
                <c:pt idx="293">
                  <c:v>93.7</c:v>
                </c:pt>
                <c:pt idx="294">
                  <c:v>100</c:v>
                </c:pt>
                <c:pt idx="295">
                  <c:v>81.599999999999994</c:v>
                </c:pt>
                <c:pt idx="296">
                  <c:v>70.900000000000006</c:v>
                </c:pt>
                <c:pt idx="297">
                  <c:v>89.6</c:v>
                </c:pt>
                <c:pt idx="298">
                  <c:v>69.2</c:v>
                </c:pt>
                <c:pt idx="299">
                  <c:v>82.3</c:v>
                </c:pt>
                <c:pt idx="300">
                  <c:v>80.900000000000006</c:v>
                </c:pt>
                <c:pt idx="301">
                  <c:v>82.4</c:v>
                </c:pt>
                <c:pt idx="302">
                  <c:v>91</c:v>
                </c:pt>
                <c:pt idx="303">
                  <c:v>81.599999999999994</c:v>
                </c:pt>
                <c:pt idx="304">
                  <c:v>83.2</c:v>
                </c:pt>
                <c:pt idx="305">
                  <c:v>80.7</c:v>
                </c:pt>
                <c:pt idx="306">
                  <c:v>87.2</c:v>
                </c:pt>
                <c:pt idx="307">
                  <c:v>72.8</c:v>
                </c:pt>
                <c:pt idx="308">
                  <c:v>85.2</c:v>
                </c:pt>
                <c:pt idx="309">
                  <c:v>83.3</c:v>
                </c:pt>
                <c:pt idx="310">
                  <c:v>82.6</c:v>
                </c:pt>
                <c:pt idx="311">
                  <c:v>63.4</c:v>
                </c:pt>
                <c:pt idx="312">
                  <c:v>100</c:v>
                </c:pt>
                <c:pt idx="313">
                  <c:v>79.400000000000006</c:v>
                </c:pt>
                <c:pt idx="314">
                  <c:v>100</c:v>
                </c:pt>
                <c:pt idx="315">
                  <c:v>100</c:v>
                </c:pt>
                <c:pt idx="316">
                  <c:v>72.900000000000006</c:v>
                </c:pt>
                <c:pt idx="317">
                  <c:v>79.2</c:v>
                </c:pt>
                <c:pt idx="318">
                  <c:v>84.2</c:v>
                </c:pt>
                <c:pt idx="319">
                  <c:v>80.7</c:v>
                </c:pt>
                <c:pt idx="320">
                  <c:v>85.3</c:v>
                </c:pt>
                <c:pt idx="321">
                  <c:v>93.1</c:v>
                </c:pt>
                <c:pt idx="322">
                  <c:v>73.5</c:v>
                </c:pt>
                <c:pt idx="323">
                  <c:v>90.8</c:v>
                </c:pt>
                <c:pt idx="324">
                  <c:v>80.8</c:v>
                </c:pt>
                <c:pt idx="325">
                  <c:v>88.9</c:v>
                </c:pt>
                <c:pt idx="326">
                  <c:v>63.7</c:v>
                </c:pt>
                <c:pt idx="327">
                  <c:v>82.6</c:v>
                </c:pt>
                <c:pt idx="328">
                  <c:v>63.7</c:v>
                </c:pt>
                <c:pt idx="329">
                  <c:v>96.6</c:v>
                </c:pt>
                <c:pt idx="330">
                  <c:v>97</c:v>
                </c:pt>
                <c:pt idx="331">
                  <c:v>93.3</c:v>
                </c:pt>
                <c:pt idx="332">
                  <c:v>82.8</c:v>
                </c:pt>
                <c:pt idx="333">
                  <c:v>81.2</c:v>
                </c:pt>
                <c:pt idx="334">
                  <c:v>88.7</c:v>
                </c:pt>
                <c:pt idx="335">
                  <c:v>71.2</c:v>
                </c:pt>
                <c:pt idx="336">
                  <c:v>87.1</c:v>
                </c:pt>
                <c:pt idx="337">
                  <c:v>94.9</c:v>
                </c:pt>
                <c:pt idx="338">
                  <c:v>76.099999999999994</c:v>
                </c:pt>
                <c:pt idx="339">
                  <c:v>85.1</c:v>
                </c:pt>
                <c:pt idx="340">
                  <c:v>96.3</c:v>
                </c:pt>
                <c:pt idx="341">
                  <c:v>100</c:v>
                </c:pt>
                <c:pt idx="342">
                  <c:v>92</c:v>
                </c:pt>
                <c:pt idx="343">
                  <c:v>77.2</c:v>
                </c:pt>
                <c:pt idx="344">
                  <c:v>97.5</c:v>
                </c:pt>
                <c:pt idx="345">
                  <c:v>70.599999999999994</c:v>
                </c:pt>
                <c:pt idx="346">
                  <c:v>87.2</c:v>
                </c:pt>
                <c:pt idx="347">
                  <c:v>69</c:v>
                </c:pt>
                <c:pt idx="348">
                  <c:v>90.2</c:v>
                </c:pt>
                <c:pt idx="349">
                  <c:v>74</c:v>
                </c:pt>
                <c:pt idx="350">
                  <c:v>75.3</c:v>
                </c:pt>
                <c:pt idx="351">
                  <c:v>86.5</c:v>
                </c:pt>
                <c:pt idx="352">
                  <c:v>100</c:v>
                </c:pt>
                <c:pt idx="353">
                  <c:v>93.6</c:v>
                </c:pt>
                <c:pt idx="354">
                  <c:v>72</c:v>
                </c:pt>
                <c:pt idx="355">
                  <c:v>76.2</c:v>
                </c:pt>
                <c:pt idx="356">
                  <c:v>80.900000000000006</c:v>
                </c:pt>
                <c:pt idx="357">
                  <c:v>85.3</c:v>
                </c:pt>
                <c:pt idx="358">
                  <c:v>81.900000000000006</c:v>
                </c:pt>
                <c:pt idx="359">
                  <c:v>78</c:v>
                </c:pt>
                <c:pt idx="360">
                  <c:v>93.6</c:v>
                </c:pt>
                <c:pt idx="361">
                  <c:v>95.1</c:v>
                </c:pt>
                <c:pt idx="362">
                  <c:v>66.7</c:v>
                </c:pt>
                <c:pt idx="363">
                  <c:v>75.599999999999994</c:v>
                </c:pt>
                <c:pt idx="364">
                  <c:v>57.4</c:v>
                </c:pt>
                <c:pt idx="365">
                  <c:v>75.400000000000006</c:v>
                </c:pt>
                <c:pt idx="366">
                  <c:v>80.5</c:v>
                </c:pt>
                <c:pt idx="367">
                  <c:v>75.099999999999994</c:v>
                </c:pt>
                <c:pt idx="368">
                  <c:v>67.8</c:v>
                </c:pt>
                <c:pt idx="369">
                  <c:v>97.4</c:v>
                </c:pt>
                <c:pt idx="370">
                  <c:v>80.2</c:v>
                </c:pt>
                <c:pt idx="371">
                  <c:v>82.8</c:v>
                </c:pt>
                <c:pt idx="372">
                  <c:v>87.8</c:v>
                </c:pt>
                <c:pt idx="373">
                  <c:v>85.8</c:v>
                </c:pt>
                <c:pt idx="374">
                  <c:v>91.7</c:v>
                </c:pt>
                <c:pt idx="375">
                  <c:v>84.9</c:v>
                </c:pt>
                <c:pt idx="376">
                  <c:v>99.3</c:v>
                </c:pt>
                <c:pt idx="377">
                  <c:v>74.3</c:v>
                </c:pt>
                <c:pt idx="378">
                  <c:v>93.3</c:v>
                </c:pt>
                <c:pt idx="379">
                  <c:v>79.400000000000006</c:v>
                </c:pt>
                <c:pt idx="380">
                  <c:v>77.400000000000006</c:v>
                </c:pt>
                <c:pt idx="381">
                  <c:v>100</c:v>
                </c:pt>
                <c:pt idx="382">
                  <c:v>76.8</c:v>
                </c:pt>
                <c:pt idx="383">
                  <c:v>100</c:v>
                </c:pt>
                <c:pt idx="384">
                  <c:v>88.6</c:v>
                </c:pt>
                <c:pt idx="385">
                  <c:v>79.099999999999994</c:v>
                </c:pt>
                <c:pt idx="386">
                  <c:v>79.400000000000006</c:v>
                </c:pt>
                <c:pt idx="387">
                  <c:v>100</c:v>
                </c:pt>
                <c:pt idx="388">
                  <c:v>86.7</c:v>
                </c:pt>
                <c:pt idx="389">
                  <c:v>69.5</c:v>
                </c:pt>
                <c:pt idx="390">
                  <c:v>86.3</c:v>
                </c:pt>
                <c:pt idx="391">
                  <c:v>87.3</c:v>
                </c:pt>
                <c:pt idx="392">
                  <c:v>72.099999999999994</c:v>
                </c:pt>
                <c:pt idx="393">
                  <c:v>92.3</c:v>
                </c:pt>
                <c:pt idx="394">
                  <c:v>67.599999999999994</c:v>
                </c:pt>
                <c:pt idx="395">
                  <c:v>72.7</c:v>
                </c:pt>
                <c:pt idx="396">
                  <c:v>76.099999999999994</c:v>
                </c:pt>
                <c:pt idx="397">
                  <c:v>81.2</c:v>
                </c:pt>
                <c:pt idx="398">
                  <c:v>90.4</c:v>
                </c:pt>
                <c:pt idx="399">
                  <c:v>73.2</c:v>
                </c:pt>
                <c:pt idx="400">
                  <c:v>85.2</c:v>
                </c:pt>
                <c:pt idx="401">
                  <c:v>96.4</c:v>
                </c:pt>
                <c:pt idx="402">
                  <c:v>81.900000000000006</c:v>
                </c:pt>
                <c:pt idx="403">
                  <c:v>86.5</c:v>
                </c:pt>
                <c:pt idx="404">
                  <c:v>84.7</c:v>
                </c:pt>
                <c:pt idx="405">
                  <c:v>93</c:v>
                </c:pt>
                <c:pt idx="406">
                  <c:v>78.900000000000006</c:v>
                </c:pt>
                <c:pt idx="407">
                  <c:v>90.4</c:v>
                </c:pt>
                <c:pt idx="408">
                  <c:v>80.099999999999994</c:v>
                </c:pt>
                <c:pt idx="409">
                  <c:v>78.099999999999994</c:v>
                </c:pt>
                <c:pt idx="410">
                  <c:v>70.099999999999994</c:v>
                </c:pt>
                <c:pt idx="411">
                  <c:v>90.2</c:v>
                </c:pt>
                <c:pt idx="412">
                  <c:v>86.5</c:v>
                </c:pt>
                <c:pt idx="413">
                  <c:v>93.5</c:v>
                </c:pt>
                <c:pt idx="414">
                  <c:v>83.3</c:v>
                </c:pt>
                <c:pt idx="415">
                  <c:v>81.2</c:v>
                </c:pt>
                <c:pt idx="416">
                  <c:v>76</c:v>
                </c:pt>
                <c:pt idx="417">
                  <c:v>84.9</c:v>
                </c:pt>
                <c:pt idx="418">
                  <c:v>79.2</c:v>
                </c:pt>
                <c:pt idx="419">
                  <c:v>72.8</c:v>
                </c:pt>
                <c:pt idx="420">
                  <c:v>69.900000000000006</c:v>
                </c:pt>
                <c:pt idx="421">
                  <c:v>89.6</c:v>
                </c:pt>
                <c:pt idx="422">
                  <c:v>77.3</c:v>
                </c:pt>
                <c:pt idx="423">
                  <c:v>64.599999999999994</c:v>
                </c:pt>
                <c:pt idx="424">
                  <c:v>81.8</c:v>
                </c:pt>
                <c:pt idx="425">
                  <c:v>86.2</c:v>
                </c:pt>
                <c:pt idx="426">
                  <c:v>100</c:v>
                </c:pt>
                <c:pt idx="427">
                  <c:v>100</c:v>
                </c:pt>
                <c:pt idx="428">
                  <c:v>100</c:v>
                </c:pt>
                <c:pt idx="429">
                  <c:v>72</c:v>
                </c:pt>
                <c:pt idx="430">
                  <c:v>81.2</c:v>
                </c:pt>
                <c:pt idx="431">
                  <c:v>100</c:v>
                </c:pt>
                <c:pt idx="432">
                  <c:v>79.7</c:v>
                </c:pt>
                <c:pt idx="433">
                  <c:v>89.4</c:v>
                </c:pt>
                <c:pt idx="434">
                  <c:v>77.8</c:v>
                </c:pt>
                <c:pt idx="435">
                  <c:v>93.4</c:v>
                </c:pt>
                <c:pt idx="436">
                  <c:v>100</c:v>
                </c:pt>
                <c:pt idx="437">
                  <c:v>76.5</c:v>
                </c:pt>
                <c:pt idx="438">
                  <c:v>79.3</c:v>
                </c:pt>
                <c:pt idx="439">
                  <c:v>100</c:v>
                </c:pt>
                <c:pt idx="440">
                  <c:v>98.9</c:v>
                </c:pt>
                <c:pt idx="441">
                  <c:v>87.5</c:v>
                </c:pt>
                <c:pt idx="442">
                  <c:v>85.2</c:v>
                </c:pt>
                <c:pt idx="443">
                  <c:v>86</c:v>
                </c:pt>
                <c:pt idx="444">
                  <c:v>80.7</c:v>
                </c:pt>
                <c:pt idx="445">
                  <c:v>79.900000000000006</c:v>
                </c:pt>
                <c:pt idx="446">
                  <c:v>79.099999999999994</c:v>
                </c:pt>
                <c:pt idx="447">
                  <c:v>87.1</c:v>
                </c:pt>
                <c:pt idx="448">
                  <c:v>90.7</c:v>
                </c:pt>
                <c:pt idx="449">
                  <c:v>64.599999999999994</c:v>
                </c:pt>
                <c:pt idx="450">
                  <c:v>77.900000000000006</c:v>
                </c:pt>
                <c:pt idx="451">
                  <c:v>82</c:v>
                </c:pt>
                <c:pt idx="452">
                  <c:v>92.8</c:v>
                </c:pt>
                <c:pt idx="453">
                  <c:v>85.4</c:v>
                </c:pt>
                <c:pt idx="454">
                  <c:v>80.7</c:v>
                </c:pt>
                <c:pt idx="455">
                  <c:v>72.7</c:v>
                </c:pt>
                <c:pt idx="456">
                  <c:v>68.8</c:v>
                </c:pt>
                <c:pt idx="457">
                  <c:v>89.9</c:v>
                </c:pt>
                <c:pt idx="458">
                  <c:v>83.3</c:v>
                </c:pt>
                <c:pt idx="459">
                  <c:v>86.8</c:v>
                </c:pt>
                <c:pt idx="460">
                  <c:v>98.2</c:v>
                </c:pt>
                <c:pt idx="461">
                  <c:v>100</c:v>
                </c:pt>
                <c:pt idx="462">
                  <c:v>95.1</c:v>
                </c:pt>
                <c:pt idx="463">
                  <c:v>93.5</c:v>
                </c:pt>
                <c:pt idx="464">
                  <c:v>63.2</c:v>
                </c:pt>
                <c:pt idx="465">
                  <c:v>100</c:v>
                </c:pt>
                <c:pt idx="466">
                  <c:v>77.099999999999994</c:v>
                </c:pt>
                <c:pt idx="467">
                  <c:v>88.8</c:v>
                </c:pt>
                <c:pt idx="468">
                  <c:v>100</c:v>
                </c:pt>
                <c:pt idx="469">
                  <c:v>89.9</c:v>
                </c:pt>
                <c:pt idx="470">
                  <c:v>87.6</c:v>
                </c:pt>
                <c:pt idx="471">
                  <c:v>68</c:v>
                </c:pt>
                <c:pt idx="472">
                  <c:v>82.2</c:v>
                </c:pt>
                <c:pt idx="473">
                  <c:v>94</c:v>
                </c:pt>
                <c:pt idx="474">
                  <c:v>90.9</c:v>
                </c:pt>
                <c:pt idx="475">
                  <c:v>85</c:v>
                </c:pt>
                <c:pt idx="476">
                  <c:v>100</c:v>
                </c:pt>
                <c:pt idx="477">
                  <c:v>100</c:v>
                </c:pt>
                <c:pt idx="478">
                  <c:v>87.4</c:v>
                </c:pt>
                <c:pt idx="479">
                  <c:v>84.8</c:v>
                </c:pt>
                <c:pt idx="480">
                  <c:v>89.5</c:v>
                </c:pt>
                <c:pt idx="481">
                  <c:v>92.3</c:v>
                </c:pt>
                <c:pt idx="482">
                  <c:v>86.6</c:v>
                </c:pt>
                <c:pt idx="483">
                  <c:v>100</c:v>
                </c:pt>
                <c:pt idx="484">
                  <c:v>75.7</c:v>
                </c:pt>
                <c:pt idx="485">
                  <c:v>87.3</c:v>
                </c:pt>
                <c:pt idx="486">
                  <c:v>66.599999999999994</c:v>
                </c:pt>
                <c:pt idx="487">
                  <c:v>74.099999999999994</c:v>
                </c:pt>
                <c:pt idx="488">
                  <c:v>100</c:v>
                </c:pt>
                <c:pt idx="489">
                  <c:v>100</c:v>
                </c:pt>
                <c:pt idx="490">
                  <c:v>74.3</c:v>
                </c:pt>
                <c:pt idx="491">
                  <c:v>71.099999999999994</c:v>
                </c:pt>
                <c:pt idx="492">
                  <c:v>66.7</c:v>
                </c:pt>
                <c:pt idx="493">
                  <c:v>82.1</c:v>
                </c:pt>
                <c:pt idx="494">
                  <c:v>88.5</c:v>
                </c:pt>
                <c:pt idx="495">
                  <c:v>79.400000000000006</c:v>
                </c:pt>
                <c:pt idx="496">
                  <c:v>71</c:v>
                </c:pt>
                <c:pt idx="497">
                  <c:v>85.4</c:v>
                </c:pt>
                <c:pt idx="498">
                  <c:v>61.8</c:v>
                </c:pt>
                <c:pt idx="499">
                  <c:v>99.6</c:v>
                </c:pt>
                <c:pt idx="500">
                  <c:v>76.099999999999994</c:v>
                </c:pt>
                <c:pt idx="501">
                  <c:v>90.4</c:v>
                </c:pt>
                <c:pt idx="502">
                  <c:v>93.3</c:v>
                </c:pt>
                <c:pt idx="503">
                  <c:v>88.9</c:v>
                </c:pt>
                <c:pt idx="504">
                  <c:v>99</c:v>
                </c:pt>
                <c:pt idx="505">
                  <c:v>100</c:v>
                </c:pt>
                <c:pt idx="506">
                  <c:v>74.5</c:v>
                </c:pt>
                <c:pt idx="507">
                  <c:v>72.8</c:v>
                </c:pt>
                <c:pt idx="508">
                  <c:v>76.099999999999994</c:v>
                </c:pt>
                <c:pt idx="509">
                  <c:v>99.5</c:v>
                </c:pt>
                <c:pt idx="510">
                  <c:v>79.900000000000006</c:v>
                </c:pt>
                <c:pt idx="511">
                  <c:v>88.2</c:v>
                </c:pt>
                <c:pt idx="512">
                  <c:v>88.9</c:v>
                </c:pt>
                <c:pt idx="513">
                  <c:v>77.900000000000006</c:v>
                </c:pt>
                <c:pt idx="514">
                  <c:v>97.2</c:v>
                </c:pt>
                <c:pt idx="515">
                  <c:v>79.3</c:v>
                </c:pt>
                <c:pt idx="516">
                  <c:v>84.2</c:v>
                </c:pt>
                <c:pt idx="517">
                  <c:v>86.3</c:v>
                </c:pt>
                <c:pt idx="518">
                  <c:v>67.599999999999994</c:v>
                </c:pt>
                <c:pt idx="519">
                  <c:v>80.7</c:v>
                </c:pt>
                <c:pt idx="520">
                  <c:v>64.7</c:v>
                </c:pt>
                <c:pt idx="521">
                  <c:v>71.8</c:v>
                </c:pt>
                <c:pt idx="522">
                  <c:v>84.9</c:v>
                </c:pt>
                <c:pt idx="523">
                  <c:v>100</c:v>
                </c:pt>
                <c:pt idx="524">
                  <c:v>82.4</c:v>
                </c:pt>
                <c:pt idx="525">
                  <c:v>87.3</c:v>
                </c:pt>
                <c:pt idx="526">
                  <c:v>84.8</c:v>
                </c:pt>
                <c:pt idx="527">
                  <c:v>96.4</c:v>
                </c:pt>
                <c:pt idx="528">
                  <c:v>84.3</c:v>
                </c:pt>
                <c:pt idx="529">
                  <c:v>84.5</c:v>
                </c:pt>
                <c:pt idx="530">
                  <c:v>94.7</c:v>
                </c:pt>
                <c:pt idx="531">
                  <c:v>89.6</c:v>
                </c:pt>
                <c:pt idx="532">
                  <c:v>68.599999999999994</c:v>
                </c:pt>
                <c:pt idx="533">
                  <c:v>92.8</c:v>
                </c:pt>
                <c:pt idx="534">
                  <c:v>80.7</c:v>
                </c:pt>
                <c:pt idx="535">
                  <c:v>77.599999999999994</c:v>
                </c:pt>
                <c:pt idx="536">
                  <c:v>87.7</c:v>
                </c:pt>
                <c:pt idx="537">
                  <c:v>86</c:v>
                </c:pt>
                <c:pt idx="538">
                  <c:v>100</c:v>
                </c:pt>
                <c:pt idx="539">
                  <c:v>57.3</c:v>
                </c:pt>
                <c:pt idx="540">
                  <c:v>75.599999999999994</c:v>
                </c:pt>
                <c:pt idx="541">
                  <c:v>87.3</c:v>
                </c:pt>
                <c:pt idx="542">
                  <c:v>88.8</c:v>
                </c:pt>
                <c:pt idx="543">
                  <c:v>91.8</c:v>
                </c:pt>
                <c:pt idx="544">
                  <c:v>66</c:v>
                </c:pt>
                <c:pt idx="545">
                  <c:v>100</c:v>
                </c:pt>
                <c:pt idx="546">
                  <c:v>71.099999999999994</c:v>
                </c:pt>
                <c:pt idx="547">
                  <c:v>88.8</c:v>
                </c:pt>
                <c:pt idx="548">
                  <c:v>100</c:v>
                </c:pt>
                <c:pt idx="549">
                  <c:v>85.2</c:v>
                </c:pt>
                <c:pt idx="550">
                  <c:v>75.400000000000006</c:v>
                </c:pt>
                <c:pt idx="551">
                  <c:v>100</c:v>
                </c:pt>
                <c:pt idx="552">
                  <c:v>78.900000000000006</c:v>
                </c:pt>
                <c:pt idx="553">
                  <c:v>83.4</c:v>
                </c:pt>
                <c:pt idx="554">
                  <c:v>63.4</c:v>
                </c:pt>
                <c:pt idx="555">
                  <c:v>80.7</c:v>
                </c:pt>
                <c:pt idx="556">
                  <c:v>80.8</c:v>
                </c:pt>
                <c:pt idx="557">
                  <c:v>73.099999999999994</c:v>
                </c:pt>
                <c:pt idx="558">
                  <c:v>99.8</c:v>
                </c:pt>
                <c:pt idx="559">
                  <c:v>73.5</c:v>
                </c:pt>
                <c:pt idx="560">
                  <c:v>68.2</c:v>
                </c:pt>
                <c:pt idx="561">
                  <c:v>83.9</c:v>
                </c:pt>
                <c:pt idx="562">
                  <c:v>75.3</c:v>
                </c:pt>
                <c:pt idx="563">
                  <c:v>78.7</c:v>
                </c:pt>
                <c:pt idx="564">
                  <c:v>82.8</c:v>
                </c:pt>
                <c:pt idx="565">
                  <c:v>100</c:v>
                </c:pt>
                <c:pt idx="566">
                  <c:v>92.6</c:v>
                </c:pt>
                <c:pt idx="567">
                  <c:v>99.1</c:v>
                </c:pt>
                <c:pt idx="568">
                  <c:v>76.2</c:v>
                </c:pt>
                <c:pt idx="569">
                  <c:v>90.9</c:v>
                </c:pt>
                <c:pt idx="570">
                  <c:v>63.3</c:v>
                </c:pt>
                <c:pt idx="571">
                  <c:v>85</c:v>
                </c:pt>
                <c:pt idx="572">
                  <c:v>88.7</c:v>
                </c:pt>
                <c:pt idx="573">
                  <c:v>75.3</c:v>
                </c:pt>
                <c:pt idx="574">
                  <c:v>84.9</c:v>
                </c:pt>
                <c:pt idx="575">
                  <c:v>81.099999999999994</c:v>
                </c:pt>
                <c:pt idx="576">
                  <c:v>75.599999999999994</c:v>
                </c:pt>
                <c:pt idx="577">
                  <c:v>95.5</c:v>
                </c:pt>
                <c:pt idx="578">
                  <c:v>83.3</c:v>
                </c:pt>
                <c:pt idx="579">
                  <c:v>95.7</c:v>
                </c:pt>
                <c:pt idx="580">
                  <c:v>70.400000000000006</c:v>
                </c:pt>
                <c:pt idx="581">
                  <c:v>82.7</c:v>
                </c:pt>
                <c:pt idx="582">
                  <c:v>76.7</c:v>
                </c:pt>
                <c:pt idx="583">
                  <c:v>68.400000000000006</c:v>
                </c:pt>
                <c:pt idx="584">
                  <c:v>84.6</c:v>
                </c:pt>
                <c:pt idx="585">
                  <c:v>67.7</c:v>
                </c:pt>
                <c:pt idx="586">
                  <c:v>89.2</c:v>
                </c:pt>
                <c:pt idx="587">
                  <c:v>85</c:v>
                </c:pt>
                <c:pt idx="588">
                  <c:v>77.3</c:v>
                </c:pt>
                <c:pt idx="589">
                  <c:v>72.2</c:v>
                </c:pt>
                <c:pt idx="590">
                  <c:v>89</c:v>
                </c:pt>
                <c:pt idx="591">
                  <c:v>63.2</c:v>
                </c:pt>
                <c:pt idx="592">
                  <c:v>73.2</c:v>
                </c:pt>
                <c:pt idx="593">
                  <c:v>87</c:v>
                </c:pt>
                <c:pt idx="594">
                  <c:v>88.5</c:v>
                </c:pt>
                <c:pt idx="595">
                  <c:v>80.400000000000006</c:v>
                </c:pt>
                <c:pt idx="596">
                  <c:v>80.2</c:v>
                </c:pt>
                <c:pt idx="597">
                  <c:v>80.900000000000006</c:v>
                </c:pt>
                <c:pt idx="598">
                  <c:v>86.4</c:v>
                </c:pt>
                <c:pt idx="599">
                  <c:v>86.3</c:v>
                </c:pt>
                <c:pt idx="600">
                  <c:v>93.4</c:v>
                </c:pt>
                <c:pt idx="601">
                  <c:v>95.1</c:v>
                </c:pt>
                <c:pt idx="602">
                  <c:v>83.9</c:v>
                </c:pt>
                <c:pt idx="603">
                  <c:v>100</c:v>
                </c:pt>
                <c:pt idx="604">
                  <c:v>80.900000000000006</c:v>
                </c:pt>
                <c:pt idx="605">
                  <c:v>76.400000000000006</c:v>
                </c:pt>
                <c:pt idx="606">
                  <c:v>73.599999999999994</c:v>
                </c:pt>
                <c:pt idx="607">
                  <c:v>84</c:v>
                </c:pt>
                <c:pt idx="608">
                  <c:v>58.6</c:v>
                </c:pt>
                <c:pt idx="609">
                  <c:v>96.3</c:v>
                </c:pt>
                <c:pt idx="610">
                  <c:v>78.8</c:v>
                </c:pt>
                <c:pt idx="611">
                  <c:v>79.8</c:v>
                </c:pt>
                <c:pt idx="612">
                  <c:v>70</c:v>
                </c:pt>
                <c:pt idx="613">
                  <c:v>75</c:v>
                </c:pt>
                <c:pt idx="614">
                  <c:v>95</c:v>
                </c:pt>
                <c:pt idx="615">
                  <c:v>92.4</c:v>
                </c:pt>
                <c:pt idx="616">
                  <c:v>86.4</c:v>
                </c:pt>
                <c:pt idx="617">
                  <c:v>79.099999999999994</c:v>
                </c:pt>
                <c:pt idx="618">
                  <c:v>91.5</c:v>
                </c:pt>
                <c:pt idx="619">
                  <c:v>80.3</c:v>
                </c:pt>
                <c:pt idx="620">
                  <c:v>98.3</c:v>
                </c:pt>
                <c:pt idx="621">
                  <c:v>79.3</c:v>
                </c:pt>
                <c:pt idx="622">
                  <c:v>89.5</c:v>
                </c:pt>
                <c:pt idx="623">
                  <c:v>75.7</c:v>
                </c:pt>
                <c:pt idx="624">
                  <c:v>89.6</c:v>
                </c:pt>
                <c:pt idx="625">
                  <c:v>71</c:v>
                </c:pt>
                <c:pt idx="626">
                  <c:v>96.8</c:v>
                </c:pt>
                <c:pt idx="627">
                  <c:v>61.9</c:v>
                </c:pt>
                <c:pt idx="628">
                  <c:v>93.9</c:v>
                </c:pt>
                <c:pt idx="629">
                  <c:v>81.3</c:v>
                </c:pt>
                <c:pt idx="630">
                  <c:v>77.599999999999994</c:v>
                </c:pt>
                <c:pt idx="631">
                  <c:v>71.400000000000006</c:v>
                </c:pt>
                <c:pt idx="632">
                  <c:v>89.4</c:v>
                </c:pt>
                <c:pt idx="633">
                  <c:v>74.3</c:v>
                </c:pt>
                <c:pt idx="634">
                  <c:v>76</c:v>
                </c:pt>
                <c:pt idx="635">
                  <c:v>96.3</c:v>
                </c:pt>
                <c:pt idx="636">
                  <c:v>100</c:v>
                </c:pt>
                <c:pt idx="637">
                  <c:v>99.9</c:v>
                </c:pt>
                <c:pt idx="638">
                  <c:v>83.8</c:v>
                </c:pt>
                <c:pt idx="639">
                  <c:v>79.400000000000006</c:v>
                </c:pt>
                <c:pt idx="640">
                  <c:v>86</c:v>
                </c:pt>
                <c:pt idx="641">
                  <c:v>97.9</c:v>
                </c:pt>
                <c:pt idx="642">
                  <c:v>90.5</c:v>
                </c:pt>
                <c:pt idx="643">
                  <c:v>70.400000000000006</c:v>
                </c:pt>
                <c:pt idx="644">
                  <c:v>82.9</c:v>
                </c:pt>
                <c:pt idx="645">
                  <c:v>75.5</c:v>
                </c:pt>
                <c:pt idx="646">
                  <c:v>100</c:v>
                </c:pt>
                <c:pt idx="647">
                  <c:v>94</c:v>
                </c:pt>
                <c:pt idx="648">
                  <c:v>88.9</c:v>
                </c:pt>
                <c:pt idx="649">
                  <c:v>97.3</c:v>
                </c:pt>
                <c:pt idx="650">
                  <c:v>59.5</c:v>
                </c:pt>
                <c:pt idx="651">
                  <c:v>73.3</c:v>
                </c:pt>
                <c:pt idx="652">
                  <c:v>88</c:v>
                </c:pt>
                <c:pt idx="653">
                  <c:v>74.8</c:v>
                </c:pt>
                <c:pt idx="654">
                  <c:v>89.9</c:v>
                </c:pt>
                <c:pt idx="655">
                  <c:v>72.599999999999994</c:v>
                </c:pt>
                <c:pt idx="656">
                  <c:v>83.6</c:v>
                </c:pt>
                <c:pt idx="657">
                  <c:v>100</c:v>
                </c:pt>
                <c:pt idx="658">
                  <c:v>84.3</c:v>
                </c:pt>
                <c:pt idx="659">
                  <c:v>85.4</c:v>
                </c:pt>
                <c:pt idx="660">
                  <c:v>95.2</c:v>
                </c:pt>
                <c:pt idx="661">
                  <c:v>69</c:v>
                </c:pt>
                <c:pt idx="662">
                  <c:v>94.2</c:v>
                </c:pt>
                <c:pt idx="663">
                  <c:v>99.7</c:v>
                </c:pt>
                <c:pt idx="664">
                  <c:v>85.8</c:v>
                </c:pt>
                <c:pt idx="665">
                  <c:v>91.7</c:v>
                </c:pt>
                <c:pt idx="666">
                  <c:v>92.2</c:v>
                </c:pt>
                <c:pt idx="667">
                  <c:v>96.3</c:v>
                </c:pt>
                <c:pt idx="668">
                  <c:v>97.6</c:v>
                </c:pt>
                <c:pt idx="669">
                  <c:v>66.400000000000006</c:v>
                </c:pt>
                <c:pt idx="670">
                  <c:v>60.8</c:v>
                </c:pt>
                <c:pt idx="671">
                  <c:v>99.8</c:v>
                </c:pt>
                <c:pt idx="672">
                  <c:v>85.2</c:v>
                </c:pt>
                <c:pt idx="673">
                  <c:v>73.2</c:v>
                </c:pt>
                <c:pt idx="674">
                  <c:v>83.8</c:v>
                </c:pt>
                <c:pt idx="675">
                  <c:v>61.3</c:v>
                </c:pt>
                <c:pt idx="676">
                  <c:v>90.6</c:v>
                </c:pt>
                <c:pt idx="677">
                  <c:v>67.7</c:v>
                </c:pt>
                <c:pt idx="678">
                  <c:v>63.6</c:v>
                </c:pt>
                <c:pt idx="679">
                  <c:v>84.1</c:v>
                </c:pt>
                <c:pt idx="680">
                  <c:v>86.2</c:v>
                </c:pt>
                <c:pt idx="681">
                  <c:v>93.9</c:v>
                </c:pt>
                <c:pt idx="682">
                  <c:v>73.900000000000006</c:v>
                </c:pt>
                <c:pt idx="683">
                  <c:v>79.3</c:v>
                </c:pt>
                <c:pt idx="684">
                  <c:v>83.8</c:v>
                </c:pt>
                <c:pt idx="685">
                  <c:v>91.7</c:v>
                </c:pt>
                <c:pt idx="686">
                  <c:v>91.7</c:v>
                </c:pt>
                <c:pt idx="687">
                  <c:v>74.400000000000006</c:v>
                </c:pt>
                <c:pt idx="688">
                  <c:v>81.5</c:v>
                </c:pt>
                <c:pt idx="689">
                  <c:v>67.7</c:v>
                </c:pt>
                <c:pt idx="690">
                  <c:v>71</c:v>
                </c:pt>
                <c:pt idx="691">
                  <c:v>79.900000000000006</c:v>
                </c:pt>
                <c:pt idx="692">
                  <c:v>92.2</c:v>
                </c:pt>
                <c:pt idx="693">
                  <c:v>100</c:v>
                </c:pt>
                <c:pt idx="694">
                  <c:v>89.6</c:v>
                </c:pt>
                <c:pt idx="695">
                  <c:v>77.5</c:v>
                </c:pt>
                <c:pt idx="696">
                  <c:v>72.599999999999994</c:v>
                </c:pt>
                <c:pt idx="697">
                  <c:v>97.9</c:v>
                </c:pt>
                <c:pt idx="698">
                  <c:v>85.5</c:v>
                </c:pt>
                <c:pt idx="699">
                  <c:v>92.1</c:v>
                </c:pt>
                <c:pt idx="700">
                  <c:v>84.5</c:v>
                </c:pt>
                <c:pt idx="701">
                  <c:v>82.8</c:v>
                </c:pt>
                <c:pt idx="702">
                  <c:v>65.400000000000006</c:v>
                </c:pt>
                <c:pt idx="703">
                  <c:v>89.6</c:v>
                </c:pt>
                <c:pt idx="704">
                  <c:v>83.1</c:v>
                </c:pt>
                <c:pt idx="705">
                  <c:v>94.2</c:v>
                </c:pt>
                <c:pt idx="706">
                  <c:v>92.9</c:v>
                </c:pt>
                <c:pt idx="707">
                  <c:v>77.099999999999994</c:v>
                </c:pt>
                <c:pt idx="708">
                  <c:v>98.3</c:v>
                </c:pt>
                <c:pt idx="709">
                  <c:v>72.099999999999994</c:v>
                </c:pt>
                <c:pt idx="710">
                  <c:v>94.6</c:v>
                </c:pt>
                <c:pt idx="711">
                  <c:v>67.099999999999994</c:v>
                </c:pt>
                <c:pt idx="712">
                  <c:v>72.2</c:v>
                </c:pt>
                <c:pt idx="713">
                  <c:v>95.6</c:v>
                </c:pt>
                <c:pt idx="714">
                  <c:v>91.9</c:v>
                </c:pt>
                <c:pt idx="715">
                  <c:v>54.1</c:v>
                </c:pt>
                <c:pt idx="716">
                  <c:v>98.5</c:v>
                </c:pt>
                <c:pt idx="717">
                  <c:v>85</c:v>
                </c:pt>
                <c:pt idx="718">
                  <c:v>99.1</c:v>
                </c:pt>
                <c:pt idx="719">
                  <c:v>78.2</c:v>
                </c:pt>
                <c:pt idx="720">
                  <c:v>83.8</c:v>
                </c:pt>
                <c:pt idx="721">
                  <c:v>70.7</c:v>
                </c:pt>
                <c:pt idx="722">
                  <c:v>69.900000000000006</c:v>
                </c:pt>
                <c:pt idx="723">
                  <c:v>93.7</c:v>
                </c:pt>
                <c:pt idx="724">
                  <c:v>84.9</c:v>
                </c:pt>
                <c:pt idx="725">
                  <c:v>100</c:v>
                </c:pt>
                <c:pt idx="726">
                  <c:v>97.5</c:v>
                </c:pt>
                <c:pt idx="727">
                  <c:v>88</c:v>
                </c:pt>
                <c:pt idx="728">
                  <c:v>85</c:v>
                </c:pt>
                <c:pt idx="729">
                  <c:v>98.9</c:v>
                </c:pt>
                <c:pt idx="730">
                  <c:v>100</c:v>
                </c:pt>
                <c:pt idx="731">
                  <c:v>85</c:v>
                </c:pt>
                <c:pt idx="732">
                  <c:v>74.3</c:v>
                </c:pt>
                <c:pt idx="733">
                  <c:v>99.6</c:v>
                </c:pt>
                <c:pt idx="734">
                  <c:v>79.8</c:v>
                </c:pt>
                <c:pt idx="735">
                  <c:v>91.3</c:v>
                </c:pt>
                <c:pt idx="736">
                  <c:v>95</c:v>
                </c:pt>
                <c:pt idx="737">
                  <c:v>66.599999999999994</c:v>
                </c:pt>
                <c:pt idx="738">
                  <c:v>93.1</c:v>
                </c:pt>
                <c:pt idx="739">
                  <c:v>81.8</c:v>
                </c:pt>
                <c:pt idx="740">
                  <c:v>62.9</c:v>
                </c:pt>
                <c:pt idx="741">
                  <c:v>94</c:v>
                </c:pt>
                <c:pt idx="742">
                  <c:v>85</c:v>
                </c:pt>
                <c:pt idx="743">
                  <c:v>82.4</c:v>
                </c:pt>
                <c:pt idx="744">
                  <c:v>89.5</c:v>
                </c:pt>
                <c:pt idx="745">
                  <c:v>83.3</c:v>
                </c:pt>
                <c:pt idx="746">
                  <c:v>100</c:v>
                </c:pt>
                <c:pt idx="747">
                  <c:v>92.4</c:v>
                </c:pt>
                <c:pt idx="748">
                  <c:v>77</c:v>
                </c:pt>
                <c:pt idx="749">
                  <c:v>95.1</c:v>
                </c:pt>
                <c:pt idx="750">
                  <c:v>88.8</c:v>
                </c:pt>
                <c:pt idx="751">
                  <c:v>93.2</c:v>
                </c:pt>
                <c:pt idx="752">
                  <c:v>96.4</c:v>
                </c:pt>
                <c:pt idx="753">
                  <c:v>67.2</c:v>
                </c:pt>
                <c:pt idx="754">
                  <c:v>84.6</c:v>
                </c:pt>
                <c:pt idx="755">
                  <c:v>89.8</c:v>
                </c:pt>
                <c:pt idx="756">
                  <c:v>90.3</c:v>
                </c:pt>
                <c:pt idx="757">
                  <c:v>82.5</c:v>
                </c:pt>
                <c:pt idx="758">
                  <c:v>84.5</c:v>
                </c:pt>
                <c:pt idx="759">
                  <c:v>72.099999999999994</c:v>
                </c:pt>
                <c:pt idx="760">
                  <c:v>53.2</c:v>
                </c:pt>
                <c:pt idx="761">
                  <c:v>74</c:v>
                </c:pt>
                <c:pt idx="762">
                  <c:v>96.8</c:v>
                </c:pt>
                <c:pt idx="763">
                  <c:v>81.2</c:v>
                </c:pt>
                <c:pt idx="764">
                  <c:v>85.4</c:v>
                </c:pt>
                <c:pt idx="765">
                  <c:v>81.099999999999994</c:v>
                </c:pt>
                <c:pt idx="766">
                  <c:v>83.9</c:v>
                </c:pt>
                <c:pt idx="767">
                  <c:v>71.2</c:v>
                </c:pt>
                <c:pt idx="768">
                  <c:v>85.5</c:v>
                </c:pt>
                <c:pt idx="769">
                  <c:v>98.4</c:v>
                </c:pt>
                <c:pt idx="770">
                  <c:v>82.6</c:v>
                </c:pt>
                <c:pt idx="771">
                  <c:v>91.6</c:v>
                </c:pt>
                <c:pt idx="772">
                  <c:v>91.3</c:v>
                </c:pt>
                <c:pt idx="773">
                  <c:v>84.3</c:v>
                </c:pt>
                <c:pt idx="774">
                  <c:v>74.599999999999994</c:v>
                </c:pt>
                <c:pt idx="775">
                  <c:v>88.6</c:v>
                </c:pt>
                <c:pt idx="776">
                  <c:v>73.599999999999994</c:v>
                </c:pt>
                <c:pt idx="777">
                  <c:v>95.8</c:v>
                </c:pt>
                <c:pt idx="778">
                  <c:v>87.1</c:v>
                </c:pt>
                <c:pt idx="779">
                  <c:v>89.9</c:v>
                </c:pt>
                <c:pt idx="780">
                  <c:v>79.099999999999994</c:v>
                </c:pt>
                <c:pt idx="781">
                  <c:v>97.6</c:v>
                </c:pt>
                <c:pt idx="782">
                  <c:v>90.3</c:v>
                </c:pt>
                <c:pt idx="783">
                  <c:v>78.099999999999994</c:v>
                </c:pt>
                <c:pt idx="784">
                  <c:v>92.6</c:v>
                </c:pt>
                <c:pt idx="785">
                  <c:v>97</c:v>
                </c:pt>
                <c:pt idx="786">
                  <c:v>77</c:v>
                </c:pt>
                <c:pt idx="787">
                  <c:v>96.8</c:v>
                </c:pt>
                <c:pt idx="788">
                  <c:v>72.099999999999994</c:v>
                </c:pt>
                <c:pt idx="789">
                  <c:v>75.400000000000006</c:v>
                </c:pt>
                <c:pt idx="790">
                  <c:v>57.6</c:v>
                </c:pt>
                <c:pt idx="791">
                  <c:v>67.599999999999994</c:v>
                </c:pt>
                <c:pt idx="792">
                  <c:v>91.2</c:v>
                </c:pt>
                <c:pt idx="793">
                  <c:v>86.8</c:v>
                </c:pt>
                <c:pt idx="794">
                  <c:v>89.5</c:v>
                </c:pt>
                <c:pt idx="795">
                  <c:v>100</c:v>
                </c:pt>
                <c:pt idx="796">
                  <c:v>93.4</c:v>
                </c:pt>
                <c:pt idx="797">
                  <c:v>78.7</c:v>
                </c:pt>
                <c:pt idx="798">
                  <c:v>60.8</c:v>
                </c:pt>
                <c:pt idx="799">
                  <c:v>96.1</c:v>
                </c:pt>
                <c:pt idx="800">
                  <c:v>83</c:v>
                </c:pt>
                <c:pt idx="801">
                  <c:v>94</c:v>
                </c:pt>
                <c:pt idx="802">
                  <c:v>100</c:v>
                </c:pt>
                <c:pt idx="803">
                  <c:v>94.6</c:v>
                </c:pt>
                <c:pt idx="804">
                  <c:v>87.7</c:v>
                </c:pt>
                <c:pt idx="805">
                  <c:v>82.1</c:v>
                </c:pt>
                <c:pt idx="806">
                  <c:v>80.099999999999994</c:v>
                </c:pt>
                <c:pt idx="807">
                  <c:v>57.8</c:v>
                </c:pt>
                <c:pt idx="808">
                  <c:v>74.3</c:v>
                </c:pt>
                <c:pt idx="809">
                  <c:v>82.5</c:v>
                </c:pt>
                <c:pt idx="810">
                  <c:v>85.9</c:v>
                </c:pt>
                <c:pt idx="811">
                  <c:v>88.4</c:v>
                </c:pt>
                <c:pt idx="812">
                  <c:v>100</c:v>
                </c:pt>
                <c:pt idx="813">
                  <c:v>75.599999999999994</c:v>
                </c:pt>
                <c:pt idx="814">
                  <c:v>78</c:v>
                </c:pt>
                <c:pt idx="815">
                  <c:v>80</c:v>
                </c:pt>
                <c:pt idx="816">
                  <c:v>80.2</c:v>
                </c:pt>
                <c:pt idx="817">
                  <c:v>82.2</c:v>
                </c:pt>
                <c:pt idx="818">
                  <c:v>79.599999999999994</c:v>
                </c:pt>
                <c:pt idx="819">
                  <c:v>96.3</c:v>
                </c:pt>
                <c:pt idx="820">
                  <c:v>65.400000000000006</c:v>
                </c:pt>
                <c:pt idx="821">
                  <c:v>79.900000000000006</c:v>
                </c:pt>
                <c:pt idx="822">
                  <c:v>71.599999999999994</c:v>
                </c:pt>
                <c:pt idx="823">
                  <c:v>100</c:v>
                </c:pt>
                <c:pt idx="824">
                  <c:v>93.9</c:v>
                </c:pt>
                <c:pt idx="825">
                  <c:v>87.5</c:v>
                </c:pt>
                <c:pt idx="826">
                  <c:v>86.3</c:v>
                </c:pt>
                <c:pt idx="827">
                  <c:v>77.599999999999994</c:v>
                </c:pt>
                <c:pt idx="828">
                  <c:v>70.2</c:v>
                </c:pt>
                <c:pt idx="829">
                  <c:v>100</c:v>
                </c:pt>
                <c:pt idx="830">
                  <c:v>73.5</c:v>
                </c:pt>
                <c:pt idx="831">
                  <c:v>91.2</c:v>
                </c:pt>
                <c:pt idx="832">
                  <c:v>78.099999999999994</c:v>
                </c:pt>
                <c:pt idx="833">
                  <c:v>89</c:v>
                </c:pt>
                <c:pt idx="834">
                  <c:v>82</c:v>
                </c:pt>
                <c:pt idx="835">
                  <c:v>89.5</c:v>
                </c:pt>
                <c:pt idx="836">
                  <c:v>100</c:v>
                </c:pt>
                <c:pt idx="837">
                  <c:v>88.7</c:v>
                </c:pt>
                <c:pt idx="838">
                  <c:v>86</c:v>
                </c:pt>
                <c:pt idx="839">
                  <c:v>82.9</c:v>
                </c:pt>
                <c:pt idx="840">
                  <c:v>88.6</c:v>
                </c:pt>
                <c:pt idx="841">
                  <c:v>79.2</c:v>
                </c:pt>
                <c:pt idx="842">
                  <c:v>85.1</c:v>
                </c:pt>
                <c:pt idx="843">
                  <c:v>80.2</c:v>
                </c:pt>
                <c:pt idx="844">
                  <c:v>80.2</c:v>
                </c:pt>
                <c:pt idx="845">
                  <c:v>80.3</c:v>
                </c:pt>
                <c:pt idx="846">
                  <c:v>69.8</c:v>
                </c:pt>
                <c:pt idx="847">
                  <c:v>100</c:v>
                </c:pt>
                <c:pt idx="848">
                  <c:v>80.8</c:v>
                </c:pt>
                <c:pt idx="849">
                  <c:v>100</c:v>
                </c:pt>
                <c:pt idx="850">
                  <c:v>99.5</c:v>
                </c:pt>
                <c:pt idx="851">
                  <c:v>80.7</c:v>
                </c:pt>
                <c:pt idx="852">
                  <c:v>86.6</c:v>
                </c:pt>
                <c:pt idx="853">
                  <c:v>98.8</c:v>
                </c:pt>
                <c:pt idx="854">
                  <c:v>81.900000000000006</c:v>
                </c:pt>
                <c:pt idx="855">
                  <c:v>79</c:v>
                </c:pt>
                <c:pt idx="856">
                  <c:v>91.7</c:v>
                </c:pt>
                <c:pt idx="857">
                  <c:v>78.8</c:v>
                </c:pt>
                <c:pt idx="858">
                  <c:v>84.8</c:v>
                </c:pt>
                <c:pt idx="859">
                  <c:v>66.5</c:v>
                </c:pt>
                <c:pt idx="860">
                  <c:v>91.1</c:v>
                </c:pt>
                <c:pt idx="861">
                  <c:v>74.2</c:v>
                </c:pt>
                <c:pt idx="862">
                  <c:v>86.3</c:v>
                </c:pt>
                <c:pt idx="863">
                  <c:v>71.2</c:v>
                </c:pt>
                <c:pt idx="864">
                  <c:v>83.5</c:v>
                </c:pt>
                <c:pt idx="865">
                  <c:v>89.8</c:v>
                </c:pt>
                <c:pt idx="866">
                  <c:v>80.3</c:v>
                </c:pt>
                <c:pt idx="867">
                  <c:v>91.6</c:v>
                </c:pt>
                <c:pt idx="868">
                  <c:v>95.8</c:v>
                </c:pt>
                <c:pt idx="869">
                  <c:v>84.4</c:v>
                </c:pt>
                <c:pt idx="870">
                  <c:v>96.1</c:v>
                </c:pt>
                <c:pt idx="871">
                  <c:v>92.6</c:v>
                </c:pt>
                <c:pt idx="872">
                  <c:v>75.5</c:v>
                </c:pt>
                <c:pt idx="873">
                  <c:v>85.1</c:v>
                </c:pt>
                <c:pt idx="874">
                  <c:v>93.8</c:v>
                </c:pt>
                <c:pt idx="875">
                  <c:v>81.400000000000006</c:v>
                </c:pt>
                <c:pt idx="876">
                  <c:v>98.8</c:v>
                </c:pt>
                <c:pt idx="877">
                  <c:v>65.400000000000006</c:v>
                </c:pt>
                <c:pt idx="878">
                  <c:v>77.599999999999994</c:v>
                </c:pt>
                <c:pt idx="879">
                  <c:v>85.6</c:v>
                </c:pt>
                <c:pt idx="880">
                  <c:v>81.400000000000006</c:v>
                </c:pt>
                <c:pt idx="881">
                  <c:v>85.4</c:v>
                </c:pt>
                <c:pt idx="882">
                  <c:v>71.900000000000006</c:v>
                </c:pt>
                <c:pt idx="883">
                  <c:v>94.4</c:v>
                </c:pt>
                <c:pt idx="884">
                  <c:v>100</c:v>
                </c:pt>
                <c:pt idx="885">
                  <c:v>77.099999999999994</c:v>
                </c:pt>
                <c:pt idx="886">
                  <c:v>76.8</c:v>
                </c:pt>
                <c:pt idx="887">
                  <c:v>79.8</c:v>
                </c:pt>
                <c:pt idx="888">
                  <c:v>82.2</c:v>
                </c:pt>
                <c:pt idx="889">
                  <c:v>77.400000000000006</c:v>
                </c:pt>
                <c:pt idx="890">
                  <c:v>100</c:v>
                </c:pt>
                <c:pt idx="891">
                  <c:v>87.2</c:v>
                </c:pt>
                <c:pt idx="892">
                  <c:v>76.400000000000006</c:v>
                </c:pt>
                <c:pt idx="893">
                  <c:v>79.599999999999994</c:v>
                </c:pt>
                <c:pt idx="894">
                  <c:v>71.400000000000006</c:v>
                </c:pt>
                <c:pt idx="895">
                  <c:v>80.8</c:v>
                </c:pt>
                <c:pt idx="896">
                  <c:v>91.1</c:v>
                </c:pt>
                <c:pt idx="897">
                  <c:v>78.8</c:v>
                </c:pt>
                <c:pt idx="898">
                  <c:v>66.7</c:v>
                </c:pt>
                <c:pt idx="899">
                  <c:v>68.8</c:v>
                </c:pt>
                <c:pt idx="900">
                  <c:v>69.900000000000006</c:v>
                </c:pt>
                <c:pt idx="901">
                  <c:v>80.7</c:v>
                </c:pt>
                <c:pt idx="902">
                  <c:v>73.3</c:v>
                </c:pt>
                <c:pt idx="903">
                  <c:v>68.8</c:v>
                </c:pt>
                <c:pt idx="904">
                  <c:v>90.8</c:v>
                </c:pt>
                <c:pt idx="905">
                  <c:v>100</c:v>
                </c:pt>
                <c:pt idx="906">
                  <c:v>85</c:v>
                </c:pt>
                <c:pt idx="907">
                  <c:v>86</c:v>
                </c:pt>
                <c:pt idx="908">
                  <c:v>73.099999999999994</c:v>
                </c:pt>
                <c:pt idx="909">
                  <c:v>87.6</c:v>
                </c:pt>
                <c:pt idx="910">
                  <c:v>96.5</c:v>
                </c:pt>
                <c:pt idx="911">
                  <c:v>100</c:v>
                </c:pt>
                <c:pt idx="912">
                  <c:v>82.1</c:v>
                </c:pt>
                <c:pt idx="913">
                  <c:v>80.3</c:v>
                </c:pt>
                <c:pt idx="914">
                  <c:v>76.900000000000006</c:v>
                </c:pt>
                <c:pt idx="915">
                  <c:v>81.7</c:v>
                </c:pt>
                <c:pt idx="916">
                  <c:v>88.1</c:v>
                </c:pt>
                <c:pt idx="917">
                  <c:v>88.1</c:v>
                </c:pt>
                <c:pt idx="918">
                  <c:v>97.3</c:v>
                </c:pt>
                <c:pt idx="919">
                  <c:v>83.4</c:v>
                </c:pt>
                <c:pt idx="920">
                  <c:v>72.8</c:v>
                </c:pt>
                <c:pt idx="921">
                  <c:v>90.5</c:v>
                </c:pt>
                <c:pt idx="922">
                  <c:v>83.8</c:v>
                </c:pt>
                <c:pt idx="923">
                  <c:v>93.1</c:v>
                </c:pt>
                <c:pt idx="924">
                  <c:v>71.2</c:v>
                </c:pt>
                <c:pt idx="925">
                  <c:v>95.3</c:v>
                </c:pt>
                <c:pt idx="926">
                  <c:v>99.6</c:v>
                </c:pt>
                <c:pt idx="927">
                  <c:v>92.4</c:v>
                </c:pt>
                <c:pt idx="928">
                  <c:v>75.400000000000006</c:v>
                </c:pt>
                <c:pt idx="929">
                  <c:v>80.8</c:v>
                </c:pt>
                <c:pt idx="930">
                  <c:v>72.900000000000006</c:v>
                </c:pt>
                <c:pt idx="931">
                  <c:v>63.7</c:v>
                </c:pt>
                <c:pt idx="932">
                  <c:v>75.3</c:v>
                </c:pt>
                <c:pt idx="933">
                  <c:v>71.7</c:v>
                </c:pt>
                <c:pt idx="934">
                  <c:v>100</c:v>
                </c:pt>
                <c:pt idx="935">
                  <c:v>83.3</c:v>
                </c:pt>
                <c:pt idx="936">
                  <c:v>85.6</c:v>
                </c:pt>
                <c:pt idx="937">
                  <c:v>93.1</c:v>
                </c:pt>
                <c:pt idx="938">
                  <c:v>77.3</c:v>
                </c:pt>
                <c:pt idx="939">
                  <c:v>74.8</c:v>
                </c:pt>
                <c:pt idx="940">
                  <c:v>76.7</c:v>
                </c:pt>
                <c:pt idx="941">
                  <c:v>85.3</c:v>
                </c:pt>
                <c:pt idx="942">
                  <c:v>68.599999999999994</c:v>
                </c:pt>
                <c:pt idx="943">
                  <c:v>96.4</c:v>
                </c:pt>
                <c:pt idx="944">
                  <c:v>95.7</c:v>
                </c:pt>
                <c:pt idx="945">
                  <c:v>96.1</c:v>
                </c:pt>
                <c:pt idx="946">
                  <c:v>70.400000000000006</c:v>
                </c:pt>
                <c:pt idx="947">
                  <c:v>85.8</c:v>
                </c:pt>
                <c:pt idx="948">
                  <c:v>100</c:v>
                </c:pt>
                <c:pt idx="949">
                  <c:v>65.8</c:v>
                </c:pt>
                <c:pt idx="950">
                  <c:v>72.400000000000006</c:v>
                </c:pt>
                <c:pt idx="951">
                  <c:v>83.6</c:v>
                </c:pt>
                <c:pt idx="952">
                  <c:v>89.5</c:v>
                </c:pt>
                <c:pt idx="953">
                  <c:v>77.900000000000006</c:v>
                </c:pt>
                <c:pt idx="954">
                  <c:v>100</c:v>
                </c:pt>
                <c:pt idx="955">
                  <c:v>88.3</c:v>
                </c:pt>
                <c:pt idx="956">
                  <c:v>93.5</c:v>
                </c:pt>
                <c:pt idx="957">
                  <c:v>89</c:v>
                </c:pt>
                <c:pt idx="958">
                  <c:v>87.6</c:v>
                </c:pt>
                <c:pt idx="959">
                  <c:v>80.5</c:v>
                </c:pt>
                <c:pt idx="960">
                  <c:v>75.400000000000006</c:v>
                </c:pt>
                <c:pt idx="961">
                  <c:v>80.7</c:v>
                </c:pt>
                <c:pt idx="962">
                  <c:v>73</c:v>
                </c:pt>
                <c:pt idx="963">
                  <c:v>78.400000000000006</c:v>
                </c:pt>
                <c:pt idx="964">
                  <c:v>69.5</c:v>
                </c:pt>
                <c:pt idx="965">
                  <c:v>76.2</c:v>
                </c:pt>
                <c:pt idx="966">
                  <c:v>90</c:v>
                </c:pt>
                <c:pt idx="967">
                  <c:v>100</c:v>
                </c:pt>
                <c:pt idx="968">
                  <c:v>60</c:v>
                </c:pt>
                <c:pt idx="969">
                  <c:v>78.3</c:v>
                </c:pt>
                <c:pt idx="970">
                  <c:v>100</c:v>
                </c:pt>
                <c:pt idx="971">
                  <c:v>75.599999999999994</c:v>
                </c:pt>
                <c:pt idx="972">
                  <c:v>84.1</c:v>
                </c:pt>
                <c:pt idx="973">
                  <c:v>77.900000000000006</c:v>
                </c:pt>
                <c:pt idx="974">
                  <c:v>67.900000000000006</c:v>
                </c:pt>
                <c:pt idx="975">
                  <c:v>67</c:v>
                </c:pt>
                <c:pt idx="976">
                  <c:v>80.900000000000006</c:v>
                </c:pt>
                <c:pt idx="977">
                  <c:v>72.099999999999994</c:v>
                </c:pt>
                <c:pt idx="978">
                  <c:v>83</c:v>
                </c:pt>
                <c:pt idx="979">
                  <c:v>93.9</c:v>
                </c:pt>
                <c:pt idx="980">
                  <c:v>91.4</c:v>
                </c:pt>
                <c:pt idx="981">
                  <c:v>79.7</c:v>
                </c:pt>
                <c:pt idx="982">
                  <c:v>77.7</c:v>
                </c:pt>
                <c:pt idx="983">
                  <c:v>85</c:v>
                </c:pt>
                <c:pt idx="984">
                  <c:v>75.400000000000006</c:v>
                </c:pt>
                <c:pt idx="985">
                  <c:v>96.4</c:v>
                </c:pt>
                <c:pt idx="986">
                  <c:v>81.8</c:v>
                </c:pt>
                <c:pt idx="987">
                  <c:v>85.8</c:v>
                </c:pt>
                <c:pt idx="988">
                  <c:v>80.900000000000006</c:v>
                </c:pt>
                <c:pt idx="989">
                  <c:v>93.9</c:v>
                </c:pt>
                <c:pt idx="990">
                  <c:v>81.900000000000006</c:v>
                </c:pt>
                <c:pt idx="991">
                  <c:v>80.400000000000006</c:v>
                </c:pt>
                <c:pt idx="992">
                  <c:v>78.8</c:v>
                </c:pt>
                <c:pt idx="993">
                  <c:v>92.7</c:v>
                </c:pt>
                <c:pt idx="994">
                  <c:v>79.099999999999994</c:v>
                </c:pt>
                <c:pt idx="995">
                  <c:v>70.7</c:v>
                </c:pt>
                <c:pt idx="996">
                  <c:v>99.5</c:v>
                </c:pt>
                <c:pt idx="997">
                  <c:v>79.2</c:v>
                </c:pt>
                <c:pt idx="998">
                  <c:v>82.2</c:v>
                </c:pt>
                <c:pt idx="999">
                  <c:v>70.400000000000006</c:v>
                </c:pt>
              </c:numCache>
            </c:numRef>
          </c:yVal>
          <c:smooth val="0"/>
          <c:extLst>
            <c:ext xmlns:c16="http://schemas.microsoft.com/office/drawing/2014/chart" uri="{C3380CC4-5D6E-409C-BE32-E72D297353CC}">
              <c16:uniqueId val="{00000001-135B-4EE1-87BB-5B226A0F7B72}"/>
            </c:ext>
          </c:extLst>
        </c:ser>
        <c:dLbls>
          <c:showLegendKey val="0"/>
          <c:showVal val="0"/>
          <c:showCatName val="0"/>
          <c:showSerName val="0"/>
          <c:showPercent val="0"/>
          <c:showBubbleSize val="0"/>
        </c:dLbls>
        <c:axId val="1529925263"/>
        <c:axId val="932220783"/>
      </c:scatterChart>
      <c:valAx>
        <c:axId val="1529925263"/>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sz="1800"/>
                  <a:t>Study Time (Hours)</a:t>
                </a:r>
              </a:p>
            </c:rich>
          </c:tx>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932220783"/>
        <c:crosses val="autoZero"/>
        <c:crossBetween val="midCat"/>
      </c:valAx>
      <c:valAx>
        <c:axId val="932220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sz="1800"/>
                  <a:t>Final Exam Score</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5299252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[Student Performance Analysis.xlsx]04_Pivot_Analysis!Piinternt</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2400" b="0" i="0" u="none" strike="noStrike" kern="1200" spc="0" baseline="0">
                <a:ln>
                  <a:noFill/>
                </a:ln>
                <a:solidFill>
                  <a:sysClr val="windowText" lastClr="000000"/>
                </a:solidFill>
              </a:rPr>
              <a:t>Average Final Exam Score by </a:t>
            </a:r>
            <a:r>
              <a:rPr lang="en-US" sz="2400" b="1" i="0" u="none" strike="noStrike" baseline="0"/>
              <a:t>Internet Access</a:t>
            </a:r>
            <a:endParaRPr lang="en-US" sz="2400" b="0" i="0" u="none" strike="noStrike" kern="1200" spc="0" baseline="0">
              <a:ln>
                <a:noFill/>
              </a:ln>
              <a:solidFill>
                <a:sysClr val="windowText" lastClr="000000"/>
              </a:solidFill>
            </a:endParaRPr>
          </a:p>
        </c:rich>
      </c:tx>
      <c:layout>
        <c:manualLayout>
          <c:xMode val="edge"/>
          <c:yMode val="edge"/>
          <c:x val="0.11834056427299351"/>
          <c:y val="2.352946988907182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'04_Pivot_Analysis'!$B$8</c:f>
              <c:strCache>
                <c:ptCount val="1"/>
                <c:pt idx="0">
                  <c:v>Total</c:v>
                </c:pt>
              </c:strCache>
            </c:strRef>
          </c:tx>
          <c:spPr>
            <a:solidFill>
              <a:schemeClr val="dk1">
                <a:tint val="88500"/>
              </a:schemeClr>
            </a:solidFill>
            <a:ln w="19050">
              <a:solidFill>
                <a:schemeClr val="lt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'04_Pivot_Analysis'!$A$9:$A$11</c:f>
              <c:strCache>
                <c:ptCount val="2"/>
                <c:pt idx="0">
                  <c:v>No</c:v>
                </c:pt>
                <c:pt idx="1">
                  <c:v>Yes</c:v>
                </c:pt>
              </c:strCache>
            </c:strRef>
          </c:cat>
          <c:val>
            <c:numRef>
              <c:f>'04_Pivot_Analysis'!$B$9:$B$11</c:f>
              <c:numCache>
                <c:formatCode>0.00</c:formatCode>
                <c:ptCount val="2"/>
                <c:pt idx="0">
                  <c:v>79.2582191780822</c:v>
                </c:pt>
                <c:pt idx="1">
                  <c:v>84.276112412178023</c:v>
                </c:pt>
              </c:numCache>
            </c:numRef>
          </c:val>
          <c:extLst>
            <c:ext xmlns:c16="http://schemas.microsoft.com/office/drawing/2014/chart" uri="{C3380CC4-5D6E-409C-BE32-E72D297353CC}">
              <c16:uniqueId val="{00000000-F433-487A-9C1B-168603F6EB24}"/>
            </c:ext>
          </c:extLst>
        </c:ser>
        <c:dLbls>
          <c:dLblPos val="outEnd"/>
          <c:showLegendKey val="0"/>
          <c:showVal val="1"/>
          <c:showCatName val="0"/>
          <c:showSerName val="0"/>
          <c:showPercent val="0"/>
          <c:showBubbleSize val="0"/>
        </c:dLbls>
        <c:gapWidth val="150"/>
        <c:axId val="1141629247"/>
        <c:axId val="134111983"/>
      </c:barChart>
      <c:valAx>
        <c:axId val="13411198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629247"/>
        <c:crosses val="autoZero"/>
        <c:crossBetween val="between"/>
      </c:valAx>
      <c:catAx>
        <c:axId val="1141629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41119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Previous</a:t>
            </a:r>
            <a:r>
              <a:rPr lang="ar-SA" sz="2400" b="1" baseline="0">
                <a:solidFill>
                  <a:sysClr val="windowText" lastClr="000000"/>
                </a:solidFill>
              </a:rPr>
              <a:t> </a:t>
            </a:r>
            <a:r>
              <a:rPr lang="en-US" sz="2400" b="1" baseline="0">
                <a:solidFill>
                  <a:sysClr val="windowText" lastClr="000000"/>
                </a:solidFill>
              </a:rPr>
              <a:t>G</a:t>
            </a:r>
            <a:r>
              <a:rPr lang="en-US" sz="2400" b="1">
                <a:solidFill>
                  <a:sysClr val="windowText" lastClr="000000"/>
                </a:solidFill>
              </a:rPr>
              <a:t>rade &amp; </a:t>
            </a:r>
            <a:r>
              <a:rPr lang="en-US" sz="2400" b="1" i="0" u="none" strike="noStrike" kern="1200" spc="0" baseline="0">
                <a:solidFill>
                  <a:sysClr val="windowText" lastClr="000000"/>
                </a:solidFill>
              </a:rPr>
              <a:t>Final Score</a:t>
            </a:r>
            <a:endParaRPr lang="en-US" sz="2400" b="1">
              <a:solidFill>
                <a:sysClr val="windowText" lastClr="000000"/>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546621551219605E-2"/>
          <c:y val="0.16171153490949391"/>
          <c:w val="0.89076028985902922"/>
          <c:h val="0.70576091306489352"/>
        </c:manualLayout>
      </c:layout>
      <c:scatterChart>
        <c:scatterStyle val="lineMarker"/>
        <c:varyColors val="0"/>
        <c:ser>
          <c:idx val="0"/>
          <c:order val="0"/>
          <c:tx>
            <c:strRef>
              <c:f>'03_Clean_Data_Analysis'!$K$1</c:f>
              <c:strCache>
                <c:ptCount val="1"/>
                <c:pt idx="0">
                  <c:v>final_exam_score</c:v>
                </c:pt>
              </c:strCache>
            </c:strRef>
          </c:tx>
          <c:spPr>
            <a:ln w="38100" cap="rnd">
              <a:noFill/>
              <a:round/>
            </a:ln>
            <a:effectLst/>
          </c:spPr>
          <c:marker>
            <c:symbol val="circle"/>
            <c:size val="5"/>
            <c:spPr>
              <a:solidFill>
                <a:schemeClr val="dk1">
                  <a:tint val="88500"/>
                </a:schemeClr>
              </a:solidFill>
              <a:ln w="9525">
                <a:solidFill>
                  <a:schemeClr val="dk1">
                    <a:tint val="88500"/>
                  </a:schemeClr>
                </a:solidFill>
              </a:ln>
              <a:effectLst/>
            </c:spPr>
          </c:marker>
          <c:trendline>
            <c:spPr>
              <a:ln w="19050" cap="rnd">
                <a:solidFill>
                  <a:schemeClr val="dk1">
                    <a:tint val="88500"/>
                  </a:schemeClr>
                </a:solidFill>
                <a:prstDash val="sysDot"/>
              </a:ln>
              <a:effectLst/>
            </c:spPr>
            <c:trendlineType val="linear"/>
            <c:dispRSqr val="0"/>
            <c:dispEq val="0"/>
          </c:trendline>
          <c:xVal>
            <c:numRef>
              <c:f>'03_Clean_Data_Analysis'!$J$2:$J$1001</c:f>
              <c:numCache>
                <c:formatCode>General</c:formatCode>
                <c:ptCount val="1000"/>
                <c:pt idx="0">
                  <c:v>76.900000000000006</c:v>
                </c:pt>
                <c:pt idx="1">
                  <c:v>75.5</c:v>
                </c:pt>
                <c:pt idx="2">
                  <c:v>88.5</c:v>
                </c:pt>
                <c:pt idx="3">
                  <c:v>85.1</c:v>
                </c:pt>
                <c:pt idx="4">
                  <c:v>61.8</c:v>
                </c:pt>
                <c:pt idx="5">
                  <c:v>79.8</c:v>
                </c:pt>
                <c:pt idx="6">
                  <c:v>58.6</c:v>
                </c:pt>
                <c:pt idx="7">
                  <c:v>78.400000000000006</c:v>
                </c:pt>
                <c:pt idx="8">
                  <c:v>63.8</c:v>
                </c:pt>
                <c:pt idx="9">
                  <c:v>57.7</c:v>
                </c:pt>
                <c:pt idx="10">
                  <c:v>73.400000000000006</c:v>
                </c:pt>
                <c:pt idx="11">
                  <c:v>37.9</c:v>
                </c:pt>
                <c:pt idx="12">
                  <c:v>49</c:v>
                </c:pt>
                <c:pt idx="13">
                  <c:v>67.900000000000006</c:v>
                </c:pt>
                <c:pt idx="14">
                  <c:v>71</c:v>
                </c:pt>
                <c:pt idx="15">
                  <c:v>65.599999999999994</c:v>
                </c:pt>
                <c:pt idx="16">
                  <c:v>51</c:v>
                </c:pt>
                <c:pt idx="17">
                  <c:v>60.2</c:v>
                </c:pt>
                <c:pt idx="18">
                  <c:v>74.7</c:v>
                </c:pt>
                <c:pt idx="19">
                  <c:v>77</c:v>
                </c:pt>
                <c:pt idx="20">
                  <c:v>69.8</c:v>
                </c:pt>
                <c:pt idx="21">
                  <c:v>83.9</c:v>
                </c:pt>
                <c:pt idx="22">
                  <c:v>74.8</c:v>
                </c:pt>
                <c:pt idx="23">
                  <c:v>61</c:v>
                </c:pt>
                <c:pt idx="24">
                  <c:v>66.599999999999994</c:v>
                </c:pt>
                <c:pt idx="25">
                  <c:v>53.2</c:v>
                </c:pt>
                <c:pt idx="26">
                  <c:v>68.7</c:v>
                </c:pt>
                <c:pt idx="27">
                  <c:v>83.3</c:v>
                </c:pt>
                <c:pt idx="28">
                  <c:v>78.2</c:v>
                </c:pt>
                <c:pt idx="29">
                  <c:v>86.8</c:v>
                </c:pt>
                <c:pt idx="30">
                  <c:v>66.400000000000006</c:v>
                </c:pt>
                <c:pt idx="31">
                  <c:v>86.2</c:v>
                </c:pt>
                <c:pt idx="32">
                  <c:v>67.7</c:v>
                </c:pt>
                <c:pt idx="33">
                  <c:v>87.7</c:v>
                </c:pt>
                <c:pt idx="34">
                  <c:v>69.7</c:v>
                </c:pt>
                <c:pt idx="35">
                  <c:v>78.5</c:v>
                </c:pt>
                <c:pt idx="36">
                  <c:v>87.7</c:v>
                </c:pt>
                <c:pt idx="37">
                  <c:v>67.7</c:v>
                </c:pt>
                <c:pt idx="38">
                  <c:v>72.599999999999994</c:v>
                </c:pt>
                <c:pt idx="39">
                  <c:v>85.5</c:v>
                </c:pt>
                <c:pt idx="40">
                  <c:v>68.400000000000006</c:v>
                </c:pt>
                <c:pt idx="41">
                  <c:v>54.1</c:v>
                </c:pt>
                <c:pt idx="42">
                  <c:v>95.7</c:v>
                </c:pt>
                <c:pt idx="43">
                  <c:v>64.400000000000006</c:v>
                </c:pt>
                <c:pt idx="44">
                  <c:v>71.900000000000006</c:v>
                </c:pt>
                <c:pt idx="45">
                  <c:v>83.9</c:v>
                </c:pt>
                <c:pt idx="46">
                  <c:v>62.7</c:v>
                </c:pt>
                <c:pt idx="47">
                  <c:v>57.9</c:v>
                </c:pt>
                <c:pt idx="48">
                  <c:v>73</c:v>
                </c:pt>
                <c:pt idx="49">
                  <c:v>48.5</c:v>
                </c:pt>
                <c:pt idx="50">
                  <c:v>66.5</c:v>
                </c:pt>
                <c:pt idx="51">
                  <c:v>72.900000000000006</c:v>
                </c:pt>
                <c:pt idx="52">
                  <c:v>66.8</c:v>
                </c:pt>
                <c:pt idx="53">
                  <c:v>51.5</c:v>
                </c:pt>
                <c:pt idx="54">
                  <c:v>89.1</c:v>
                </c:pt>
                <c:pt idx="55">
                  <c:v>71.2</c:v>
                </c:pt>
                <c:pt idx="56">
                  <c:v>87.2</c:v>
                </c:pt>
                <c:pt idx="57">
                  <c:v>66.900000000000006</c:v>
                </c:pt>
                <c:pt idx="58">
                  <c:v>59.4</c:v>
                </c:pt>
                <c:pt idx="59">
                  <c:v>73.2</c:v>
                </c:pt>
                <c:pt idx="60">
                  <c:v>67.400000000000006</c:v>
                </c:pt>
                <c:pt idx="61">
                  <c:v>55.9</c:v>
                </c:pt>
                <c:pt idx="62">
                  <c:v>87.6</c:v>
                </c:pt>
                <c:pt idx="63">
                  <c:v>62.5</c:v>
                </c:pt>
                <c:pt idx="64">
                  <c:v>47.9</c:v>
                </c:pt>
                <c:pt idx="65">
                  <c:v>85.9</c:v>
                </c:pt>
                <c:pt idx="66">
                  <c:v>63.9</c:v>
                </c:pt>
                <c:pt idx="67">
                  <c:v>62.7</c:v>
                </c:pt>
                <c:pt idx="68">
                  <c:v>48.8</c:v>
                </c:pt>
                <c:pt idx="69">
                  <c:v>90.9</c:v>
                </c:pt>
                <c:pt idx="70">
                  <c:v>54.5</c:v>
                </c:pt>
                <c:pt idx="71">
                  <c:v>70.7</c:v>
                </c:pt>
                <c:pt idx="72">
                  <c:v>81</c:v>
                </c:pt>
                <c:pt idx="73">
                  <c:v>75.099999999999994</c:v>
                </c:pt>
                <c:pt idx="74">
                  <c:v>69.3</c:v>
                </c:pt>
                <c:pt idx="75">
                  <c:v>49.6</c:v>
                </c:pt>
                <c:pt idx="76">
                  <c:v>60.3</c:v>
                </c:pt>
                <c:pt idx="77">
                  <c:v>72.3</c:v>
                </c:pt>
                <c:pt idx="78">
                  <c:v>60.6</c:v>
                </c:pt>
                <c:pt idx="79">
                  <c:v>72.400000000000006</c:v>
                </c:pt>
                <c:pt idx="80">
                  <c:v>78.2</c:v>
                </c:pt>
                <c:pt idx="81">
                  <c:v>81.599999999999994</c:v>
                </c:pt>
                <c:pt idx="82">
                  <c:v>55.3</c:v>
                </c:pt>
                <c:pt idx="83">
                  <c:v>96.4</c:v>
                </c:pt>
                <c:pt idx="84">
                  <c:v>79.2</c:v>
                </c:pt>
                <c:pt idx="85">
                  <c:v>70</c:v>
                </c:pt>
                <c:pt idx="86">
                  <c:v>83.1</c:v>
                </c:pt>
                <c:pt idx="87">
                  <c:v>98.4</c:v>
                </c:pt>
                <c:pt idx="88">
                  <c:v>52.7</c:v>
                </c:pt>
                <c:pt idx="89">
                  <c:v>67.3</c:v>
                </c:pt>
                <c:pt idx="90">
                  <c:v>41.5</c:v>
                </c:pt>
                <c:pt idx="91">
                  <c:v>72.3</c:v>
                </c:pt>
                <c:pt idx="92">
                  <c:v>74.400000000000006</c:v>
                </c:pt>
                <c:pt idx="93">
                  <c:v>69.5</c:v>
                </c:pt>
                <c:pt idx="94">
                  <c:v>62.1</c:v>
                </c:pt>
                <c:pt idx="95">
                  <c:v>45.4</c:v>
                </c:pt>
                <c:pt idx="96">
                  <c:v>74.5</c:v>
                </c:pt>
                <c:pt idx="97">
                  <c:v>87.5</c:v>
                </c:pt>
                <c:pt idx="98">
                  <c:v>62.9</c:v>
                </c:pt>
                <c:pt idx="99">
                  <c:v>75.3</c:v>
                </c:pt>
                <c:pt idx="100">
                  <c:v>51.2</c:v>
                </c:pt>
                <c:pt idx="101">
                  <c:v>75.5</c:v>
                </c:pt>
                <c:pt idx="102">
                  <c:v>65.3</c:v>
                </c:pt>
                <c:pt idx="103">
                  <c:v>60.9</c:v>
                </c:pt>
                <c:pt idx="104">
                  <c:v>60.9</c:v>
                </c:pt>
                <c:pt idx="105">
                  <c:v>65.3</c:v>
                </c:pt>
                <c:pt idx="106">
                  <c:v>74.599999999999994</c:v>
                </c:pt>
                <c:pt idx="107">
                  <c:v>54.3</c:v>
                </c:pt>
                <c:pt idx="108">
                  <c:v>65.2</c:v>
                </c:pt>
                <c:pt idx="109">
                  <c:v>69.5</c:v>
                </c:pt>
                <c:pt idx="110">
                  <c:v>56.8</c:v>
                </c:pt>
                <c:pt idx="111">
                  <c:v>91.6</c:v>
                </c:pt>
                <c:pt idx="112">
                  <c:v>59.8</c:v>
                </c:pt>
                <c:pt idx="113">
                  <c:v>62</c:v>
                </c:pt>
                <c:pt idx="114">
                  <c:v>58.3</c:v>
                </c:pt>
                <c:pt idx="115">
                  <c:v>91.6</c:v>
                </c:pt>
                <c:pt idx="116">
                  <c:v>76.599999999999994</c:v>
                </c:pt>
                <c:pt idx="117">
                  <c:v>58.8</c:v>
                </c:pt>
                <c:pt idx="118">
                  <c:v>83.3</c:v>
                </c:pt>
                <c:pt idx="119">
                  <c:v>72.400000000000006</c:v>
                </c:pt>
                <c:pt idx="120">
                  <c:v>73.099999999999994</c:v>
                </c:pt>
                <c:pt idx="121">
                  <c:v>65.900000000000006</c:v>
                </c:pt>
                <c:pt idx="122">
                  <c:v>61</c:v>
                </c:pt>
                <c:pt idx="123">
                  <c:v>74.099999999999994</c:v>
                </c:pt>
                <c:pt idx="124">
                  <c:v>63.5</c:v>
                </c:pt>
                <c:pt idx="125">
                  <c:v>91.8</c:v>
                </c:pt>
                <c:pt idx="126">
                  <c:v>54.8</c:v>
                </c:pt>
                <c:pt idx="127">
                  <c:v>88.4</c:v>
                </c:pt>
                <c:pt idx="128">
                  <c:v>68.7</c:v>
                </c:pt>
                <c:pt idx="129">
                  <c:v>73.599999999999994</c:v>
                </c:pt>
                <c:pt idx="130">
                  <c:v>80</c:v>
                </c:pt>
                <c:pt idx="131">
                  <c:v>62.4</c:v>
                </c:pt>
                <c:pt idx="132">
                  <c:v>80.400000000000006</c:v>
                </c:pt>
                <c:pt idx="133">
                  <c:v>37.5</c:v>
                </c:pt>
                <c:pt idx="134">
                  <c:v>61.4</c:v>
                </c:pt>
                <c:pt idx="135">
                  <c:v>58.9</c:v>
                </c:pt>
                <c:pt idx="136">
                  <c:v>55</c:v>
                </c:pt>
                <c:pt idx="137">
                  <c:v>67.400000000000006</c:v>
                </c:pt>
                <c:pt idx="138">
                  <c:v>74.599999999999994</c:v>
                </c:pt>
                <c:pt idx="139">
                  <c:v>78.400000000000006</c:v>
                </c:pt>
                <c:pt idx="140">
                  <c:v>72.900000000000006</c:v>
                </c:pt>
                <c:pt idx="141">
                  <c:v>62</c:v>
                </c:pt>
                <c:pt idx="142">
                  <c:v>74.400000000000006</c:v>
                </c:pt>
                <c:pt idx="143">
                  <c:v>71.5</c:v>
                </c:pt>
                <c:pt idx="144">
                  <c:v>81.2</c:v>
                </c:pt>
                <c:pt idx="145">
                  <c:v>79.3</c:v>
                </c:pt>
                <c:pt idx="146">
                  <c:v>70.400000000000006</c:v>
                </c:pt>
                <c:pt idx="147">
                  <c:v>59.2</c:v>
                </c:pt>
                <c:pt idx="148">
                  <c:v>62.2</c:v>
                </c:pt>
                <c:pt idx="149">
                  <c:v>63.4</c:v>
                </c:pt>
                <c:pt idx="150">
                  <c:v>66.2</c:v>
                </c:pt>
                <c:pt idx="151">
                  <c:v>73.2</c:v>
                </c:pt>
                <c:pt idx="152">
                  <c:v>78.599999999999994</c:v>
                </c:pt>
                <c:pt idx="153">
                  <c:v>69.400000000000006</c:v>
                </c:pt>
                <c:pt idx="154">
                  <c:v>70.2</c:v>
                </c:pt>
                <c:pt idx="155">
                  <c:v>71.7</c:v>
                </c:pt>
                <c:pt idx="156">
                  <c:v>63.8</c:v>
                </c:pt>
                <c:pt idx="157">
                  <c:v>58.9</c:v>
                </c:pt>
                <c:pt idx="158">
                  <c:v>48.9</c:v>
                </c:pt>
                <c:pt idx="159">
                  <c:v>61.7</c:v>
                </c:pt>
                <c:pt idx="160">
                  <c:v>75.7</c:v>
                </c:pt>
                <c:pt idx="161">
                  <c:v>61.6</c:v>
                </c:pt>
                <c:pt idx="162">
                  <c:v>67.099999999999994</c:v>
                </c:pt>
                <c:pt idx="163">
                  <c:v>75.599999999999994</c:v>
                </c:pt>
                <c:pt idx="164">
                  <c:v>76.2</c:v>
                </c:pt>
                <c:pt idx="165">
                  <c:v>57</c:v>
                </c:pt>
                <c:pt idx="166">
                  <c:v>82</c:v>
                </c:pt>
                <c:pt idx="167">
                  <c:v>83.5</c:v>
                </c:pt>
                <c:pt idx="168">
                  <c:v>56.4</c:v>
                </c:pt>
                <c:pt idx="169">
                  <c:v>60.1</c:v>
                </c:pt>
                <c:pt idx="170">
                  <c:v>84.3</c:v>
                </c:pt>
                <c:pt idx="171">
                  <c:v>68.2</c:v>
                </c:pt>
                <c:pt idx="172">
                  <c:v>43.4</c:v>
                </c:pt>
                <c:pt idx="173">
                  <c:v>53.2</c:v>
                </c:pt>
                <c:pt idx="174">
                  <c:v>67</c:v>
                </c:pt>
                <c:pt idx="175">
                  <c:v>56</c:v>
                </c:pt>
                <c:pt idx="176">
                  <c:v>65</c:v>
                </c:pt>
                <c:pt idx="177">
                  <c:v>70.400000000000006</c:v>
                </c:pt>
                <c:pt idx="178">
                  <c:v>87.5</c:v>
                </c:pt>
                <c:pt idx="179">
                  <c:v>66.5</c:v>
                </c:pt>
                <c:pt idx="180">
                  <c:v>82.9</c:v>
                </c:pt>
                <c:pt idx="181">
                  <c:v>87.1</c:v>
                </c:pt>
                <c:pt idx="182">
                  <c:v>87.2</c:v>
                </c:pt>
                <c:pt idx="183">
                  <c:v>73.400000000000006</c:v>
                </c:pt>
                <c:pt idx="184">
                  <c:v>46.4</c:v>
                </c:pt>
                <c:pt idx="185">
                  <c:v>75.5</c:v>
                </c:pt>
                <c:pt idx="186">
                  <c:v>82.6</c:v>
                </c:pt>
                <c:pt idx="187">
                  <c:v>69</c:v>
                </c:pt>
                <c:pt idx="188">
                  <c:v>90.9</c:v>
                </c:pt>
                <c:pt idx="189">
                  <c:v>80.3</c:v>
                </c:pt>
                <c:pt idx="190">
                  <c:v>76.8</c:v>
                </c:pt>
                <c:pt idx="191">
                  <c:v>83</c:v>
                </c:pt>
                <c:pt idx="192">
                  <c:v>74</c:v>
                </c:pt>
                <c:pt idx="193">
                  <c:v>40.1</c:v>
                </c:pt>
                <c:pt idx="194">
                  <c:v>64</c:v>
                </c:pt>
                <c:pt idx="195">
                  <c:v>84.4</c:v>
                </c:pt>
                <c:pt idx="196">
                  <c:v>60.3</c:v>
                </c:pt>
                <c:pt idx="197">
                  <c:v>67.3</c:v>
                </c:pt>
                <c:pt idx="198">
                  <c:v>57.5</c:v>
                </c:pt>
                <c:pt idx="199">
                  <c:v>91.4</c:v>
                </c:pt>
                <c:pt idx="200">
                  <c:v>90.2</c:v>
                </c:pt>
                <c:pt idx="201">
                  <c:v>59.4</c:v>
                </c:pt>
                <c:pt idx="202">
                  <c:v>71.8</c:v>
                </c:pt>
                <c:pt idx="203">
                  <c:v>61.8</c:v>
                </c:pt>
                <c:pt idx="204">
                  <c:v>77.400000000000006</c:v>
                </c:pt>
                <c:pt idx="205">
                  <c:v>76.099999999999994</c:v>
                </c:pt>
                <c:pt idx="206">
                  <c:v>79.7</c:v>
                </c:pt>
                <c:pt idx="207">
                  <c:v>74</c:v>
                </c:pt>
                <c:pt idx="208">
                  <c:v>100</c:v>
                </c:pt>
                <c:pt idx="209">
                  <c:v>57.7</c:v>
                </c:pt>
                <c:pt idx="210">
                  <c:v>49.5</c:v>
                </c:pt>
                <c:pt idx="211">
                  <c:v>65.3</c:v>
                </c:pt>
                <c:pt idx="212">
                  <c:v>51.2</c:v>
                </c:pt>
                <c:pt idx="213">
                  <c:v>52.1</c:v>
                </c:pt>
                <c:pt idx="214">
                  <c:v>58</c:v>
                </c:pt>
                <c:pt idx="215">
                  <c:v>58.9</c:v>
                </c:pt>
                <c:pt idx="216">
                  <c:v>58.5</c:v>
                </c:pt>
                <c:pt idx="217">
                  <c:v>76.2</c:v>
                </c:pt>
                <c:pt idx="218">
                  <c:v>63.9</c:v>
                </c:pt>
                <c:pt idx="219">
                  <c:v>67.8</c:v>
                </c:pt>
                <c:pt idx="220">
                  <c:v>80.7</c:v>
                </c:pt>
                <c:pt idx="221">
                  <c:v>60.8</c:v>
                </c:pt>
                <c:pt idx="222">
                  <c:v>66.8</c:v>
                </c:pt>
                <c:pt idx="223">
                  <c:v>74.400000000000006</c:v>
                </c:pt>
                <c:pt idx="224">
                  <c:v>46.7</c:v>
                </c:pt>
                <c:pt idx="225">
                  <c:v>41.4</c:v>
                </c:pt>
                <c:pt idx="226">
                  <c:v>74.2</c:v>
                </c:pt>
                <c:pt idx="227">
                  <c:v>75.900000000000006</c:v>
                </c:pt>
                <c:pt idx="228">
                  <c:v>94.8</c:v>
                </c:pt>
                <c:pt idx="229">
                  <c:v>71.900000000000006</c:v>
                </c:pt>
                <c:pt idx="230">
                  <c:v>79.8</c:v>
                </c:pt>
                <c:pt idx="231">
                  <c:v>67.7</c:v>
                </c:pt>
                <c:pt idx="232">
                  <c:v>73.599999999999994</c:v>
                </c:pt>
                <c:pt idx="233">
                  <c:v>90</c:v>
                </c:pt>
                <c:pt idx="234">
                  <c:v>44.5</c:v>
                </c:pt>
                <c:pt idx="235">
                  <c:v>75</c:v>
                </c:pt>
                <c:pt idx="236">
                  <c:v>95.6</c:v>
                </c:pt>
                <c:pt idx="237">
                  <c:v>73.400000000000006</c:v>
                </c:pt>
                <c:pt idx="238">
                  <c:v>89.8</c:v>
                </c:pt>
                <c:pt idx="239">
                  <c:v>62.4</c:v>
                </c:pt>
                <c:pt idx="240">
                  <c:v>69.599999999999994</c:v>
                </c:pt>
                <c:pt idx="241">
                  <c:v>70.400000000000006</c:v>
                </c:pt>
                <c:pt idx="242">
                  <c:v>43.4</c:v>
                </c:pt>
                <c:pt idx="243">
                  <c:v>56</c:v>
                </c:pt>
                <c:pt idx="244">
                  <c:v>56.8</c:v>
                </c:pt>
                <c:pt idx="245">
                  <c:v>79.900000000000006</c:v>
                </c:pt>
                <c:pt idx="246">
                  <c:v>80.5</c:v>
                </c:pt>
                <c:pt idx="247">
                  <c:v>73.900000000000006</c:v>
                </c:pt>
                <c:pt idx="248">
                  <c:v>79.900000000000006</c:v>
                </c:pt>
                <c:pt idx="249">
                  <c:v>68</c:v>
                </c:pt>
                <c:pt idx="250">
                  <c:v>84.4</c:v>
                </c:pt>
                <c:pt idx="251">
                  <c:v>70.099999999999994</c:v>
                </c:pt>
                <c:pt idx="252">
                  <c:v>70.7</c:v>
                </c:pt>
                <c:pt idx="253">
                  <c:v>66.8</c:v>
                </c:pt>
                <c:pt idx="254">
                  <c:v>78.2</c:v>
                </c:pt>
                <c:pt idx="255">
                  <c:v>64.900000000000006</c:v>
                </c:pt>
                <c:pt idx="256">
                  <c:v>81.7</c:v>
                </c:pt>
                <c:pt idx="257">
                  <c:v>56.4</c:v>
                </c:pt>
                <c:pt idx="258">
                  <c:v>56.8</c:v>
                </c:pt>
                <c:pt idx="259">
                  <c:v>78.2</c:v>
                </c:pt>
                <c:pt idx="260">
                  <c:v>68.900000000000006</c:v>
                </c:pt>
                <c:pt idx="261">
                  <c:v>64.599999999999994</c:v>
                </c:pt>
                <c:pt idx="262">
                  <c:v>80.7</c:v>
                </c:pt>
                <c:pt idx="263">
                  <c:v>62.7</c:v>
                </c:pt>
                <c:pt idx="264">
                  <c:v>67.599999999999994</c:v>
                </c:pt>
                <c:pt idx="265">
                  <c:v>86.8</c:v>
                </c:pt>
                <c:pt idx="266">
                  <c:v>88.5</c:v>
                </c:pt>
                <c:pt idx="267">
                  <c:v>88.9</c:v>
                </c:pt>
                <c:pt idx="268">
                  <c:v>66.599999999999994</c:v>
                </c:pt>
                <c:pt idx="269">
                  <c:v>84.8</c:v>
                </c:pt>
                <c:pt idx="270">
                  <c:v>58.6</c:v>
                </c:pt>
                <c:pt idx="271">
                  <c:v>59.1</c:v>
                </c:pt>
                <c:pt idx="272">
                  <c:v>41.8</c:v>
                </c:pt>
                <c:pt idx="273">
                  <c:v>90.1</c:v>
                </c:pt>
                <c:pt idx="274">
                  <c:v>59.6</c:v>
                </c:pt>
                <c:pt idx="275">
                  <c:v>68.5</c:v>
                </c:pt>
                <c:pt idx="276">
                  <c:v>59.1</c:v>
                </c:pt>
                <c:pt idx="277">
                  <c:v>78.3</c:v>
                </c:pt>
                <c:pt idx="278">
                  <c:v>65.5</c:v>
                </c:pt>
                <c:pt idx="279">
                  <c:v>54.3</c:v>
                </c:pt>
                <c:pt idx="280">
                  <c:v>75.3</c:v>
                </c:pt>
                <c:pt idx="281">
                  <c:v>52.8</c:v>
                </c:pt>
                <c:pt idx="282">
                  <c:v>60</c:v>
                </c:pt>
                <c:pt idx="283">
                  <c:v>44.7</c:v>
                </c:pt>
                <c:pt idx="284">
                  <c:v>52.9</c:v>
                </c:pt>
                <c:pt idx="285">
                  <c:v>72.099999999999994</c:v>
                </c:pt>
                <c:pt idx="286">
                  <c:v>46.4</c:v>
                </c:pt>
                <c:pt idx="287">
                  <c:v>52.2</c:v>
                </c:pt>
                <c:pt idx="288">
                  <c:v>70</c:v>
                </c:pt>
                <c:pt idx="289">
                  <c:v>63.5</c:v>
                </c:pt>
                <c:pt idx="290">
                  <c:v>93.9</c:v>
                </c:pt>
                <c:pt idx="291">
                  <c:v>92</c:v>
                </c:pt>
                <c:pt idx="292">
                  <c:v>59.6</c:v>
                </c:pt>
                <c:pt idx="293">
                  <c:v>76.7</c:v>
                </c:pt>
                <c:pt idx="294">
                  <c:v>79</c:v>
                </c:pt>
                <c:pt idx="295">
                  <c:v>62.8</c:v>
                </c:pt>
                <c:pt idx="296">
                  <c:v>52.1</c:v>
                </c:pt>
                <c:pt idx="297">
                  <c:v>69.900000000000006</c:v>
                </c:pt>
                <c:pt idx="298">
                  <c:v>67.900000000000006</c:v>
                </c:pt>
                <c:pt idx="299">
                  <c:v>64.8</c:v>
                </c:pt>
                <c:pt idx="300">
                  <c:v>75.3</c:v>
                </c:pt>
                <c:pt idx="301">
                  <c:v>61</c:v>
                </c:pt>
                <c:pt idx="302">
                  <c:v>56.2</c:v>
                </c:pt>
                <c:pt idx="303">
                  <c:v>71.3</c:v>
                </c:pt>
                <c:pt idx="304">
                  <c:v>74.599999999999994</c:v>
                </c:pt>
                <c:pt idx="305">
                  <c:v>55.9</c:v>
                </c:pt>
                <c:pt idx="306">
                  <c:v>81.099999999999994</c:v>
                </c:pt>
                <c:pt idx="307">
                  <c:v>48.8</c:v>
                </c:pt>
                <c:pt idx="308">
                  <c:v>63.1</c:v>
                </c:pt>
                <c:pt idx="309">
                  <c:v>66.900000000000006</c:v>
                </c:pt>
                <c:pt idx="310">
                  <c:v>62.4</c:v>
                </c:pt>
                <c:pt idx="311">
                  <c:v>63.2</c:v>
                </c:pt>
                <c:pt idx="312">
                  <c:v>92.5</c:v>
                </c:pt>
                <c:pt idx="313">
                  <c:v>59.8</c:v>
                </c:pt>
                <c:pt idx="314">
                  <c:v>99.3</c:v>
                </c:pt>
                <c:pt idx="315">
                  <c:v>75.2</c:v>
                </c:pt>
                <c:pt idx="316">
                  <c:v>71.099999999999994</c:v>
                </c:pt>
                <c:pt idx="317">
                  <c:v>75.7</c:v>
                </c:pt>
                <c:pt idx="318">
                  <c:v>100</c:v>
                </c:pt>
                <c:pt idx="319">
                  <c:v>58.1</c:v>
                </c:pt>
                <c:pt idx="320">
                  <c:v>56.6</c:v>
                </c:pt>
                <c:pt idx="321">
                  <c:v>60.9</c:v>
                </c:pt>
                <c:pt idx="322">
                  <c:v>70.400000000000006</c:v>
                </c:pt>
                <c:pt idx="323">
                  <c:v>49.3</c:v>
                </c:pt>
                <c:pt idx="324">
                  <c:v>70.3</c:v>
                </c:pt>
                <c:pt idx="325">
                  <c:v>90.3</c:v>
                </c:pt>
                <c:pt idx="326">
                  <c:v>71.8</c:v>
                </c:pt>
                <c:pt idx="327">
                  <c:v>66.5</c:v>
                </c:pt>
                <c:pt idx="328">
                  <c:v>62.6</c:v>
                </c:pt>
                <c:pt idx="329">
                  <c:v>80.8</c:v>
                </c:pt>
                <c:pt idx="330">
                  <c:v>60.1</c:v>
                </c:pt>
                <c:pt idx="331">
                  <c:v>92.2</c:v>
                </c:pt>
                <c:pt idx="332">
                  <c:v>93.2</c:v>
                </c:pt>
                <c:pt idx="333">
                  <c:v>73.099999999999994</c:v>
                </c:pt>
                <c:pt idx="334">
                  <c:v>69.900000000000006</c:v>
                </c:pt>
                <c:pt idx="335">
                  <c:v>82.4</c:v>
                </c:pt>
                <c:pt idx="336">
                  <c:v>83.1</c:v>
                </c:pt>
                <c:pt idx="337">
                  <c:v>60.3</c:v>
                </c:pt>
                <c:pt idx="338">
                  <c:v>63.7</c:v>
                </c:pt>
                <c:pt idx="339">
                  <c:v>54.1</c:v>
                </c:pt>
                <c:pt idx="340">
                  <c:v>74.900000000000006</c:v>
                </c:pt>
                <c:pt idx="341">
                  <c:v>78</c:v>
                </c:pt>
                <c:pt idx="342">
                  <c:v>53.8</c:v>
                </c:pt>
                <c:pt idx="343">
                  <c:v>64.5</c:v>
                </c:pt>
                <c:pt idx="344">
                  <c:v>53.8</c:v>
                </c:pt>
                <c:pt idx="345">
                  <c:v>59.2</c:v>
                </c:pt>
                <c:pt idx="346">
                  <c:v>76.599999999999994</c:v>
                </c:pt>
                <c:pt idx="347">
                  <c:v>61.2</c:v>
                </c:pt>
                <c:pt idx="348">
                  <c:v>66.400000000000006</c:v>
                </c:pt>
                <c:pt idx="349">
                  <c:v>50.5</c:v>
                </c:pt>
                <c:pt idx="350">
                  <c:v>72.2</c:v>
                </c:pt>
                <c:pt idx="351">
                  <c:v>69.5</c:v>
                </c:pt>
                <c:pt idx="352">
                  <c:v>61.3</c:v>
                </c:pt>
                <c:pt idx="353">
                  <c:v>67.7</c:v>
                </c:pt>
                <c:pt idx="354">
                  <c:v>72.2</c:v>
                </c:pt>
                <c:pt idx="355">
                  <c:v>60.2</c:v>
                </c:pt>
                <c:pt idx="356">
                  <c:v>52.3</c:v>
                </c:pt>
                <c:pt idx="357">
                  <c:v>91.7</c:v>
                </c:pt>
                <c:pt idx="358">
                  <c:v>62.4</c:v>
                </c:pt>
                <c:pt idx="359">
                  <c:v>68.8</c:v>
                </c:pt>
                <c:pt idx="360">
                  <c:v>82.1</c:v>
                </c:pt>
                <c:pt idx="361">
                  <c:v>100</c:v>
                </c:pt>
                <c:pt idx="362">
                  <c:v>55.1</c:v>
                </c:pt>
                <c:pt idx="363">
                  <c:v>75.400000000000006</c:v>
                </c:pt>
                <c:pt idx="364">
                  <c:v>61.5</c:v>
                </c:pt>
                <c:pt idx="365">
                  <c:v>63.5</c:v>
                </c:pt>
                <c:pt idx="366">
                  <c:v>61.4</c:v>
                </c:pt>
                <c:pt idx="367">
                  <c:v>56.5</c:v>
                </c:pt>
                <c:pt idx="368">
                  <c:v>69.5</c:v>
                </c:pt>
                <c:pt idx="369">
                  <c:v>52.3</c:v>
                </c:pt>
                <c:pt idx="370">
                  <c:v>81.400000000000006</c:v>
                </c:pt>
                <c:pt idx="371">
                  <c:v>70.7</c:v>
                </c:pt>
                <c:pt idx="372">
                  <c:v>75.099999999999994</c:v>
                </c:pt>
                <c:pt idx="373">
                  <c:v>64.400000000000006</c:v>
                </c:pt>
                <c:pt idx="374">
                  <c:v>65.599999999999994</c:v>
                </c:pt>
                <c:pt idx="375">
                  <c:v>73.5</c:v>
                </c:pt>
                <c:pt idx="376">
                  <c:v>56</c:v>
                </c:pt>
                <c:pt idx="377">
                  <c:v>65.7</c:v>
                </c:pt>
                <c:pt idx="378">
                  <c:v>59.7</c:v>
                </c:pt>
                <c:pt idx="379">
                  <c:v>59.3</c:v>
                </c:pt>
                <c:pt idx="380">
                  <c:v>44.7</c:v>
                </c:pt>
                <c:pt idx="381">
                  <c:v>86.1</c:v>
                </c:pt>
                <c:pt idx="382">
                  <c:v>61.8</c:v>
                </c:pt>
                <c:pt idx="383">
                  <c:v>84</c:v>
                </c:pt>
                <c:pt idx="384">
                  <c:v>82.8</c:v>
                </c:pt>
                <c:pt idx="385">
                  <c:v>54.6</c:v>
                </c:pt>
                <c:pt idx="386">
                  <c:v>56.9</c:v>
                </c:pt>
                <c:pt idx="387">
                  <c:v>100</c:v>
                </c:pt>
                <c:pt idx="388">
                  <c:v>91</c:v>
                </c:pt>
                <c:pt idx="389">
                  <c:v>69.599999999999994</c:v>
                </c:pt>
                <c:pt idx="390">
                  <c:v>73.099999999999994</c:v>
                </c:pt>
                <c:pt idx="391">
                  <c:v>62.4</c:v>
                </c:pt>
                <c:pt idx="392">
                  <c:v>75.2</c:v>
                </c:pt>
                <c:pt idx="393">
                  <c:v>61.4</c:v>
                </c:pt>
                <c:pt idx="394">
                  <c:v>45.6</c:v>
                </c:pt>
                <c:pt idx="395">
                  <c:v>54.1</c:v>
                </c:pt>
                <c:pt idx="396">
                  <c:v>70.3</c:v>
                </c:pt>
                <c:pt idx="397">
                  <c:v>56.4</c:v>
                </c:pt>
                <c:pt idx="398">
                  <c:v>69.2</c:v>
                </c:pt>
                <c:pt idx="399">
                  <c:v>57.1</c:v>
                </c:pt>
                <c:pt idx="400">
                  <c:v>60.6</c:v>
                </c:pt>
                <c:pt idx="401">
                  <c:v>80.2</c:v>
                </c:pt>
                <c:pt idx="402">
                  <c:v>73</c:v>
                </c:pt>
                <c:pt idx="403">
                  <c:v>69.900000000000006</c:v>
                </c:pt>
                <c:pt idx="404">
                  <c:v>80.5</c:v>
                </c:pt>
                <c:pt idx="405">
                  <c:v>75.8</c:v>
                </c:pt>
                <c:pt idx="406">
                  <c:v>87.4</c:v>
                </c:pt>
                <c:pt idx="407">
                  <c:v>64.5</c:v>
                </c:pt>
                <c:pt idx="408">
                  <c:v>64.8</c:v>
                </c:pt>
                <c:pt idx="409">
                  <c:v>54.4</c:v>
                </c:pt>
                <c:pt idx="410">
                  <c:v>64.900000000000006</c:v>
                </c:pt>
                <c:pt idx="411">
                  <c:v>81.599999999999994</c:v>
                </c:pt>
                <c:pt idx="412">
                  <c:v>85.6</c:v>
                </c:pt>
                <c:pt idx="413">
                  <c:v>81.5</c:v>
                </c:pt>
                <c:pt idx="414">
                  <c:v>48.5</c:v>
                </c:pt>
                <c:pt idx="415">
                  <c:v>83</c:v>
                </c:pt>
                <c:pt idx="416">
                  <c:v>47.9</c:v>
                </c:pt>
                <c:pt idx="417">
                  <c:v>80.8</c:v>
                </c:pt>
                <c:pt idx="418">
                  <c:v>65.599999999999994</c:v>
                </c:pt>
                <c:pt idx="419">
                  <c:v>78.400000000000006</c:v>
                </c:pt>
                <c:pt idx="420">
                  <c:v>54</c:v>
                </c:pt>
                <c:pt idx="421">
                  <c:v>84.1</c:v>
                </c:pt>
                <c:pt idx="422">
                  <c:v>52.4</c:v>
                </c:pt>
                <c:pt idx="423">
                  <c:v>62</c:v>
                </c:pt>
                <c:pt idx="424">
                  <c:v>58</c:v>
                </c:pt>
                <c:pt idx="425">
                  <c:v>48.9</c:v>
                </c:pt>
                <c:pt idx="426">
                  <c:v>71.099999999999994</c:v>
                </c:pt>
                <c:pt idx="427">
                  <c:v>91.7</c:v>
                </c:pt>
                <c:pt idx="428">
                  <c:v>100</c:v>
                </c:pt>
                <c:pt idx="429">
                  <c:v>71.2</c:v>
                </c:pt>
                <c:pt idx="430">
                  <c:v>83.4</c:v>
                </c:pt>
                <c:pt idx="431">
                  <c:v>72.8</c:v>
                </c:pt>
                <c:pt idx="432">
                  <c:v>76</c:v>
                </c:pt>
                <c:pt idx="433">
                  <c:v>65.900000000000006</c:v>
                </c:pt>
                <c:pt idx="434">
                  <c:v>72.3</c:v>
                </c:pt>
                <c:pt idx="435">
                  <c:v>76.400000000000006</c:v>
                </c:pt>
                <c:pt idx="436">
                  <c:v>63.1</c:v>
                </c:pt>
                <c:pt idx="437">
                  <c:v>69.099999999999994</c:v>
                </c:pt>
                <c:pt idx="438">
                  <c:v>69.3</c:v>
                </c:pt>
                <c:pt idx="439">
                  <c:v>79.900000000000006</c:v>
                </c:pt>
                <c:pt idx="440">
                  <c:v>57.2</c:v>
                </c:pt>
                <c:pt idx="441">
                  <c:v>69.400000000000006</c:v>
                </c:pt>
                <c:pt idx="442">
                  <c:v>92.9</c:v>
                </c:pt>
                <c:pt idx="443">
                  <c:v>84</c:v>
                </c:pt>
                <c:pt idx="444">
                  <c:v>86.2</c:v>
                </c:pt>
                <c:pt idx="445">
                  <c:v>70.3</c:v>
                </c:pt>
                <c:pt idx="446">
                  <c:v>73.900000000000006</c:v>
                </c:pt>
                <c:pt idx="447">
                  <c:v>82</c:v>
                </c:pt>
                <c:pt idx="448">
                  <c:v>88.7</c:v>
                </c:pt>
                <c:pt idx="449">
                  <c:v>46.6</c:v>
                </c:pt>
                <c:pt idx="450">
                  <c:v>54.2</c:v>
                </c:pt>
                <c:pt idx="451">
                  <c:v>85.7</c:v>
                </c:pt>
                <c:pt idx="452">
                  <c:v>66.7</c:v>
                </c:pt>
                <c:pt idx="453">
                  <c:v>61.9</c:v>
                </c:pt>
                <c:pt idx="454">
                  <c:v>55</c:v>
                </c:pt>
                <c:pt idx="455">
                  <c:v>63.3</c:v>
                </c:pt>
                <c:pt idx="456">
                  <c:v>53.2</c:v>
                </c:pt>
                <c:pt idx="457">
                  <c:v>95.1</c:v>
                </c:pt>
                <c:pt idx="458">
                  <c:v>69.7</c:v>
                </c:pt>
                <c:pt idx="459">
                  <c:v>69.3</c:v>
                </c:pt>
                <c:pt idx="460">
                  <c:v>77.099999999999994</c:v>
                </c:pt>
                <c:pt idx="461">
                  <c:v>81.5</c:v>
                </c:pt>
                <c:pt idx="462">
                  <c:v>81.400000000000006</c:v>
                </c:pt>
                <c:pt idx="463">
                  <c:v>82.9</c:v>
                </c:pt>
                <c:pt idx="464">
                  <c:v>62.4</c:v>
                </c:pt>
                <c:pt idx="465">
                  <c:v>66.400000000000006</c:v>
                </c:pt>
                <c:pt idx="466">
                  <c:v>79.2</c:v>
                </c:pt>
                <c:pt idx="467">
                  <c:v>63.7</c:v>
                </c:pt>
                <c:pt idx="468">
                  <c:v>69.900000000000006</c:v>
                </c:pt>
                <c:pt idx="469">
                  <c:v>74.8</c:v>
                </c:pt>
                <c:pt idx="470">
                  <c:v>79.400000000000006</c:v>
                </c:pt>
                <c:pt idx="471">
                  <c:v>48.7</c:v>
                </c:pt>
                <c:pt idx="472">
                  <c:v>78.599999999999994</c:v>
                </c:pt>
                <c:pt idx="473">
                  <c:v>67.2</c:v>
                </c:pt>
                <c:pt idx="474">
                  <c:v>78.5</c:v>
                </c:pt>
                <c:pt idx="475">
                  <c:v>79.3</c:v>
                </c:pt>
                <c:pt idx="476">
                  <c:v>89.3</c:v>
                </c:pt>
                <c:pt idx="477">
                  <c:v>86.2</c:v>
                </c:pt>
                <c:pt idx="478">
                  <c:v>86.2</c:v>
                </c:pt>
                <c:pt idx="479">
                  <c:v>87.3</c:v>
                </c:pt>
                <c:pt idx="480">
                  <c:v>73.5</c:v>
                </c:pt>
                <c:pt idx="481">
                  <c:v>70.400000000000006</c:v>
                </c:pt>
                <c:pt idx="482">
                  <c:v>80.5</c:v>
                </c:pt>
                <c:pt idx="483">
                  <c:v>78.8</c:v>
                </c:pt>
                <c:pt idx="484">
                  <c:v>66.3</c:v>
                </c:pt>
                <c:pt idx="485">
                  <c:v>74.900000000000006</c:v>
                </c:pt>
                <c:pt idx="486">
                  <c:v>69.599999999999994</c:v>
                </c:pt>
                <c:pt idx="487">
                  <c:v>59.8</c:v>
                </c:pt>
                <c:pt idx="488">
                  <c:v>85.5</c:v>
                </c:pt>
                <c:pt idx="489">
                  <c:v>70.7</c:v>
                </c:pt>
                <c:pt idx="490">
                  <c:v>94.6</c:v>
                </c:pt>
                <c:pt idx="491">
                  <c:v>50.5</c:v>
                </c:pt>
                <c:pt idx="492">
                  <c:v>63.3</c:v>
                </c:pt>
                <c:pt idx="493">
                  <c:v>70.400000000000006</c:v>
                </c:pt>
                <c:pt idx="494">
                  <c:v>83.6</c:v>
                </c:pt>
                <c:pt idx="495">
                  <c:v>74.8</c:v>
                </c:pt>
                <c:pt idx="496">
                  <c:v>73.7</c:v>
                </c:pt>
                <c:pt idx="497">
                  <c:v>56.5</c:v>
                </c:pt>
                <c:pt idx="498">
                  <c:v>56.1</c:v>
                </c:pt>
                <c:pt idx="499">
                  <c:v>73.900000000000006</c:v>
                </c:pt>
                <c:pt idx="500">
                  <c:v>53.6</c:v>
                </c:pt>
                <c:pt idx="501">
                  <c:v>63.6</c:v>
                </c:pt>
                <c:pt idx="502">
                  <c:v>76</c:v>
                </c:pt>
                <c:pt idx="503">
                  <c:v>58.2</c:v>
                </c:pt>
                <c:pt idx="504">
                  <c:v>89.3</c:v>
                </c:pt>
                <c:pt idx="505">
                  <c:v>84.7</c:v>
                </c:pt>
                <c:pt idx="506">
                  <c:v>51.1</c:v>
                </c:pt>
                <c:pt idx="507">
                  <c:v>58.8</c:v>
                </c:pt>
                <c:pt idx="508">
                  <c:v>42.6</c:v>
                </c:pt>
                <c:pt idx="509">
                  <c:v>60.6</c:v>
                </c:pt>
                <c:pt idx="510">
                  <c:v>79.2</c:v>
                </c:pt>
                <c:pt idx="511">
                  <c:v>65</c:v>
                </c:pt>
                <c:pt idx="512">
                  <c:v>75.5</c:v>
                </c:pt>
                <c:pt idx="513">
                  <c:v>51.7</c:v>
                </c:pt>
                <c:pt idx="514">
                  <c:v>79.599999999999994</c:v>
                </c:pt>
                <c:pt idx="515">
                  <c:v>63.3</c:v>
                </c:pt>
                <c:pt idx="516">
                  <c:v>70.099999999999994</c:v>
                </c:pt>
                <c:pt idx="517">
                  <c:v>68.900000000000006</c:v>
                </c:pt>
                <c:pt idx="518">
                  <c:v>54.7</c:v>
                </c:pt>
                <c:pt idx="519">
                  <c:v>56.2</c:v>
                </c:pt>
                <c:pt idx="520">
                  <c:v>81.599999999999994</c:v>
                </c:pt>
                <c:pt idx="521">
                  <c:v>74.8</c:v>
                </c:pt>
                <c:pt idx="522">
                  <c:v>82.6</c:v>
                </c:pt>
                <c:pt idx="523">
                  <c:v>73.900000000000006</c:v>
                </c:pt>
                <c:pt idx="524">
                  <c:v>71.7</c:v>
                </c:pt>
                <c:pt idx="525">
                  <c:v>49.3</c:v>
                </c:pt>
                <c:pt idx="526">
                  <c:v>66.8</c:v>
                </c:pt>
                <c:pt idx="527">
                  <c:v>69.7</c:v>
                </c:pt>
                <c:pt idx="528">
                  <c:v>93.4</c:v>
                </c:pt>
                <c:pt idx="529">
                  <c:v>78.2</c:v>
                </c:pt>
                <c:pt idx="530">
                  <c:v>88.4</c:v>
                </c:pt>
                <c:pt idx="531">
                  <c:v>77.2</c:v>
                </c:pt>
                <c:pt idx="532">
                  <c:v>61.5</c:v>
                </c:pt>
                <c:pt idx="533">
                  <c:v>71.400000000000006</c:v>
                </c:pt>
                <c:pt idx="534">
                  <c:v>72.8</c:v>
                </c:pt>
                <c:pt idx="535">
                  <c:v>58.7</c:v>
                </c:pt>
                <c:pt idx="536">
                  <c:v>65.400000000000006</c:v>
                </c:pt>
                <c:pt idx="537">
                  <c:v>67.5</c:v>
                </c:pt>
                <c:pt idx="538">
                  <c:v>89.3</c:v>
                </c:pt>
                <c:pt idx="539">
                  <c:v>45</c:v>
                </c:pt>
                <c:pt idx="540">
                  <c:v>84.5</c:v>
                </c:pt>
                <c:pt idx="541">
                  <c:v>58.8</c:v>
                </c:pt>
                <c:pt idx="542">
                  <c:v>53.5</c:v>
                </c:pt>
                <c:pt idx="543">
                  <c:v>84.2</c:v>
                </c:pt>
                <c:pt idx="544">
                  <c:v>78.8</c:v>
                </c:pt>
                <c:pt idx="545">
                  <c:v>85.1</c:v>
                </c:pt>
                <c:pt idx="546">
                  <c:v>79.599999999999994</c:v>
                </c:pt>
                <c:pt idx="547">
                  <c:v>94.7</c:v>
                </c:pt>
                <c:pt idx="548">
                  <c:v>76.7</c:v>
                </c:pt>
                <c:pt idx="549">
                  <c:v>68.099999999999994</c:v>
                </c:pt>
                <c:pt idx="550">
                  <c:v>74.099999999999994</c:v>
                </c:pt>
                <c:pt idx="551">
                  <c:v>84.9</c:v>
                </c:pt>
                <c:pt idx="552">
                  <c:v>60.6</c:v>
                </c:pt>
                <c:pt idx="553">
                  <c:v>62.2</c:v>
                </c:pt>
                <c:pt idx="554">
                  <c:v>66.3</c:v>
                </c:pt>
                <c:pt idx="555">
                  <c:v>44.7</c:v>
                </c:pt>
                <c:pt idx="556">
                  <c:v>71.7</c:v>
                </c:pt>
                <c:pt idx="557">
                  <c:v>47.4</c:v>
                </c:pt>
                <c:pt idx="558">
                  <c:v>70.599999999999994</c:v>
                </c:pt>
                <c:pt idx="559">
                  <c:v>80.400000000000006</c:v>
                </c:pt>
                <c:pt idx="560">
                  <c:v>64.3</c:v>
                </c:pt>
                <c:pt idx="561">
                  <c:v>90.1</c:v>
                </c:pt>
                <c:pt idx="562">
                  <c:v>52.5</c:v>
                </c:pt>
                <c:pt idx="563">
                  <c:v>84.3</c:v>
                </c:pt>
                <c:pt idx="564">
                  <c:v>78.099999999999994</c:v>
                </c:pt>
                <c:pt idx="565">
                  <c:v>49.4</c:v>
                </c:pt>
                <c:pt idx="566">
                  <c:v>100</c:v>
                </c:pt>
                <c:pt idx="567">
                  <c:v>69.2</c:v>
                </c:pt>
                <c:pt idx="568">
                  <c:v>59.5</c:v>
                </c:pt>
                <c:pt idx="569">
                  <c:v>53.1</c:v>
                </c:pt>
                <c:pt idx="570">
                  <c:v>67.400000000000006</c:v>
                </c:pt>
                <c:pt idx="571">
                  <c:v>68.5</c:v>
                </c:pt>
                <c:pt idx="572">
                  <c:v>71.2</c:v>
                </c:pt>
                <c:pt idx="573">
                  <c:v>66.400000000000006</c:v>
                </c:pt>
                <c:pt idx="574">
                  <c:v>77.599999999999994</c:v>
                </c:pt>
                <c:pt idx="575">
                  <c:v>65.3</c:v>
                </c:pt>
                <c:pt idx="576">
                  <c:v>46.8</c:v>
                </c:pt>
                <c:pt idx="577">
                  <c:v>68.2</c:v>
                </c:pt>
                <c:pt idx="578">
                  <c:v>41.6</c:v>
                </c:pt>
                <c:pt idx="579">
                  <c:v>74.2</c:v>
                </c:pt>
                <c:pt idx="580">
                  <c:v>58.2</c:v>
                </c:pt>
                <c:pt idx="581">
                  <c:v>72</c:v>
                </c:pt>
                <c:pt idx="582">
                  <c:v>85.8</c:v>
                </c:pt>
                <c:pt idx="583">
                  <c:v>58.6</c:v>
                </c:pt>
                <c:pt idx="584">
                  <c:v>82.7</c:v>
                </c:pt>
                <c:pt idx="585">
                  <c:v>64.8</c:v>
                </c:pt>
                <c:pt idx="586">
                  <c:v>91</c:v>
                </c:pt>
                <c:pt idx="587">
                  <c:v>65.599999999999994</c:v>
                </c:pt>
                <c:pt idx="588">
                  <c:v>59.9</c:v>
                </c:pt>
                <c:pt idx="589">
                  <c:v>78.2</c:v>
                </c:pt>
                <c:pt idx="590">
                  <c:v>64.8</c:v>
                </c:pt>
                <c:pt idx="591">
                  <c:v>59.9</c:v>
                </c:pt>
                <c:pt idx="592">
                  <c:v>64.3</c:v>
                </c:pt>
                <c:pt idx="593">
                  <c:v>69.5</c:v>
                </c:pt>
                <c:pt idx="594">
                  <c:v>86.1</c:v>
                </c:pt>
                <c:pt idx="595">
                  <c:v>46.8</c:v>
                </c:pt>
                <c:pt idx="596">
                  <c:v>70.3</c:v>
                </c:pt>
                <c:pt idx="597">
                  <c:v>77.5</c:v>
                </c:pt>
                <c:pt idx="598">
                  <c:v>72.3</c:v>
                </c:pt>
                <c:pt idx="599">
                  <c:v>85.7</c:v>
                </c:pt>
                <c:pt idx="600">
                  <c:v>69.099999999999994</c:v>
                </c:pt>
                <c:pt idx="601">
                  <c:v>67.8</c:v>
                </c:pt>
                <c:pt idx="602">
                  <c:v>77.099999999999994</c:v>
                </c:pt>
                <c:pt idx="603">
                  <c:v>71.2</c:v>
                </c:pt>
                <c:pt idx="604">
                  <c:v>65.3</c:v>
                </c:pt>
                <c:pt idx="605">
                  <c:v>76.2</c:v>
                </c:pt>
                <c:pt idx="606">
                  <c:v>62.2</c:v>
                </c:pt>
                <c:pt idx="607">
                  <c:v>62.7</c:v>
                </c:pt>
                <c:pt idx="608">
                  <c:v>63.7</c:v>
                </c:pt>
                <c:pt idx="609">
                  <c:v>86.2</c:v>
                </c:pt>
                <c:pt idx="610">
                  <c:v>31.3</c:v>
                </c:pt>
                <c:pt idx="611">
                  <c:v>74.7</c:v>
                </c:pt>
                <c:pt idx="612">
                  <c:v>70.400000000000006</c:v>
                </c:pt>
                <c:pt idx="613">
                  <c:v>49.8</c:v>
                </c:pt>
                <c:pt idx="614">
                  <c:v>73.7</c:v>
                </c:pt>
                <c:pt idx="615">
                  <c:v>75.7</c:v>
                </c:pt>
                <c:pt idx="616">
                  <c:v>77.099999999999994</c:v>
                </c:pt>
                <c:pt idx="617">
                  <c:v>38.200000000000003</c:v>
                </c:pt>
                <c:pt idx="618">
                  <c:v>86.4</c:v>
                </c:pt>
                <c:pt idx="619">
                  <c:v>61.1</c:v>
                </c:pt>
                <c:pt idx="620">
                  <c:v>78.2</c:v>
                </c:pt>
                <c:pt idx="621">
                  <c:v>78.900000000000006</c:v>
                </c:pt>
                <c:pt idx="622">
                  <c:v>59.5</c:v>
                </c:pt>
                <c:pt idx="623">
                  <c:v>77.900000000000006</c:v>
                </c:pt>
                <c:pt idx="624">
                  <c:v>65.400000000000006</c:v>
                </c:pt>
                <c:pt idx="625">
                  <c:v>45.1</c:v>
                </c:pt>
                <c:pt idx="626">
                  <c:v>84</c:v>
                </c:pt>
                <c:pt idx="627">
                  <c:v>60.7</c:v>
                </c:pt>
                <c:pt idx="628">
                  <c:v>59.7</c:v>
                </c:pt>
                <c:pt idx="629">
                  <c:v>65.2</c:v>
                </c:pt>
                <c:pt idx="630">
                  <c:v>73.3</c:v>
                </c:pt>
                <c:pt idx="631">
                  <c:v>69.3</c:v>
                </c:pt>
                <c:pt idx="632">
                  <c:v>76.599999999999994</c:v>
                </c:pt>
                <c:pt idx="633">
                  <c:v>53.9</c:v>
                </c:pt>
                <c:pt idx="634">
                  <c:v>61.1</c:v>
                </c:pt>
                <c:pt idx="635">
                  <c:v>68.599999999999994</c:v>
                </c:pt>
                <c:pt idx="636">
                  <c:v>92.8</c:v>
                </c:pt>
                <c:pt idx="637">
                  <c:v>68.599999999999994</c:v>
                </c:pt>
                <c:pt idx="638">
                  <c:v>83</c:v>
                </c:pt>
                <c:pt idx="639">
                  <c:v>70.5</c:v>
                </c:pt>
                <c:pt idx="640">
                  <c:v>64.2</c:v>
                </c:pt>
                <c:pt idx="641">
                  <c:v>67</c:v>
                </c:pt>
                <c:pt idx="642">
                  <c:v>68</c:v>
                </c:pt>
                <c:pt idx="643">
                  <c:v>77.2</c:v>
                </c:pt>
                <c:pt idx="644">
                  <c:v>86.5</c:v>
                </c:pt>
                <c:pt idx="645">
                  <c:v>74.3</c:v>
                </c:pt>
                <c:pt idx="646">
                  <c:v>84.2</c:v>
                </c:pt>
                <c:pt idx="647">
                  <c:v>58.4</c:v>
                </c:pt>
                <c:pt idx="648">
                  <c:v>65</c:v>
                </c:pt>
                <c:pt idx="649">
                  <c:v>61.3</c:v>
                </c:pt>
                <c:pt idx="650">
                  <c:v>73.8</c:v>
                </c:pt>
                <c:pt idx="651">
                  <c:v>65.7</c:v>
                </c:pt>
                <c:pt idx="652">
                  <c:v>78.8</c:v>
                </c:pt>
                <c:pt idx="653">
                  <c:v>58.8</c:v>
                </c:pt>
                <c:pt idx="654">
                  <c:v>70.5</c:v>
                </c:pt>
                <c:pt idx="655">
                  <c:v>78.2</c:v>
                </c:pt>
                <c:pt idx="656">
                  <c:v>45.2</c:v>
                </c:pt>
                <c:pt idx="657">
                  <c:v>95.5</c:v>
                </c:pt>
                <c:pt idx="658">
                  <c:v>66.599999999999994</c:v>
                </c:pt>
                <c:pt idx="659">
                  <c:v>45.7</c:v>
                </c:pt>
                <c:pt idx="660">
                  <c:v>71.900000000000006</c:v>
                </c:pt>
                <c:pt idx="661">
                  <c:v>70.400000000000006</c:v>
                </c:pt>
                <c:pt idx="662">
                  <c:v>69</c:v>
                </c:pt>
                <c:pt idx="663">
                  <c:v>81.900000000000006</c:v>
                </c:pt>
                <c:pt idx="664">
                  <c:v>79</c:v>
                </c:pt>
                <c:pt idx="665">
                  <c:v>73.599999999999994</c:v>
                </c:pt>
                <c:pt idx="666">
                  <c:v>75.400000000000006</c:v>
                </c:pt>
                <c:pt idx="667">
                  <c:v>68.7</c:v>
                </c:pt>
                <c:pt idx="668">
                  <c:v>91.3</c:v>
                </c:pt>
                <c:pt idx="669">
                  <c:v>52.2</c:v>
                </c:pt>
                <c:pt idx="670">
                  <c:v>71.7</c:v>
                </c:pt>
                <c:pt idx="671">
                  <c:v>70.8</c:v>
                </c:pt>
                <c:pt idx="672">
                  <c:v>79.8</c:v>
                </c:pt>
                <c:pt idx="673">
                  <c:v>59.9</c:v>
                </c:pt>
                <c:pt idx="674">
                  <c:v>49.1</c:v>
                </c:pt>
                <c:pt idx="675">
                  <c:v>71.900000000000006</c:v>
                </c:pt>
                <c:pt idx="676">
                  <c:v>73.400000000000006</c:v>
                </c:pt>
                <c:pt idx="677">
                  <c:v>87.9</c:v>
                </c:pt>
                <c:pt idx="678">
                  <c:v>54.8</c:v>
                </c:pt>
                <c:pt idx="679">
                  <c:v>83.9</c:v>
                </c:pt>
                <c:pt idx="680">
                  <c:v>98.4</c:v>
                </c:pt>
                <c:pt idx="681">
                  <c:v>65.5</c:v>
                </c:pt>
                <c:pt idx="682">
                  <c:v>54.5</c:v>
                </c:pt>
                <c:pt idx="683">
                  <c:v>65.099999999999994</c:v>
                </c:pt>
                <c:pt idx="684">
                  <c:v>70.2</c:v>
                </c:pt>
                <c:pt idx="685">
                  <c:v>76.8</c:v>
                </c:pt>
                <c:pt idx="686">
                  <c:v>62.9</c:v>
                </c:pt>
                <c:pt idx="687">
                  <c:v>88.7</c:v>
                </c:pt>
                <c:pt idx="688">
                  <c:v>56.6</c:v>
                </c:pt>
                <c:pt idx="689">
                  <c:v>49.1</c:v>
                </c:pt>
                <c:pt idx="690">
                  <c:v>83.3</c:v>
                </c:pt>
                <c:pt idx="691">
                  <c:v>42.7</c:v>
                </c:pt>
                <c:pt idx="692">
                  <c:v>67.599999999999994</c:v>
                </c:pt>
                <c:pt idx="693">
                  <c:v>100</c:v>
                </c:pt>
                <c:pt idx="694">
                  <c:v>69.900000000000006</c:v>
                </c:pt>
                <c:pt idx="695">
                  <c:v>56.6</c:v>
                </c:pt>
                <c:pt idx="696">
                  <c:v>69.3</c:v>
                </c:pt>
                <c:pt idx="697">
                  <c:v>69.400000000000006</c:v>
                </c:pt>
                <c:pt idx="698">
                  <c:v>71.900000000000006</c:v>
                </c:pt>
                <c:pt idx="699">
                  <c:v>77.900000000000006</c:v>
                </c:pt>
                <c:pt idx="700">
                  <c:v>57.5</c:v>
                </c:pt>
                <c:pt idx="701">
                  <c:v>90.3</c:v>
                </c:pt>
                <c:pt idx="702">
                  <c:v>72.900000000000006</c:v>
                </c:pt>
                <c:pt idx="703">
                  <c:v>78.7</c:v>
                </c:pt>
                <c:pt idx="704">
                  <c:v>62.5</c:v>
                </c:pt>
                <c:pt idx="705">
                  <c:v>85.4</c:v>
                </c:pt>
                <c:pt idx="706">
                  <c:v>66.900000000000006</c:v>
                </c:pt>
                <c:pt idx="707">
                  <c:v>73.3</c:v>
                </c:pt>
                <c:pt idx="708">
                  <c:v>58.8</c:v>
                </c:pt>
                <c:pt idx="709">
                  <c:v>58</c:v>
                </c:pt>
                <c:pt idx="710">
                  <c:v>78.3</c:v>
                </c:pt>
                <c:pt idx="711">
                  <c:v>64.7</c:v>
                </c:pt>
                <c:pt idx="712">
                  <c:v>59.8</c:v>
                </c:pt>
                <c:pt idx="713">
                  <c:v>62.3</c:v>
                </c:pt>
                <c:pt idx="714">
                  <c:v>78.400000000000006</c:v>
                </c:pt>
                <c:pt idx="715">
                  <c:v>62.5</c:v>
                </c:pt>
                <c:pt idx="716">
                  <c:v>68.599999999999994</c:v>
                </c:pt>
                <c:pt idx="717">
                  <c:v>70.2</c:v>
                </c:pt>
                <c:pt idx="718">
                  <c:v>47</c:v>
                </c:pt>
                <c:pt idx="719">
                  <c:v>52.3</c:v>
                </c:pt>
                <c:pt idx="720">
                  <c:v>74</c:v>
                </c:pt>
                <c:pt idx="721">
                  <c:v>61.2</c:v>
                </c:pt>
                <c:pt idx="722">
                  <c:v>82.7</c:v>
                </c:pt>
                <c:pt idx="723">
                  <c:v>81.599999999999994</c:v>
                </c:pt>
                <c:pt idx="724">
                  <c:v>78.599999999999994</c:v>
                </c:pt>
                <c:pt idx="725">
                  <c:v>91.8</c:v>
                </c:pt>
                <c:pt idx="726">
                  <c:v>69</c:v>
                </c:pt>
                <c:pt idx="727">
                  <c:v>77.8</c:v>
                </c:pt>
                <c:pt idx="728">
                  <c:v>63</c:v>
                </c:pt>
                <c:pt idx="729">
                  <c:v>99.4</c:v>
                </c:pt>
                <c:pt idx="730">
                  <c:v>93.8</c:v>
                </c:pt>
                <c:pt idx="731">
                  <c:v>70.099999999999994</c:v>
                </c:pt>
                <c:pt idx="732">
                  <c:v>74.599999999999994</c:v>
                </c:pt>
                <c:pt idx="733">
                  <c:v>86.3</c:v>
                </c:pt>
                <c:pt idx="734">
                  <c:v>68.2</c:v>
                </c:pt>
                <c:pt idx="735">
                  <c:v>62.1</c:v>
                </c:pt>
                <c:pt idx="736">
                  <c:v>80.5</c:v>
                </c:pt>
                <c:pt idx="737">
                  <c:v>70.900000000000006</c:v>
                </c:pt>
                <c:pt idx="738">
                  <c:v>72.2</c:v>
                </c:pt>
                <c:pt idx="739">
                  <c:v>60</c:v>
                </c:pt>
                <c:pt idx="740">
                  <c:v>49.4</c:v>
                </c:pt>
                <c:pt idx="741">
                  <c:v>72.8</c:v>
                </c:pt>
                <c:pt idx="742">
                  <c:v>80.900000000000006</c:v>
                </c:pt>
                <c:pt idx="743">
                  <c:v>67.3</c:v>
                </c:pt>
                <c:pt idx="744">
                  <c:v>87.2</c:v>
                </c:pt>
                <c:pt idx="745">
                  <c:v>61.6</c:v>
                </c:pt>
                <c:pt idx="746">
                  <c:v>57.3</c:v>
                </c:pt>
                <c:pt idx="747">
                  <c:v>69.2</c:v>
                </c:pt>
                <c:pt idx="748">
                  <c:v>69</c:v>
                </c:pt>
                <c:pt idx="749">
                  <c:v>79.2</c:v>
                </c:pt>
                <c:pt idx="750">
                  <c:v>60.7</c:v>
                </c:pt>
                <c:pt idx="751">
                  <c:v>86.4</c:v>
                </c:pt>
                <c:pt idx="752">
                  <c:v>93.6</c:v>
                </c:pt>
                <c:pt idx="753">
                  <c:v>69.5</c:v>
                </c:pt>
                <c:pt idx="754">
                  <c:v>85</c:v>
                </c:pt>
                <c:pt idx="755">
                  <c:v>57.3</c:v>
                </c:pt>
                <c:pt idx="756">
                  <c:v>82.9</c:v>
                </c:pt>
                <c:pt idx="757">
                  <c:v>82.6</c:v>
                </c:pt>
                <c:pt idx="758">
                  <c:v>80.400000000000006</c:v>
                </c:pt>
                <c:pt idx="759">
                  <c:v>69.8</c:v>
                </c:pt>
                <c:pt idx="760">
                  <c:v>34.5</c:v>
                </c:pt>
                <c:pt idx="761">
                  <c:v>62.3</c:v>
                </c:pt>
                <c:pt idx="762">
                  <c:v>62.5</c:v>
                </c:pt>
                <c:pt idx="763">
                  <c:v>58.3</c:v>
                </c:pt>
                <c:pt idx="764">
                  <c:v>71.5</c:v>
                </c:pt>
                <c:pt idx="765">
                  <c:v>65</c:v>
                </c:pt>
                <c:pt idx="766">
                  <c:v>60.1</c:v>
                </c:pt>
                <c:pt idx="767">
                  <c:v>57.3</c:v>
                </c:pt>
                <c:pt idx="768">
                  <c:v>61.4</c:v>
                </c:pt>
                <c:pt idx="769">
                  <c:v>83.5</c:v>
                </c:pt>
                <c:pt idx="770">
                  <c:v>62.1</c:v>
                </c:pt>
                <c:pt idx="771">
                  <c:v>63.8</c:v>
                </c:pt>
                <c:pt idx="772">
                  <c:v>64.5</c:v>
                </c:pt>
                <c:pt idx="773">
                  <c:v>74.099999999999994</c:v>
                </c:pt>
                <c:pt idx="774">
                  <c:v>75.5</c:v>
                </c:pt>
                <c:pt idx="775">
                  <c:v>33.5</c:v>
                </c:pt>
                <c:pt idx="776">
                  <c:v>82.3</c:v>
                </c:pt>
                <c:pt idx="777">
                  <c:v>87.2</c:v>
                </c:pt>
                <c:pt idx="778">
                  <c:v>57.4</c:v>
                </c:pt>
                <c:pt idx="779">
                  <c:v>58.3</c:v>
                </c:pt>
                <c:pt idx="780">
                  <c:v>64.599999999999994</c:v>
                </c:pt>
                <c:pt idx="781">
                  <c:v>60.9</c:v>
                </c:pt>
                <c:pt idx="782">
                  <c:v>72.7</c:v>
                </c:pt>
                <c:pt idx="783">
                  <c:v>46.6</c:v>
                </c:pt>
                <c:pt idx="784">
                  <c:v>56.6</c:v>
                </c:pt>
                <c:pt idx="785">
                  <c:v>88.5</c:v>
                </c:pt>
                <c:pt idx="786">
                  <c:v>58.9</c:v>
                </c:pt>
                <c:pt idx="787">
                  <c:v>84.9</c:v>
                </c:pt>
                <c:pt idx="788">
                  <c:v>74.3</c:v>
                </c:pt>
                <c:pt idx="789">
                  <c:v>48.3</c:v>
                </c:pt>
                <c:pt idx="790">
                  <c:v>77.599999999999994</c:v>
                </c:pt>
                <c:pt idx="791">
                  <c:v>68.599999999999994</c:v>
                </c:pt>
                <c:pt idx="792">
                  <c:v>64.5</c:v>
                </c:pt>
                <c:pt idx="793">
                  <c:v>72.900000000000006</c:v>
                </c:pt>
                <c:pt idx="794">
                  <c:v>75.7</c:v>
                </c:pt>
                <c:pt idx="795">
                  <c:v>78.5</c:v>
                </c:pt>
                <c:pt idx="796">
                  <c:v>84.1</c:v>
                </c:pt>
                <c:pt idx="797">
                  <c:v>74.900000000000006</c:v>
                </c:pt>
                <c:pt idx="798">
                  <c:v>53.5</c:v>
                </c:pt>
                <c:pt idx="799">
                  <c:v>64.3</c:v>
                </c:pt>
                <c:pt idx="800">
                  <c:v>100</c:v>
                </c:pt>
                <c:pt idx="801">
                  <c:v>78.7</c:v>
                </c:pt>
                <c:pt idx="802">
                  <c:v>98.4</c:v>
                </c:pt>
                <c:pt idx="803">
                  <c:v>86.7</c:v>
                </c:pt>
                <c:pt idx="804">
                  <c:v>72.900000000000006</c:v>
                </c:pt>
                <c:pt idx="805">
                  <c:v>73.599999999999994</c:v>
                </c:pt>
                <c:pt idx="806">
                  <c:v>69.599999999999994</c:v>
                </c:pt>
                <c:pt idx="807">
                  <c:v>49.1</c:v>
                </c:pt>
                <c:pt idx="808">
                  <c:v>70.2</c:v>
                </c:pt>
                <c:pt idx="809">
                  <c:v>84.5</c:v>
                </c:pt>
                <c:pt idx="810">
                  <c:v>62.8</c:v>
                </c:pt>
                <c:pt idx="811">
                  <c:v>74.900000000000006</c:v>
                </c:pt>
                <c:pt idx="812">
                  <c:v>80.2</c:v>
                </c:pt>
                <c:pt idx="813">
                  <c:v>59.1</c:v>
                </c:pt>
                <c:pt idx="814">
                  <c:v>64.599999999999994</c:v>
                </c:pt>
                <c:pt idx="815">
                  <c:v>57.8</c:v>
                </c:pt>
                <c:pt idx="816">
                  <c:v>60.1</c:v>
                </c:pt>
                <c:pt idx="817">
                  <c:v>54.5</c:v>
                </c:pt>
                <c:pt idx="818">
                  <c:v>59.2</c:v>
                </c:pt>
                <c:pt idx="819">
                  <c:v>87</c:v>
                </c:pt>
                <c:pt idx="820">
                  <c:v>59</c:v>
                </c:pt>
                <c:pt idx="821">
                  <c:v>71.5</c:v>
                </c:pt>
                <c:pt idx="822">
                  <c:v>64</c:v>
                </c:pt>
                <c:pt idx="823">
                  <c:v>84.1</c:v>
                </c:pt>
                <c:pt idx="824">
                  <c:v>85.7</c:v>
                </c:pt>
                <c:pt idx="825">
                  <c:v>80.400000000000006</c:v>
                </c:pt>
                <c:pt idx="826">
                  <c:v>73.7</c:v>
                </c:pt>
                <c:pt idx="827">
                  <c:v>67.2</c:v>
                </c:pt>
                <c:pt idx="828">
                  <c:v>55.7</c:v>
                </c:pt>
                <c:pt idx="829">
                  <c:v>93.3</c:v>
                </c:pt>
                <c:pt idx="830">
                  <c:v>60.9</c:v>
                </c:pt>
                <c:pt idx="831">
                  <c:v>78</c:v>
                </c:pt>
                <c:pt idx="832">
                  <c:v>82.7</c:v>
                </c:pt>
                <c:pt idx="833">
                  <c:v>63.3</c:v>
                </c:pt>
                <c:pt idx="834">
                  <c:v>82.5</c:v>
                </c:pt>
                <c:pt idx="835">
                  <c:v>79.2</c:v>
                </c:pt>
                <c:pt idx="836">
                  <c:v>90.7</c:v>
                </c:pt>
                <c:pt idx="837">
                  <c:v>64.400000000000006</c:v>
                </c:pt>
                <c:pt idx="838">
                  <c:v>54.6</c:v>
                </c:pt>
                <c:pt idx="839">
                  <c:v>63.9</c:v>
                </c:pt>
                <c:pt idx="840">
                  <c:v>72.5</c:v>
                </c:pt>
                <c:pt idx="841">
                  <c:v>70.7</c:v>
                </c:pt>
                <c:pt idx="842">
                  <c:v>65.3</c:v>
                </c:pt>
                <c:pt idx="843">
                  <c:v>47.1</c:v>
                </c:pt>
                <c:pt idx="844">
                  <c:v>75.599999999999994</c:v>
                </c:pt>
                <c:pt idx="845">
                  <c:v>93.7</c:v>
                </c:pt>
                <c:pt idx="846">
                  <c:v>75.599999999999994</c:v>
                </c:pt>
                <c:pt idx="847">
                  <c:v>77.3</c:v>
                </c:pt>
                <c:pt idx="848">
                  <c:v>76.900000000000006</c:v>
                </c:pt>
                <c:pt idx="849">
                  <c:v>74.8</c:v>
                </c:pt>
                <c:pt idx="850">
                  <c:v>81.2</c:v>
                </c:pt>
                <c:pt idx="851">
                  <c:v>74.7</c:v>
                </c:pt>
                <c:pt idx="852">
                  <c:v>66.2</c:v>
                </c:pt>
                <c:pt idx="853">
                  <c:v>60.4</c:v>
                </c:pt>
                <c:pt idx="854">
                  <c:v>67</c:v>
                </c:pt>
                <c:pt idx="855">
                  <c:v>73.8</c:v>
                </c:pt>
                <c:pt idx="856">
                  <c:v>66.2</c:v>
                </c:pt>
                <c:pt idx="857">
                  <c:v>73.8</c:v>
                </c:pt>
                <c:pt idx="858">
                  <c:v>75.3</c:v>
                </c:pt>
                <c:pt idx="859">
                  <c:v>80</c:v>
                </c:pt>
                <c:pt idx="860">
                  <c:v>85.4</c:v>
                </c:pt>
                <c:pt idx="861">
                  <c:v>70.900000000000006</c:v>
                </c:pt>
                <c:pt idx="862">
                  <c:v>54.3</c:v>
                </c:pt>
                <c:pt idx="863">
                  <c:v>65.900000000000006</c:v>
                </c:pt>
                <c:pt idx="864">
                  <c:v>70.5</c:v>
                </c:pt>
                <c:pt idx="865">
                  <c:v>48</c:v>
                </c:pt>
                <c:pt idx="866">
                  <c:v>86.7</c:v>
                </c:pt>
                <c:pt idx="867">
                  <c:v>71.7</c:v>
                </c:pt>
                <c:pt idx="868">
                  <c:v>74.599999999999994</c:v>
                </c:pt>
                <c:pt idx="869">
                  <c:v>86.4</c:v>
                </c:pt>
                <c:pt idx="870">
                  <c:v>62.4</c:v>
                </c:pt>
                <c:pt idx="871">
                  <c:v>76.900000000000006</c:v>
                </c:pt>
                <c:pt idx="872">
                  <c:v>68.7</c:v>
                </c:pt>
                <c:pt idx="873">
                  <c:v>67.8</c:v>
                </c:pt>
                <c:pt idx="874">
                  <c:v>60.7</c:v>
                </c:pt>
                <c:pt idx="875">
                  <c:v>90</c:v>
                </c:pt>
                <c:pt idx="876">
                  <c:v>65.5</c:v>
                </c:pt>
                <c:pt idx="877">
                  <c:v>78.400000000000006</c:v>
                </c:pt>
                <c:pt idx="878">
                  <c:v>47.5</c:v>
                </c:pt>
                <c:pt idx="879">
                  <c:v>84.2</c:v>
                </c:pt>
                <c:pt idx="880">
                  <c:v>82.6</c:v>
                </c:pt>
                <c:pt idx="881">
                  <c:v>71.2</c:v>
                </c:pt>
                <c:pt idx="882">
                  <c:v>67.3</c:v>
                </c:pt>
                <c:pt idx="883">
                  <c:v>74.8</c:v>
                </c:pt>
                <c:pt idx="884">
                  <c:v>97.5</c:v>
                </c:pt>
                <c:pt idx="885">
                  <c:v>48.8</c:v>
                </c:pt>
                <c:pt idx="886">
                  <c:v>79.400000000000006</c:v>
                </c:pt>
                <c:pt idx="887">
                  <c:v>59.1</c:v>
                </c:pt>
                <c:pt idx="888">
                  <c:v>69.8</c:v>
                </c:pt>
                <c:pt idx="889">
                  <c:v>67</c:v>
                </c:pt>
                <c:pt idx="890">
                  <c:v>64.900000000000006</c:v>
                </c:pt>
                <c:pt idx="891">
                  <c:v>69.900000000000006</c:v>
                </c:pt>
                <c:pt idx="892">
                  <c:v>56.4</c:v>
                </c:pt>
                <c:pt idx="893">
                  <c:v>82.4</c:v>
                </c:pt>
                <c:pt idx="894">
                  <c:v>48.5</c:v>
                </c:pt>
                <c:pt idx="895">
                  <c:v>76.5</c:v>
                </c:pt>
                <c:pt idx="896">
                  <c:v>66.099999999999994</c:v>
                </c:pt>
                <c:pt idx="897">
                  <c:v>55.9</c:v>
                </c:pt>
                <c:pt idx="898">
                  <c:v>72.400000000000006</c:v>
                </c:pt>
                <c:pt idx="899">
                  <c:v>51.3</c:v>
                </c:pt>
                <c:pt idx="900">
                  <c:v>70.5</c:v>
                </c:pt>
                <c:pt idx="901">
                  <c:v>52.9</c:v>
                </c:pt>
                <c:pt idx="902">
                  <c:v>75.5</c:v>
                </c:pt>
                <c:pt idx="903">
                  <c:v>58.9</c:v>
                </c:pt>
                <c:pt idx="904">
                  <c:v>64.599999999999994</c:v>
                </c:pt>
                <c:pt idx="905">
                  <c:v>73.5</c:v>
                </c:pt>
                <c:pt idx="906">
                  <c:v>60.7</c:v>
                </c:pt>
                <c:pt idx="907">
                  <c:v>69.3</c:v>
                </c:pt>
                <c:pt idx="908">
                  <c:v>51.8</c:v>
                </c:pt>
                <c:pt idx="909">
                  <c:v>77.599999999999994</c:v>
                </c:pt>
                <c:pt idx="910">
                  <c:v>91.2</c:v>
                </c:pt>
                <c:pt idx="911">
                  <c:v>100</c:v>
                </c:pt>
                <c:pt idx="912">
                  <c:v>71.099999999999994</c:v>
                </c:pt>
                <c:pt idx="913">
                  <c:v>79.5</c:v>
                </c:pt>
                <c:pt idx="914">
                  <c:v>48.6</c:v>
                </c:pt>
                <c:pt idx="915">
                  <c:v>88</c:v>
                </c:pt>
                <c:pt idx="916">
                  <c:v>79.3</c:v>
                </c:pt>
                <c:pt idx="917">
                  <c:v>64.2</c:v>
                </c:pt>
                <c:pt idx="918">
                  <c:v>84.8</c:v>
                </c:pt>
                <c:pt idx="919">
                  <c:v>66.900000000000006</c:v>
                </c:pt>
                <c:pt idx="920">
                  <c:v>64.5</c:v>
                </c:pt>
                <c:pt idx="921">
                  <c:v>75.7</c:v>
                </c:pt>
                <c:pt idx="922">
                  <c:v>57.2</c:v>
                </c:pt>
                <c:pt idx="923">
                  <c:v>82.3</c:v>
                </c:pt>
                <c:pt idx="924">
                  <c:v>57.3</c:v>
                </c:pt>
                <c:pt idx="925">
                  <c:v>57.4</c:v>
                </c:pt>
                <c:pt idx="926">
                  <c:v>59.1</c:v>
                </c:pt>
                <c:pt idx="927">
                  <c:v>79.099999999999994</c:v>
                </c:pt>
                <c:pt idx="928">
                  <c:v>62.6</c:v>
                </c:pt>
                <c:pt idx="929">
                  <c:v>53.8</c:v>
                </c:pt>
                <c:pt idx="930">
                  <c:v>62.7</c:v>
                </c:pt>
                <c:pt idx="931">
                  <c:v>69.599999999999994</c:v>
                </c:pt>
                <c:pt idx="932">
                  <c:v>55.8</c:v>
                </c:pt>
                <c:pt idx="933">
                  <c:v>56.2</c:v>
                </c:pt>
                <c:pt idx="934">
                  <c:v>95.3</c:v>
                </c:pt>
                <c:pt idx="935">
                  <c:v>59.7</c:v>
                </c:pt>
                <c:pt idx="936">
                  <c:v>66.099999999999994</c:v>
                </c:pt>
                <c:pt idx="937">
                  <c:v>65.599999999999994</c:v>
                </c:pt>
                <c:pt idx="938">
                  <c:v>64.900000000000006</c:v>
                </c:pt>
                <c:pt idx="939">
                  <c:v>77.5</c:v>
                </c:pt>
                <c:pt idx="940">
                  <c:v>81.400000000000006</c:v>
                </c:pt>
                <c:pt idx="941">
                  <c:v>66.3</c:v>
                </c:pt>
                <c:pt idx="942">
                  <c:v>55.2</c:v>
                </c:pt>
                <c:pt idx="943">
                  <c:v>85.3</c:v>
                </c:pt>
                <c:pt idx="944">
                  <c:v>68.900000000000006</c:v>
                </c:pt>
                <c:pt idx="945">
                  <c:v>90.8</c:v>
                </c:pt>
                <c:pt idx="946">
                  <c:v>43.1</c:v>
                </c:pt>
                <c:pt idx="947">
                  <c:v>72.3</c:v>
                </c:pt>
                <c:pt idx="948">
                  <c:v>93</c:v>
                </c:pt>
                <c:pt idx="949">
                  <c:v>65.8</c:v>
                </c:pt>
                <c:pt idx="950">
                  <c:v>67.3</c:v>
                </c:pt>
                <c:pt idx="951">
                  <c:v>73.5</c:v>
                </c:pt>
                <c:pt idx="952">
                  <c:v>63.3</c:v>
                </c:pt>
                <c:pt idx="953">
                  <c:v>66.3</c:v>
                </c:pt>
                <c:pt idx="954">
                  <c:v>65.900000000000006</c:v>
                </c:pt>
                <c:pt idx="955">
                  <c:v>62.5</c:v>
                </c:pt>
                <c:pt idx="956">
                  <c:v>84.7</c:v>
                </c:pt>
                <c:pt idx="957">
                  <c:v>75.5</c:v>
                </c:pt>
                <c:pt idx="958">
                  <c:v>73</c:v>
                </c:pt>
                <c:pt idx="959">
                  <c:v>79.7</c:v>
                </c:pt>
                <c:pt idx="960">
                  <c:v>66.8</c:v>
                </c:pt>
                <c:pt idx="961">
                  <c:v>60.7</c:v>
                </c:pt>
                <c:pt idx="962">
                  <c:v>62.8</c:v>
                </c:pt>
                <c:pt idx="963">
                  <c:v>70</c:v>
                </c:pt>
                <c:pt idx="964">
                  <c:v>57.3</c:v>
                </c:pt>
                <c:pt idx="965">
                  <c:v>64</c:v>
                </c:pt>
                <c:pt idx="966">
                  <c:v>63.8</c:v>
                </c:pt>
                <c:pt idx="967">
                  <c:v>95.5</c:v>
                </c:pt>
                <c:pt idx="968">
                  <c:v>36.700000000000003</c:v>
                </c:pt>
                <c:pt idx="969">
                  <c:v>67.8</c:v>
                </c:pt>
                <c:pt idx="970">
                  <c:v>90.7</c:v>
                </c:pt>
                <c:pt idx="971">
                  <c:v>71.5</c:v>
                </c:pt>
                <c:pt idx="972">
                  <c:v>79</c:v>
                </c:pt>
                <c:pt idx="973">
                  <c:v>71.2</c:v>
                </c:pt>
                <c:pt idx="974">
                  <c:v>62</c:v>
                </c:pt>
                <c:pt idx="975">
                  <c:v>43.1</c:v>
                </c:pt>
                <c:pt idx="976">
                  <c:v>72.5</c:v>
                </c:pt>
                <c:pt idx="977">
                  <c:v>60.7</c:v>
                </c:pt>
                <c:pt idx="978">
                  <c:v>60.4</c:v>
                </c:pt>
                <c:pt idx="979">
                  <c:v>64</c:v>
                </c:pt>
                <c:pt idx="980">
                  <c:v>90.9</c:v>
                </c:pt>
                <c:pt idx="981">
                  <c:v>98.9</c:v>
                </c:pt>
                <c:pt idx="982">
                  <c:v>72.599999999999994</c:v>
                </c:pt>
                <c:pt idx="983">
                  <c:v>64.400000000000006</c:v>
                </c:pt>
                <c:pt idx="984">
                  <c:v>55.9</c:v>
                </c:pt>
                <c:pt idx="985">
                  <c:v>75.599999999999994</c:v>
                </c:pt>
                <c:pt idx="986">
                  <c:v>91.4</c:v>
                </c:pt>
                <c:pt idx="987">
                  <c:v>67</c:v>
                </c:pt>
                <c:pt idx="988">
                  <c:v>41.5</c:v>
                </c:pt>
                <c:pt idx="989">
                  <c:v>78</c:v>
                </c:pt>
                <c:pt idx="990">
                  <c:v>81.8</c:v>
                </c:pt>
                <c:pt idx="991">
                  <c:v>51</c:v>
                </c:pt>
                <c:pt idx="992">
                  <c:v>72.099999999999994</c:v>
                </c:pt>
                <c:pt idx="993">
                  <c:v>75.400000000000006</c:v>
                </c:pt>
                <c:pt idx="994">
                  <c:v>69.099999999999994</c:v>
                </c:pt>
                <c:pt idx="995">
                  <c:v>60.5</c:v>
                </c:pt>
                <c:pt idx="996">
                  <c:v>82.2</c:v>
                </c:pt>
                <c:pt idx="997">
                  <c:v>65.2</c:v>
                </c:pt>
                <c:pt idx="998">
                  <c:v>52.2</c:v>
                </c:pt>
                <c:pt idx="999">
                  <c:v>45.4</c:v>
                </c:pt>
              </c:numCache>
            </c:numRef>
          </c:xVal>
          <c:yVal>
            <c:numRef>
              <c:f>'03_Clean_Data_Analysis'!$K$2:$K$1001</c:f>
              <c:numCache>
                <c:formatCode>General</c:formatCode>
                <c:ptCount val="1000"/>
                <c:pt idx="0">
                  <c:v>100</c:v>
                </c:pt>
                <c:pt idx="1">
                  <c:v>100</c:v>
                </c:pt>
                <c:pt idx="2">
                  <c:v>97.3</c:v>
                </c:pt>
                <c:pt idx="3">
                  <c:v>83.8</c:v>
                </c:pt>
                <c:pt idx="4">
                  <c:v>68.3</c:v>
                </c:pt>
                <c:pt idx="5">
                  <c:v>81.599999999999994</c:v>
                </c:pt>
                <c:pt idx="6">
                  <c:v>69.599999999999994</c:v>
                </c:pt>
                <c:pt idx="7">
                  <c:v>88</c:v>
                </c:pt>
                <c:pt idx="8">
                  <c:v>84.4</c:v>
                </c:pt>
                <c:pt idx="9">
                  <c:v>74.3</c:v>
                </c:pt>
                <c:pt idx="10">
                  <c:v>68.900000000000006</c:v>
                </c:pt>
                <c:pt idx="11">
                  <c:v>76.7</c:v>
                </c:pt>
                <c:pt idx="12">
                  <c:v>82.6</c:v>
                </c:pt>
                <c:pt idx="13">
                  <c:v>93.3</c:v>
                </c:pt>
                <c:pt idx="14">
                  <c:v>73.900000000000006</c:v>
                </c:pt>
                <c:pt idx="15">
                  <c:v>84.8</c:v>
                </c:pt>
                <c:pt idx="16">
                  <c:v>81.5</c:v>
                </c:pt>
                <c:pt idx="17">
                  <c:v>75.5</c:v>
                </c:pt>
                <c:pt idx="18">
                  <c:v>89.7</c:v>
                </c:pt>
                <c:pt idx="19">
                  <c:v>92.8</c:v>
                </c:pt>
                <c:pt idx="20">
                  <c:v>73.5</c:v>
                </c:pt>
                <c:pt idx="21">
                  <c:v>100</c:v>
                </c:pt>
                <c:pt idx="22">
                  <c:v>73.400000000000006</c:v>
                </c:pt>
                <c:pt idx="23">
                  <c:v>71.2</c:v>
                </c:pt>
                <c:pt idx="24">
                  <c:v>97.2</c:v>
                </c:pt>
                <c:pt idx="25">
                  <c:v>76</c:v>
                </c:pt>
                <c:pt idx="26">
                  <c:v>78.7</c:v>
                </c:pt>
                <c:pt idx="27">
                  <c:v>97.4</c:v>
                </c:pt>
                <c:pt idx="28">
                  <c:v>84.2</c:v>
                </c:pt>
                <c:pt idx="29">
                  <c:v>89.8</c:v>
                </c:pt>
                <c:pt idx="30">
                  <c:v>82.4</c:v>
                </c:pt>
                <c:pt idx="31">
                  <c:v>87.7</c:v>
                </c:pt>
                <c:pt idx="32">
                  <c:v>100</c:v>
                </c:pt>
                <c:pt idx="33">
                  <c:v>93.3</c:v>
                </c:pt>
                <c:pt idx="34">
                  <c:v>100</c:v>
                </c:pt>
                <c:pt idx="35">
                  <c:v>92.9</c:v>
                </c:pt>
                <c:pt idx="36">
                  <c:v>83.2</c:v>
                </c:pt>
                <c:pt idx="37">
                  <c:v>81.099999999999994</c:v>
                </c:pt>
                <c:pt idx="38">
                  <c:v>89.5</c:v>
                </c:pt>
                <c:pt idx="39">
                  <c:v>91.6</c:v>
                </c:pt>
                <c:pt idx="40">
                  <c:v>75.3</c:v>
                </c:pt>
                <c:pt idx="41">
                  <c:v>79</c:v>
                </c:pt>
                <c:pt idx="42">
                  <c:v>100</c:v>
                </c:pt>
                <c:pt idx="43">
                  <c:v>79.2</c:v>
                </c:pt>
                <c:pt idx="44">
                  <c:v>70.8</c:v>
                </c:pt>
                <c:pt idx="45">
                  <c:v>61.8</c:v>
                </c:pt>
                <c:pt idx="46">
                  <c:v>68</c:v>
                </c:pt>
                <c:pt idx="47">
                  <c:v>80.3</c:v>
                </c:pt>
                <c:pt idx="48">
                  <c:v>88.6</c:v>
                </c:pt>
                <c:pt idx="49">
                  <c:v>69.400000000000006</c:v>
                </c:pt>
                <c:pt idx="50">
                  <c:v>100</c:v>
                </c:pt>
                <c:pt idx="51">
                  <c:v>81.8</c:v>
                </c:pt>
                <c:pt idx="52">
                  <c:v>72.599999999999994</c:v>
                </c:pt>
                <c:pt idx="53">
                  <c:v>85.3</c:v>
                </c:pt>
                <c:pt idx="54">
                  <c:v>99.8</c:v>
                </c:pt>
                <c:pt idx="55">
                  <c:v>84.3</c:v>
                </c:pt>
                <c:pt idx="56">
                  <c:v>71.5</c:v>
                </c:pt>
                <c:pt idx="57">
                  <c:v>84.3</c:v>
                </c:pt>
                <c:pt idx="58">
                  <c:v>74.5</c:v>
                </c:pt>
                <c:pt idx="59">
                  <c:v>89.5</c:v>
                </c:pt>
                <c:pt idx="60">
                  <c:v>80.400000000000006</c:v>
                </c:pt>
                <c:pt idx="61">
                  <c:v>71.099999999999994</c:v>
                </c:pt>
                <c:pt idx="62">
                  <c:v>87.8</c:v>
                </c:pt>
                <c:pt idx="63">
                  <c:v>73</c:v>
                </c:pt>
                <c:pt idx="64">
                  <c:v>80.8</c:v>
                </c:pt>
                <c:pt idx="65">
                  <c:v>97.4</c:v>
                </c:pt>
                <c:pt idx="66">
                  <c:v>67.8</c:v>
                </c:pt>
                <c:pt idx="67">
                  <c:v>79.2</c:v>
                </c:pt>
                <c:pt idx="68">
                  <c:v>73.5</c:v>
                </c:pt>
                <c:pt idx="69">
                  <c:v>85.1</c:v>
                </c:pt>
                <c:pt idx="70">
                  <c:v>79.599999999999994</c:v>
                </c:pt>
                <c:pt idx="71">
                  <c:v>77.400000000000006</c:v>
                </c:pt>
                <c:pt idx="72">
                  <c:v>94.6</c:v>
                </c:pt>
                <c:pt idx="73">
                  <c:v>77.599999999999994</c:v>
                </c:pt>
                <c:pt idx="74">
                  <c:v>99.9</c:v>
                </c:pt>
                <c:pt idx="75">
                  <c:v>64.400000000000006</c:v>
                </c:pt>
                <c:pt idx="76">
                  <c:v>71.900000000000006</c:v>
                </c:pt>
                <c:pt idx="77">
                  <c:v>79.3</c:v>
                </c:pt>
                <c:pt idx="78">
                  <c:v>74.900000000000006</c:v>
                </c:pt>
                <c:pt idx="79">
                  <c:v>87.4</c:v>
                </c:pt>
                <c:pt idx="80">
                  <c:v>97.6</c:v>
                </c:pt>
                <c:pt idx="81">
                  <c:v>74.5</c:v>
                </c:pt>
                <c:pt idx="82">
                  <c:v>64.099999999999994</c:v>
                </c:pt>
                <c:pt idx="83">
                  <c:v>90</c:v>
                </c:pt>
                <c:pt idx="84">
                  <c:v>99.3</c:v>
                </c:pt>
                <c:pt idx="85">
                  <c:v>63.9</c:v>
                </c:pt>
                <c:pt idx="86">
                  <c:v>79</c:v>
                </c:pt>
                <c:pt idx="87">
                  <c:v>100</c:v>
                </c:pt>
                <c:pt idx="88">
                  <c:v>78.900000000000006</c:v>
                </c:pt>
                <c:pt idx="89">
                  <c:v>84.5</c:v>
                </c:pt>
                <c:pt idx="90">
                  <c:v>71.7</c:v>
                </c:pt>
                <c:pt idx="91">
                  <c:v>86.3</c:v>
                </c:pt>
                <c:pt idx="92">
                  <c:v>98.3</c:v>
                </c:pt>
                <c:pt idx="93">
                  <c:v>88.1</c:v>
                </c:pt>
                <c:pt idx="94">
                  <c:v>99.6</c:v>
                </c:pt>
                <c:pt idx="95">
                  <c:v>74.8</c:v>
                </c:pt>
                <c:pt idx="96">
                  <c:v>87.4</c:v>
                </c:pt>
                <c:pt idx="97">
                  <c:v>88.5</c:v>
                </c:pt>
                <c:pt idx="98">
                  <c:v>65.2</c:v>
                </c:pt>
                <c:pt idx="99">
                  <c:v>79.2</c:v>
                </c:pt>
                <c:pt idx="100">
                  <c:v>74.5</c:v>
                </c:pt>
                <c:pt idx="101">
                  <c:v>66.3</c:v>
                </c:pt>
                <c:pt idx="102">
                  <c:v>89.5</c:v>
                </c:pt>
                <c:pt idx="103">
                  <c:v>92.7</c:v>
                </c:pt>
                <c:pt idx="104">
                  <c:v>87.2</c:v>
                </c:pt>
                <c:pt idx="105">
                  <c:v>92.5</c:v>
                </c:pt>
                <c:pt idx="106">
                  <c:v>75.7</c:v>
                </c:pt>
                <c:pt idx="107">
                  <c:v>74</c:v>
                </c:pt>
                <c:pt idx="108">
                  <c:v>100</c:v>
                </c:pt>
                <c:pt idx="109">
                  <c:v>75.5</c:v>
                </c:pt>
                <c:pt idx="110">
                  <c:v>61.7</c:v>
                </c:pt>
                <c:pt idx="111">
                  <c:v>91.4</c:v>
                </c:pt>
                <c:pt idx="112">
                  <c:v>72.7</c:v>
                </c:pt>
                <c:pt idx="113">
                  <c:v>74.599999999999994</c:v>
                </c:pt>
                <c:pt idx="114">
                  <c:v>96.5</c:v>
                </c:pt>
                <c:pt idx="115">
                  <c:v>94.5</c:v>
                </c:pt>
                <c:pt idx="116">
                  <c:v>59.3</c:v>
                </c:pt>
                <c:pt idx="117">
                  <c:v>96.2</c:v>
                </c:pt>
                <c:pt idx="118">
                  <c:v>75.3</c:v>
                </c:pt>
                <c:pt idx="119">
                  <c:v>73.3</c:v>
                </c:pt>
                <c:pt idx="120">
                  <c:v>95.8</c:v>
                </c:pt>
                <c:pt idx="121">
                  <c:v>81</c:v>
                </c:pt>
                <c:pt idx="122">
                  <c:v>76.5</c:v>
                </c:pt>
                <c:pt idx="123">
                  <c:v>88.1</c:v>
                </c:pt>
                <c:pt idx="124">
                  <c:v>88.1</c:v>
                </c:pt>
                <c:pt idx="125">
                  <c:v>92.1</c:v>
                </c:pt>
                <c:pt idx="126">
                  <c:v>85.2</c:v>
                </c:pt>
                <c:pt idx="127">
                  <c:v>63</c:v>
                </c:pt>
                <c:pt idx="128">
                  <c:v>81.099999999999994</c:v>
                </c:pt>
                <c:pt idx="129">
                  <c:v>87.1</c:v>
                </c:pt>
                <c:pt idx="130">
                  <c:v>100</c:v>
                </c:pt>
                <c:pt idx="131">
                  <c:v>75.7</c:v>
                </c:pt>
                <c:pt idx="132">
                  <c:v>77.3</c:v>
                </c:pt>
                <c:pt idx="133">
                  <c:v>85.6</c:v>
                </c:pt>
                <c:pt idx="134">
                  <c:v>80.8</c:v>
                </c:pt>
                <c:pt idx="135">
                  <c:v>94.5</c:v>
                </c:pt>
                <c:pt idx="136">
                  <c:v>59.7</c:v>
                </c:pt>
                <c:pt idx="137">
                  <c:v>80.900000000000006</c:v>
                </c:pt>
                <c:pt idx="138">
                  <c:v>82.6</c:v>
                </c:pt>
                <c:pt idx="139">
                  <c:v>80.2</c:v>
                </c:pt>
                <c:pt idx="140">
                  <c:v>82.4</c:v>
                </c:pt>
                <c:pt idx="141">
                  <c:v>75.900000000000006</c:v>
                </c:pt>
                <c:pt idx="142">
                  <c:v>88.5</c:v>
                </c:pt>
                <c:pt idx="143">
                  <c:v>69.599999999999994</c:v>
                </c:pt>
                <c:pt idx="144">
                  <c:v>86.8</c:v>
                </c:pt>
                <c:pt idx="145">
                  <c:v>65.2</c:v>
                </c:pt>
                <c:pt idx="146">
                  <c:v>82</c:v>
                </c:pt>
                <c:pt idx="147">
                  <c:v>46.8</c:v>
                </c:pt>
                <c:pt idx="148">
                  <c:v>68.599999999999994</c:v>
                </c:pt>
                <c:pt idx="149">
                  <c:v>69.2</c:v>
                </c:pt>
                <c:pt idx="150">
                  <c:v>84.7</c:v>
                </c:pt>
                <c:pt idx="151">
                  <c:v>75.900000000000006</c:v>
                </c:pt>
                <c:pt idx="152">
                  <c:v>84.7</c:v>
                </c:pt>
                <c:pt idx="153">
                  <c:v>75.7</c:v>
                </c:pt>
                <c:pt idx="154">
                  <c:v>95.4</c:v>
                </c:pt>
                <c:pt idx="155">
                  <c:v>87.6</c:v>
                </c:pt>
                <c:pt idx="156">
                  <c:v>87.7</c:v>
                </c:pt>
                <c:pt idx="157">
                  <c:v>89.3</c:v>
                </c:pt>
                <c:pt idx="158">
                  <c:v>63.7</c:v>
                </c:pt>
                <c:pt idx="159">
                  <c:v>74</c:v>
                </c:pt>
                <c:pt idx="160">
                  <c:v>87.9</c:v>
                </c:pt>
                <c:pt idx="161">
                  <c:v>76.599999999999994</c:v>
                </c:pt>
                <c:pt idx="162">
                  <c:v>97.3</c:v>
                </c:pt>
                <c:pt idx="163">
                  <c:v>90.2</c:v>
                </c:pt>
                <c:pt idx="164">
                  <c:v>88.7</c:v>
                </c:pt>
                <c:pt idx="165">
                  <c:v>84.8</c:v>
                </c:pt>
                <c:pt idx="166">
                  <c:v>100</c:v>
                </c:pt>
                <c:pt idx="167">
                  <c:v>82.1</c:v>
                </c:pt>
                <c:pt idx="168">
                  <c:v>75.099999999999994</c:v>
                </c:pt>
                <c:pt idx="169">
                  <c:v>78.099999999999994</c:v>
                </c:pt>
                <c:pt idx="170">
                  <c:v>92.9</c:v>
                </c:pt>
                <c:pt idx="171">
                  <c:v>71.8</c:v>
                </c:pt>
                <c:pt idx="172">
                  <c:v>78.5</c:v>
                </c:pt>
                <c:pt idx="173">
                  <c:v>82.6</c:v>
                </c:pt>
                <c:pt idx="174">
                  <c:v>79.2</c:v>
                </c:pt>
                <c:pt idx="175">
                  <c:v>89.7</c:v>
                </c:pt>
                <c:pt idx="176">
                  <c:v>89.2</c:v>
                </c:pt>
                <c:pt idx="177">
                  <c:v>81.7</c:v>
                </c:pt>
                <c:pt idx="178">
                  <c:v>96.7</c:v>
                </c:pt>
                <c:pt idx="179">
                  <c:v>73.7</c:v>
                </c:pt>
                <c:pt idx="180">
                  <c:v>77.099999999999994</c:v>
                </c:pt>
                <c:pt idx="181">
                  <c:v>76.5</c:v>
                </c:pt>
                <c:pt idx="182">
                  <c:v>73.2</c:v>
                </c:pt>
                <c:pt idx="183">
                  <c:v>83.6</c:v>
                </c:pt>
                <c:pt idx="184">
                  <c:v>85.8</c:v>
                </c:pt>
                <c:pt idx="185">
                  <c:v>95.7</c:v>
                </c:pt>
                <c:pt idx="186">
                  <c:v>89.2</c:v>
                </c:pt>
                <c:pt idx="187">
                  <c:v>83.1</c:v>
                </c:pt>
                <c:pt idx="188">
                  <c:v>100</c:v>
                </c:pt>
                <c:pt idx="189">
                  <c:v>67.2</c:v>
                </c:pt>
                <c:pt idx="190">
                  <c:v>84.6</c:v>
                </c:pt>
                <c:pt idx="191">
                  <c:v>100</c:v>
                </c:pt>
                <c:pt idx="192">
                  <c:v>75.2</c:v>
                </c:pt>
                <c:pt idx="193">
                  <c:v>81.099999999999994</c:v>
                </c:pt>
                <c:pt idx="194">
                  <c:v>96.5</c:v>
                </c:pt>
                <c:pt idx="195">
                  <c:v>79.8</c:v>
                </c:pt>
                <c:pt idx="196">
                  <c:v>73.400000000000006</c:v>
                </c:pt>
                <c:pt idx="197">
                  <c:v>92.2</c:v>
                </c:pt>
                <c:pt idx="198">
                  <c:v>87.3</c:v>
                </c:pt>
                <c:pt idx="199">
                  <c:v>92.5</c:v>
                </c:pt>
                <c:pt idx="200">
                  <c:v>94.6</c:v>
                </c:pt>
                <c:pt idx="201">
                  <c:v>75.5</c:v>
                </c:pt>
                <c:pt idx="202">
                  <c:v>85.3</c:v>
                </c:pt>
                <c:pt idx="203">
                  <c:v>76.7</c:v>
                </c:pt>
                <c:pt idx="204">
                  <c:v>86.8</c:v>
                </c:pt>
                <c:pt idx="205">
                  <c:v>61.1</c:v>
                </c:pt>
                <c:pt idx="206">
                  <c:v>100</c:v>
                </c:pt>
                <c:pt idx="207">
                  <c:v>90.9</c:v>
                </c:pt>
                <c:pt idx="208">
                  <c:v>96.1</c:v>
                </c:pt>
                <c:pt idx="209">
                  <c:v>73.099999999999994</c:v>
                </c:pt>
                <c:pt idx="210">
                  <c:v>81.2</c:v>
                </c:pt>
                <c:pt idx="211">
                  <c:v>81.8</c:v>
                </c:pt>
                <c:pt idx="212">
                  <c:v>70</c:v>
                </c:pt>
                <c:pt idx="213">
                  <c:v>78.5</c:v>
                </c:pt>
                <c:pt idx="214">
                  <c:v>84.7</c:v>
                </c:pt>
                <c:pt idx="215">
                  <c:v>74.7</c:v>
                </c:pt>
                <c:pt idx="216">
                  <c:v>91.2</c:v>
                </c:pt>
                <c:pt idx="217">
                  <c:v>93.4</c:v>
                </c:pt>
                <c:pt idx="218">
                  <c:v>86.8</c:v>
                </c:pt>
                <c:pt idx="219">
                  <c:v>100</c:v>
                </c:pt>
                <c:pt idx="220">
                  <c:v>84.3</c:v>
                </c:pt>
                <c:pt idx="221">
                  <c:v>71.5</c:v>
                </c:pt>
                <c:pt idx="222">
                  <c:v>70.5</c:v>
                </c:pt>
                <c:pt idx="223">
                  <c:v>89.9</c:v>
                </c:pt>
                <c:pt idx="224">
                  <c:v>81.099999999999994</c:v>
                </c:pt>
                <c:pt idx="225">
                  <c:v>67.400000000000006</c:v>
                </c:pt>
                <c:pt idx="226">
                  <c:v>82.2</c:v>
                </c:pt>
                <c:pt idx="227">
                  <c:v>90</c:v>
                </c:pt>
                <c:pt idx="228">
                  <c:v>100</c:v>
                </c:pt>
                <c:pt idx="229">
                  <c:v>82.7</c:v>
                </c:pt>
                <c:pt idx="230">
                  <c:v>98.3</c:v>
                </c:pt>
                <c:pt idx="231">
                  <c:v>91.5</c:v>
                </c:pt>
                <c:pt idx="232">
                  <c:v>82.2</c:v>
                </c:pt>
                <c:pt idx="233">
                  <c:v>100</c:v>
                </c:pt>
                <c:pt idx="234">
                  <c:v>80.2</c:v>
                </c:pt>
                <c:pt idx="235">
                  <c:v>85.7</c:v>
                </c:pt>
                <c:pt idx="236">
                  <c:v>100</c:v>
                </c:pt>
                <c:pt idx="237">
                  <c:v>84.4</c:v>
                </c:pt>
                <c:pt idx="238">
                  <c:v>100</c:v>
                </c:pt>
                <c:pt idx="239">
                  <c:v>84.6</c:v>
                </c:pt>
                <c:pt idx="240">
                  <c:v>80.599999999999994</c:v>
                </c:pt>
                <c:pt idx="241">
                  <c:v>85.1</c:v>
                </c:pt>
                <c:pt idx="242">
                  <c:v>69.400000000000006</c:v>
                </c:pt>
                <c:pt idx="243">
                  <c:v>92.2</c:v>
                </c:pt>
                <c:pt idx="244">
                  <c:v>76.2</c:v>
                </c:pt>
                <c:pt idx="245">
                  <c:v>100</c:v>
                </c:pt>
                <c:pt idx="246">
                  <c:v>92.2</c:v>
                </c:pt>
                <c:pt idx="247">
                  <c:v>76.5</c:v>
                </c:pt>
                <c:pt idx="248">
                  <c:v>82.7</c:v>
                </c:pt>
                <c:pt idx="249">
                  <c:v>67.099999999999994</c:v>
                </c:pt>
                <c:pt idx="250">
                  <c:v>88.4</c:v>
                </c:pt>
                <c:pt idx="251">
                  <c:v>91</c:v>
                </c:pt>
                <c:pt idx="252">
                  <c:v>75.8</c:v>
                </c:pt>
                <c:pt idx="253">
                  <c:v>88.3</c:v>
                </c:pt>
                <c:pt idx="254">
                  <c:v>87.6</c:v>
                </c:pt>
                <c:pt idx="255">
                  <c:v>96.8</c:v>
                </c:pt>
                <c:pt idx="256">
                  <c:v>86.7</c:v>
                </c:pt>
                <c:pt idx="257">
                  <c:v>63.7</c:v>
                </c:pt>
                <c:pt idx="258">
                  <c:v>73</c:v>
                </c:pt>
                <c:pt idx="259">
                  <c:v>94.3</c:v>
                </c:pt>
                <c:pt idx="260">
                  <c:v>71.3</c:v>
                </c:pt>
                <c:pt idx="261">
                  <c:v>79.7</c:v>
                </c:pt>
                <c:pt idx="262">
                  <c:v>81.2</c:v>
                </c:pt>
                <c:pt idx="263">
                  <c:v>91.1</c:v>
                </c:pt>
                <c:pt idx="264">
                  <c:v>97.5</c:v>
                </c:pt>
                <c:pt idx="265">
                  <c:v>100</c:v>
                </c:pt>
                <c:pt idx="266">
                  <c:v>81.599999999999994</c:v>
                </c:pt>
                <c:pt idx="267">
                  <c:v>83.9</c:v>
                </c:pt>
                <c:pt idx="268">
                  <c:v>100</c:v>
                </c:pt>
                <c:pt idx="269">
                  <c:v>80.2</c:v>
                </c:pt>
                <c:pt idx="270">
                  <c:v>75.099999999999994</c:v>
                </c:pt>
                <c:pt idx="271">
                  <c:v>78.2</c:v>
                </c:pt>
                <c:pt idx="272">
                  <c:v>64.7</c:v>
                </c:pt>
                <c:pt idx="273">
                  <c:v>97.8</c:v>
                </c:pt>
                <c:pt idx="274">
                  <c:v>74.400000000000006</c:v>
                </c:pt>
                <c:pt idx="275">
                  <c:v>76.400000000000006</c:v>
                </c:pt>
                <c:pt idx="276">
                  <c:v>76.3</c:v>
                </c:pt>
                <c:pt idx="277">
                  <c:v>88.3</c:v>
                </c:pt>
                <c:pt idx="278">
                  <c:v>94</c:v>
                </c:pt>
                <c:pt idx="279">
                  <c:v>58.8</c:v>
                </c:pt>
                <c:pt idx="280">
                  <c:v>81.099999999999994</c:v>
                </c:pt>
                <c:pt idx="281">
                  <c:v>84.5</c:v>
                </c:pt>
                <c:pt idx="282">
                  <c:v>69.900000000000006</c:v>
                </c:pt>
                <c:pt idx="283">
                  <c:v>82.2</c:v>
                </c:pt>
                <c:pt idx="284">
                  <c:v>83.3</c:v>
                </c:pt>
                <c:pt idx="285">
                  <c:v>69.5</c:v>
                </c:pt>
                <c:pt idx="286">
                  <c:v>68.5</c:v>
                </c:pt>
                <c:pt idx="287">
                  <c:v>61.5</c:v>
                </c:pt>
                <c:pt idx="288">
                  <c:v>72.3</c:v>
                </c:pt>
                <c:pt idx="289">
                  <c:v>74.099999999999994</c:v>
                </c:pt>
                <c:pt idx="290">
                  <c:v>94.9</c:v>
                </c:pt>
                <c:pt idx="291">
                  <c:v>100</c:v>
                </c:pt>
                <c:pt idx="292">
                  <c:v>84.5</c:v>
                </c:pt>
                <c:pt idx="293">
                  <c:v>93.7</c:v>
                </c:pt>
                <c:pt idx="294">
                  <c:v>100</c:v>
                </c:pt>
                <c:pt idx="295">
                  <c:v>81.599999999999994</c:v>
                </c:pt>
                <c:pt idx="296">
                  <c:v>70.900000000000006</c:v>
                </c:pt>
                <c:pt idx="297">
                  <c:v>89.6</c:v>
                </c:pt>
                <c:pt idx="298">
                  <c:v>69.2</c:v>
                </c:pt>
                <c:pt idx="299">
                  <c:v>82.3</c:v>
                </c:pt>
                <c:pt idx="300">
                  <c:v>80.900000000000006</c:v>
                </c:pt>
                <c:pt idx="301">
                  <c:v>82.4</c:v>
                </c:pt>
                <c:pt idx="302">
                  <c:v>91</c:v>
                </c:pt>
                <c:pt idx="303">
                  <c:v>81.599999999999994</c:v>
                </c:pt>
                <c:pt idx="304">
                  <c:v>83.2</c:v>
                </c:pt>
                <c:pt idx="305">
                  <c:v>80.7</c:v>
                </c:pt>
                <c:pt idx="306">
                  <c:v>87.2</c:v>
                </c:pt>
                <c:pt idx="307">
                  <c:v>72.8</c:v>
                </c:pt>
                <c:pt idx="308">
                  <c:v>85.2</c:v>
                </c:pt>
                <c:pt idx="309">
                  <c:v>83.3</c:v>
                </c:pt>
                <c:pt idx="310">
                  <c:v>82.6</c:v>
                </c:pt>
                <c:pt idx="311">
                  <c:v>63.4</c:v>
                </c:pt>
                <c:pt idx="312">
                  <c:v>100</c:v>
                </c:pt>
                <c:pt idx="313">
                  <c:v>79.400000000000006</c:v>
                </c:pt>
                <c:pt idx="314">
                  <c:v>100</c:v>
                </c:pt>
                <c:pt idx="315">
                  <c:v>100</c:v>
                </c:pt>
                <c:pt idx="316">
                  <c:v>72.900000000000006</c:v>
                </c:pt>
                <c:pt idx="317">
                  <c:v>79.2</c:v>
                </c:pt>
                <c:pt idx="318">
                  <c:v>84.2</c:v>
                </c:pt>
                <c:pt idx="319">
                  <c:v>80.7</c:v>
                </c:pt>
                <c:pt idx="320">
                  <c:v>85.3</c:v>
                </c:pt>
                <c:pt idx="321">
                  <c:v>93.1</c:v>
                </c:pt>
                <c:pt idx="322">
                  <c:v>73.5</c:v>
                </c:pt>
                <c:pt idx="323">
                  <c:v>90.8</c:v>
                </c:pt>
                <c:pt idx="324">
                  <c:v>80.8</c:v>
                </c:pt>
                <c:pt idx="325">
                  <c:v>88.9</c:v>
                </c:pt>
                <c:pt idx="326">
                  <c:v>63.7</c:v>
                </c:pt>
                <c:pt idx="327">
                  <c:v>82.6</c:v>
                </c:pt>
                <c:pt idx="328">
                  <c:v>63.7</c:v>
                </c:pt>
                <c:pt idx="329">
                  <c:v>96.6</c:v>
                </c:pt>
                <c:pt idx="330">
                  <c:v>97</c:v>
                </c:pt>
                <c:pt idx="331">
                  <c:v>93.3</c:v>
                </c:pt>
                <c:pt idx="332">
                  <c:v>82.8</c:v>
                </c:pt>
                <c:pt idx="333">
                  <c:v>81.2</c:v>
                </c:pt>
                <c:pt idx="334">
                  <c:v>88.7</c:v>
                </c:pt>
                <c:pt idx="335">
                  <c:v>71.2</c:v>
                </c:pt>
                <c:pt idx="336">
                  <c:v>87.1</c:v>
                </c:pt>
                <c:pt idx="337">
                  <c:v>94.9</c:v>
                </c:pt>
                <c:pt idx="338">
                  <c:v>76.099999999999994</c:v>
                </c:pt>
                <c:pt idx="339">
                  <c:v>85.1</c:v>
                </c:pt>
                <c:pt idx="340">
                  <c:v>96.3</c:v>
                </c:pt>
                <c:pt idx="341">
                  <c:v>100</c:v>
                </c:pt>
                <c:pt idx="342">
                  <c:v>92</c:v>
                </c:pt>
                <c:pt idx="343">
                  <c:v>77.2</c:v>
                </c:pt>
                <c:pt idx="344">
                  <c:v>97.5</c:v>
                </c:pt>
                <c:pt idx="345">
                  <c:v>70.599999999999994</c:v>
                </c:pt>
                <c:pt idx="346">
                  <c:v>87.2</c:v>
                </c:pt>
                <c:pt idx="347">
                  <c:v>69</c:v>
                </c:pt>
                <c:pt idx="348">
                  <c:v>90.2</c:v>
                </c:pt>
                <c:pt idx="349">
                  <c:v>74</c:v>
                </c:pt>
                <c:pt idx="350">
                  <c:v>75.3</c:v>
                </c:pt>
                <c:pt idx="351">
                  <c:v>86.5</c:v>
                </c:pt>
                <c:pt idx="352">
                  <c:v>100</c:v>
                </c:pt>
                <c:pt idx="353">
                  <c:v>93.6</c:v>
                </c:pt>
                <c:pt idx="354">
                  <c:v>72</c:v>
                </c:pt>
                <c:pt idx="355">
                  <c:v>76.2</c:v>
                </c:pt>
                <c:pt idx="356">
                  <c:v>80.900000000000006</c:v>
                </c:pt>
                <c:pt idx="357">
                  <c:v>85.3</c:v>
                </c:pt>
                <c:pt idx="358">
                  <c:v>81.900000000000006</c:v>
                </c:pt>
                <c:pt idx="359">
                  <c:v>78</c:v>
                </c:pt>
                <c:pt idx="360">
                  <c:v>93.6</c:v>
                </c:pt>
                <c:pt idx="361">
                  <c:v>95.1</c:v>
                </c:pt>
                <c:pt idx="362">
                  <c:v>66.7</c:v>
                </c:pt>
                <c:pt idx="363">
                  <c:v>75.599999999999994</c:v>
                </c:pt>
                <c:pt idx="364">
                  <c:v>57.4</c:v>
                </c:pt>
                <c:pt idx="365">
                  <c:v>75.400000000000006</c:v>
                </c:pt>
                <c:pt idx="366">
                  <c:v>80.5</c:v>
                </c:pt>
                <c:pt idx="367">
                  <c:v>75.099999999999994</c:v>
                </c:pt>
                <c:pt idx="368">
                  <c:v>67.8</c:v>
                </c:pt>
                <c:pt idx="369">
                  <c:v>97.4</c:v>
                </c:pt>
                <c:pt idx="370">
                  <c:v>80.2</c:v>
                </c:pt>
                <c:pt idx="371">
                  <c:v>82.8</c:v>
                </c:pt>
                <c:pt idx="372">
                  <c:v>87.8</c:v>
                </c:pt>
                <c:pt idx="373">
                  <c:v>85.8</c:v>
                </c:pt>
                <c:pt idx="374">
                  <c:v>91.7</c:v>
                </c:pt>
                <c:pt idx="375">
                  <c:v>84.9</c:v>
                </c:pt>
                <c:pt idx="376">
                  <c:v>99.3</c:v>
                </c:pt>
                <c:pt idx="377">
                  <c:v>74.3</c:v>
                </c:pt>
                <c:pt idx="378">
                  <c:v>93.3</c:v>
                </c:pt>
                <c:pt idx="379">
                  <c:v>79.400000000000006</c:v>
                </c:pt>
                <c:pt idx="380">
                  <c:v>77.400000000000006</c:v>
                </c:pt>
                <c:pt idx="381">
                  <c:v>100</c:v>
                </c:pt>
                <c:pt idx="382">
                  <c:v>76.8</c:v>
                </c:pt>
                <c:pt idx="383">
                  <c:v>100</c:v>
                </c:pt>
                <c:pt idx="384">
                  <c:v>88.6</c:v>
                </c:pt>
                <c:pt idx="385">
                  <c:v>79.099999999999994</c:v>
                </c:pt>
                <c:pt idx="386">
                  <c:v>79.400000000000006</c:v>
                </c:pt>
                <c:pt idx="387">
                  <c:v>100</c:v>
                </c:pt>
                <c:pt idx="388">
                  <c:v>86.7</c:v>
                </c:pt>
                <c:pt idx="389">
                  <c:v>69.5</c:v>
                </c:pt>
                <c:pt idx="390">
                  <c:v>86.3</c:v>
                </c:pt>
                <c:pt idx="391">
                  <c:v>87.3</c:v>
                </c:pt>
                <c:pt idx="392">
                  <c:v>72.099999999999994</c:v>
                </c:pt>
                <c:pt idx="393">
                  <c:v>92.3</c:v>
                </c:pt>
                <c:pt idx="394">
                  <c:v>67.599999999999994</c:v>
                </c:pt>
                <c:pt idx="395">
                  <c:v>72.7</c:v>
                </c:pt>
                <c:pt idx="396">
                  <c:v>76.099999999999994</c:v>
                </c:pt>
                <c:pt idx="397">
                  <c:v>81.2</c:v>
                </c:pt>
                <c:pt idx="398">
                  <c:v>90.4</c:v>
                </c:pt>
                <c:pt idx="399">
                  <c:v>73.2</c:v>
                </c:pt>
                <c:pt idx="400">
                  <c:v>85.2</c:v>
                </c:pt>
                <c:pt idx="401">
                  <c:v>96.4</c:v>
                </c:pt>
                <c:pt idx="402">
                  <c:v>81.900000000000006</c:v>
                </c:pt>
                <c:pt idx="403">
                  <c:v>86.5</c:v>
                </c:pt>
                <c:pt idx="404">
                  <c:v>84.7</c:v>
                </c:pt>
                <c:pt idx="405">
                  <c:v>93</c:v>
                </c:pt>
                <c:pt idx="406">
                  <c:v>78.900000000000006</c:v>
                </c:pt>
                <c:pt idx="407">
                  <c:v>90.4</c:v>
                </c:pt>
                <c:pt idx="408">
                  <c:v>80.099999999999994</c:v>
                </c:pt>
                <c:pt idx="409">
                  <c:v>78.099999999999994</c:v>
                </c:pt>
                <c:pt idx="410">
                  <c:v>70.099999999999994</c:v>
                </c:pt>
                <c:pt idx="411">
                  <c:v>90.2</c:v>
                </c:pt>
                <c:pt idx="412">
                  <c:v>86.5</c:v>
                </c:pt>
                <c:pt idx="413">
                  <c:v>93.5</c:v>
                </c:pt>
                <c:pt idx="414">
                  <c:v>83.3</c:v>
                </c:pt>
                <c:pt idx="415">
                  <c:v>81.2</c:v>
                </c:pt>
                <c:pt idx="416">
                  <c:v>76</c:v>
                </c:pt>
                <c:pt idx="417">
                  <c:v>84.9</c:v>
                </c:pt>
                <c:pt idx="418">
                  <c:v>79.2</c:v>
                </c:pt>
                <c:pt idx="419">
                  <c:v>72.8</c:v>
                </c:pt>
                <c:pt idx="420">
                  <c:v>69.900000000000006</c:v>
                </c:pt>
                <c:pt idx="421">
                  <c:v>89.6</c:v>
                </c:pt>
                <c:pt idx="422">
                  <c:v>77.3</c:v>
                </c:pt>
                <c:pt idx="423">
                  <c:v>64.599999999999994</c:v>
                </c:pt>
                <c:pt idx="424">
                  <c:v>81.8</c:v>
                </c:pt>
                <c:pt idx="425">
                  <c:v>86.2</c:v>
                </c:pt>
                <c:pt idx="426">
                  <c:v>100</c:v>
                </c:pt>
                <c:pt idx="427">
                  <c:v>100</c:v>
                </c:pt>
                <c:pt idx="428">
                  <c:v>100</c:v>
                </c:pt>
                <c:pt idx="429">
                  <c:v>72</c:v>
                </c:pt>
                <c:pt idx="430">
                  <c:v>81.2</c:v>
                </c:pt>
                <c:pt idx="431">
                  <c:v>100</c:v>
                </c:pt>
                <c:pt idx="432">
                  <c:v>79.7</c:v>
                </c:pt>
                <c:pt idx="433">
                  <c:v>89.4</c:v>
                </c:pt>
                <c:pt idx="434">
                  <c:v>77.8</c:v>
                </c:pt>
                <c:pt idx="435">
                  <c:v>93.4</c:v>
                </c:pt>
                <c:pt idx="436">
                  <c:v>100</c:v>
                </c:pt>
                <c:pt idx="437">
                  <c:v>76.5</c:v>
                </c:pt>
                <c:pt idx="438">
                  <c:v>79.3</c:v>
                </c:pt>
                <c:pt idx="439">
                  <c:v>100</c:v>
                </c:pt>
                <c:pt idx="440">
                  <c:v>98.9</c:v>
                </c:pt>
                <c:pt idx="441">
                  <c:v>87.5</c:v>
                </c:pt>
                <c:pt idx="442">
                  <c:v>85.2</c:v>
                </c:pt>
                <c:pt idx="443">
                  <c:v>86</c:v>
                </c:pt>
                <c:pt idx="444">
                  <c:v>80.7</c:v>
                </c:pt>
                <c:pt idx="445">
                  <c:v>79.900000000000006</c:v>
                </c:pt>
                <c:pt idx="446">
                  <c:v>79.099999999999994</c:v>
                </c:pt>
                <c:pt idx="447">
                  <c:v>87.1</c:v>
                </c:pt>
                <c:pt idx="448">
                  <c:v>90.7</c:v>
                </c:pt>
                <c:pt idx="449">
                  <c:v>64.599999999999994</c:v>
                </c:pt>
                <c:pt idx="450">
                  <c:v>77.900000000000006</c:v>
                </c:pt>
                <c:pt idx="451">
                  <c:v>82</c:v>
                </c:pt>
                <c:pt idx="452">
                  <c:v>92.8</c:v>
                </c:pt>
                <c:pt idx="453">
                  <c:v>85.4</c:v>
                </c:pt>
                <c:pt idx="454">
                  <c:v>80.7</c:v>
                </c:pt>
                <c:pt idx="455">
                  <c:v>72.7</c:v>
                </c:pt>
                <c:pt idx="456">
                  <c:v>68.8</c:v>
                </c:pt>
                <c:pt idx="457">
                  <c:v>89.9</c:v>
                </c:pt>
                <c:pt idx="458">
                  <c:v>83.3</c:v>
                </c:pt>
                <c:pt idx="459">
                  <c:v>86.8</c:v>
                </c:pt>
                <c:pt idx="460">
                  <c:v>98.2</c:v>
                </c:pt>
                <c:pt idx="461">
                  <c:v>100</c:v>
                </c:pt>
                <c:pt idx="462">
                  <c:v>95.1</c:v>
                </c:pt>
                <c:pt idx="463">
                  <c:v>93.5</c:v>
                </c:pt>
                <c:pt idx="464">
                  <c:v>63.2</c:v>
                </c:pt>
                <c:pt idx="465">
                  <c:v>100</c:v>
                </c:pt>
                <c:pt idx="466">
                  <c:v>77.099999999999994</c:v>
                </c:pt>
                <c:pt idx="467">
                  <c:v>88.8</c:v>
                </c:pt>
                <c:pt idx="468">
                  <c:v>100</c:v>
                </c:pt>
                <c:pt idx="469">
                  <c:v>89.9</c:v>
                </c:pt>
                <c:pt idx="470">
                  <c:v>87.6</c:v>
                </c:pt>
                <c:pt idx="471">
                  <c:v>68</c:v>
                </c:pt>
                <c:pt idx="472">
                  <c:v>82.2</c:v>
                </c:pt>
                <c:pt idx="473">
                  <c:v>94</c:v>
                </c:pt>
                <c:pt idx="474">
                  <c:v>90.9</c:v>
                </c:pt>
                <c:pt idx="475">
                  <c:v>85</c:v>
                </c:pt>
                <c:pt idx="476">
                  <c:v>100</c:v>
                </c:pt>
                <c:pt idx="477">
                  <c:v>100</c:v>
                </c:pt>
                <c:pt idx="478">
                  <c:v>87.4</c:v>
                </c:pt>
                <c:pt idx="479">
                  <c:v>84.8</c:v>
                </c:pt>
                <c:pt idx="480">
                  <c:v>89.5</c:v>
                </c:pt>
                <c:pt idx="481">
                  <c:v>92.3</c:v>
                </c:pt>
                <c:pt idx="482">
                  <c:v>86.6</c:v>
                </c:pt>
                <c:pt idx="483">
                  <c:v>100</c:v>
                </c:pt>
                <c:pt idx="484">
                  <c:v>75.7</c:v>
                </c:pt>
                <c:pt idx="485">
                  <c:v>87.3</c:v>
                </c:pt>
                <c:pt idx="486">
                  <c:v>66.599999999999994</c:v>
                </c:pt>
                <c:pt idx="487">
                  <c:v>74.099999999999994</c:v>
                </c:pt>
                <c:pt idx="488">
                  <c:v>100</c:v>
                </c:pt>
                <c:pt idx="489">
                  <c:v>100</c:v>
                </c:pt>
                <c:pt idx="490">
                  <c:v>74.3</c:v>
                </c:pt>
                <c:pt idx="491">
                  <c:v>71.099999999999994</c:v>
                </c:pt>
                <c:pt idx="492">
                  <c:v>66.7</c:v>
                </c:pt>
                <c:pt idx="493">
                  <c:v>82.1</c:v>
                </c:pt>
                <c:pt idx="494">
                  <c:v>88.5</c:v>
                </c:pt>
                <c:pt idx="495">
                  <c:v>79.400000000000006</c:v>
                </c:pt>
                <c:pt idx="496">
                  <c:v>71</c:v>
                </c:pt>
                <c:pt idx="497">
                  <c:v>85.4</c:v>
                </c:pt>
                <c:pt idx="498">
                  <c:v>61.8</c:v>
                </c:pt>
                <c:pt idx="499">
                  <c:v>99.6</c:v>
                </c:pt>
                <c:pt idx="500">
                  <c:v>76.099999999999994</c:v>
                </c:pt>
                <c:pt idx="501">
                  <c:v>90.4</c:v>
                </c:pt>
                <c:pt idx="502">
                  <c:v>93.3</c:v>
                </c:pt>
                <c:pt idx="503">
                  <c:v>88.9</c:v>
                </c:pt>
                <c:pt idx="504">
                  <c:v>99</c:v>
                </c:pt>
                <c:pt idx="505">
                  <c:v>100</c:v>
                </c:pt>
                <c:pt idx="506">
                  <c:v>74.5</c:v>
                </c:pt>
                <c:pt idx="507">
                  <c:v>72.8</c:v>
                </c:pt>
                <c:pt idx="508">
                  <c:v>76.099999999999994</c:v>
                </c:pt>
                <c:pt idx="509">
                  <c:v>99.5</c:v>
                </c:pt>
                <c:pt idx="510">
                  <c:v>79.900000000000006</c:v>
                </c:pt>
                <c:pt idx="511">
                  <c:v>88.2</c:v>
                </c:pt>
                <c:pt idx="512">
                  <c:v>88.9</c:v>
                </c:pt>
                <c:pt idx="513">
                  <c:v>77.900000000000006</c:v>
                </c:pt>
                <c:pt idx="514">
                  <c:v>97.2</c:v>
                </c:pt>
                <c:pt idx="515">
                  <c:v>79.3</c:v>
                </c:pt>
                <c:pt idx="516">
                  <c:v>84.2</c:v>
                </c:pt>
                <c:pt idx="517">
                  <c:v>86.3</c:v>
                </c:pt>
                <c:pt idx="518">
                  <c:v>67.599999999999994</c:v>
                </c:pt>
                <c:pt idx="519">
                  <c:v>80.7</c:v>
                </c:pt>
                <c:pt idx="520">
                  <c:v>64.7</c:v>
                </c:pt>
                <c:pt idx="521">
                  <c:v>71.8</c:v>
                </c:pt>
                <c:pt idx="522">
                  <c:v>84.9</c:v>
                </c:pt>
                <c:pt idx="523">
                  <c:v>100</c:v>
                </c:pt>
                <c:pt idx="524">
                  <c:v>82.4</c:v>
                </c:pt>
                <c:pt idx="525">
                  <c:v>87.3</c:v>
                </c:pt>
                <c:pt idx="526">
                  <c:v>84.8</c:v>
                </c:pt>
                <c:pt idx="527">
                  <c:v>96.4</c:v>
                </c:pt>
                <c:pt idx="528">
                  <c:v>84.3</c:v>
                </c:pt>
                <c:pt idx="529">
                  <c:v>84.5</c:v>
                </c:pt>
                <c:pt idx="530">
                  <c:v>94.7</c:v>
                </c:pt>
                <c:pt idx="531">
                  <c:v>89.6</c:v>
                </c:pt>
                <c:pt idx="532">
                  <c:v>68.599999999999994</c:v>
                </c:pt>
                <c:pt idx="533">
                  <c:v>92.8</c:v>
                </c:pt>
                <c:pt idx="534">
                  <c:v>80.7</c:v>
                </c:pt>
                <c:pt idx="535">
                  <c:v>77.599999999999994</c:v>
                </c:pt>
                <c:pt idx="536">
                  <c:v>87.7</c:v>
                </c:pt>
                <c:pt idx="537">
                  <c:v>86</c:v>
                </c:pt>
                <c:pt idx="538">
                  <c:v>100</c:v>
                </c:pt>
                <c:pt idx="539">
                  <c:v>57.3</c:v>
                </c:pt>
                <c:pt idx="540">
                  <c:v>75.599999999999994</c:v>
                </c:pt>
                <c:pt idx="541">
                  <c:v>87.3</c:v>
                </c:pt>
                <c:pt idx="542">
                  <c:v>88.8</c:v>
                </c:pt>
                <c:pt idx="543">
                  <c:v>91.8</c:v>
                </c:pt>
                <c:pt idx="544">
                  <c:v>66</c:v>
                </c:pt>
                <c:pt idx="545">
                  <c:v>100</c:v>
                </c:pt>
                <c:pt idx="546">
                  <c:v>71.099999999999994</c:v>
                </c:pt>
                <c:pt idx="547">
                  <c:v>88.8</c:v>
                </c:pt>
                <c:pt idx="548">
                  <c:v>100</c:v>
                </c:pt>
                <c:pt idx="549">
                  <c:v>85.2</c:v>
                </c:pt>
                <c:pt idx="550">
                  <c:v>75.400000000000006</c:v>
                </c:pt>
                <c:pt idx="551">
                  <c:v>100</c:v>
                </c:pt>
                <c:pt idx="552">
                  <c:v>78.900000000000006</c:v>
                </c:pt>
                <c:pt idx="553">
                  <c:v>83.4</c:v>
                </c:pt>
                <c:pt idx="554">
                  <c:v>63.4</c:v>
                </c:pt>
                <c:pt idx="555">
                  <c:v>80.7</c:v>
                </c:pt>
                <c:pt idx="556">
                  <c:v>80.8</c:v>
                </c:pt>
                <c:pt idx="557">
                  <c:v>73.099999999999994</c:v>
                </c:pt>
                <c:pt idx="558">
                  <c:v>99.8</c:v>
                </c:pt>
                <c:pt idx="559">
                  <c:v>73.5</c:v>
                </c:pt>
                <c:pt idx="560">
                  <c:v>68.2</c:v>
                </c:pt>
                <c:pt idx="561">
                  <c:v>83.9</c:v>
                </c:pt>
                <c:pt idx="562">
                  <c:v>75.3</c:v>
                </c:pt>
                <c:pt idx="563">
                  <c:v>78.7</c:v>
                </c:pt>
                <c:pt idx="564">
                  <c:v>82.8</c:v>
                </c:pt>
                <c:pt idx="565">
                  <c:v>100</c:v>
                </c:pt>
                <c:pt idx="566">
                  <c:v>92.6</c:v>
                </c:pt>
                <c:pt idx="567">
                  <c:v>99.1</c:v>
                </c:pt>
                <c:pt idx="568">
                  <c:v>76.2</c:v>
                </c:pt>
                <c:pt idx="569">
                  <c:v>90.9</c:v>
                </c:pt>
                <c:pt idx="570">
                  <c:v>63.3</c:v>
                </c:pt>
                <c:pt idx="571">
                  <c:v>85</c:v>
                </c:pt>
                <c:pt idx="572">
                  <c:v>88.7</c:v>
                </c:pt>
                <c:pt idx="573">
                  <c:v>75.3</c:v>
                </c:pt>
                <c:pt idx="574">
                  <c:v>84.9</c:v>
                </c:pt>
                <c:pt idx="575">
                  <c:v>81.099999999999994</c:v>
                </c:pt>
                <c:pt idx="576">
                  <c:v>75.599999999999994</c:v>
                </c:pt>
                <c:pt idx="577">
                  <c:v>95.5</c:v>
                </c:pt>
                <c:pt idx="578">
                  <c:v>83.3</c:v>
                </c:pt>
                <c:pt idx="579">
                  <c:v>95.7</c:v>
                </c:pt>
                <c:pt idx="580">
                  <c:v>70.400000000000006</c:v>
                </c:pt>
                <c:pt idx="581">
                  <c:v>82.7</c:v>
                </c:pt>
                <c:pt idx="582">
                  <c:v>76.7</c:v>
                </c:pt>
                <c:pt idx="583">
                  <c:v>68.400000000000006</c:v>
                </c:pt>
                <c:pt idx="584">
                  <c:v>84.6</c:v>
                </c:pt>
                <c:pt idx="585">
                  <c:v>67.7</c:v>
                </c:pt>
                <c:pt idx="586">
                  <c:v>89.2</c:v>
                </c:pt>
                <c:pt idx="587">
                  <c:v>85</c:v>
                </c:pt>
                <c:pt idx="588">
                  <c:v>77.3</c:v>
                </c:pt>
                <c:pt idx="589">
                  <c:v>72.2</c:v>
                </c:pt>
                <c:pt idx="590">
                  <c:v>89</c:v>
                </c:pt>
                <c:pt idx="591">
                  <c:v>63.2</c:v>
                </c:pt>
                <c:pt idx="592">
                  <c:v>73.2</c:v>
                </c:pt>
                <c:pt idx="593">
                  <c:v>87</c:v>
                </c:pt>
                <c:pt idx="594">
                  <c:v>88.5</c:v>
                </c:pt>
                <c:pt idx="595">
                  <c:v>80.400000000000006</c:v>
                </c:pt>
                <c:pt idx="596">
                  <c:v>80.2</c:v>
                </c:pt>
                <c:pt idx="597">
                  <c:v>80.900000000000006</c:v>
                </c:pt>
                <c:pt idx="598">
                  <c:v>86.4</c:v>
                </c:pt>
                <c:pt idx="599">
                  <c:v>86.3</c:v>
                </c:pt>
                <c:pt idx="600">
                  <c:v>93.4</c:v>
                </c:pt>
                <c:pt idx="601">
                  <c:v>95.1</c:v>
                </c:pt>
                <c:pt idx="602">
                  <c:v>83.9</c:v>
                </c:pt>
                <c:pt idx="603">
                  <c:v>100</c:v>
                </c:pt>
                <c:pt idx="604">
                  <c:v>80.900000000000006</c:v>
                </c:pt>
                <c:pt idx="605">
                  <c:v>76.400000000000006</c:v>
                </c:pt>
                <c:pt idx="606">
                  <c:v>73.599999999999994</c:v>
                </c:pt>
                <c:pt idx="607">
                  <c:v>84</c:v>
                </c:pt>
                <c:pt idx="608">
                  <c:v>58.6</c:v>
                </c:pt>
                <c:pt idx="609">
                  <c:v>96.3</c:v>
                </c:pt>
                <c:pt idx="610">
                  <c:v>78.8</c:v>
                </c:pt>
                <c:pt idx="611">
                  <c:v>79.8</c:v>
                </c:pt>
                <c:pt idx="612">
                  <c:v>70</c:v>
                </c:pt>
                <c:pt idx="613">
                  <c:v>75</c:v>
                </c:pt>
                <c:pt idx="614">
                  <c:v>95</c:v>
                </c:pt>
                <c:pt idx="615">
                  <c:v>92.4</c:v>
                </c:pt>
                <c:pt idx="616">
                  <c:v>86.4</c:v>
                </c:pt>
                <c:pt idx="617">
                  <c:v>79.099999999999994</c:v>
                </c:pt>
                <c:pt idx="618">
                  <c:v>91.5</c:v>
                </c:pt>
                <c:pt idx="619">
                  <c:v>80.3</c:v>
                </c:pt>
                <c:pt idx="620">
                  <c:v>98.3</c:v>
                </c:pt>
                <c:pt idx="621">
                  <c:v>79.3</c:v>
                </c:pt>
                <c:pt idx="622">
                  <c:v>89.5</c:v>
                </c:pt>
                <c:pt idx="623">
                  <c:v>75.7</c:v>
                </c:pt>
                <c:pt idx="624">
                  <c:v>89.6</c:v>
                </c:pt>
                <c:pt idx="625">
                  <c:v>71</c:v>
                </c:pt>
                <c:pt idx="626">
                  <c:v>96.8</c:v>
                </c:pt>
                <c:pt idx="627">
                  <c:v>61.9</c:v>
                </c:pt>
                <c:pt idx="628">
                  <c:v>93.9</c:v>
                </c:pt>
                <c:pt idx="629">
                  <c:v>81.3</c:v>
                </c:pt>
                <c:pt idx="630">
                  <c:v>77.599999999999994</c:v>
                </c:pt>
                <c:pt idx="631">
                  <c:v>71.400000000000006</c:v>
                </c:pt>
                <c:pt idx="632">
                  <c:v>89.4</c:v>
                </c:pt>
                <c:pt idx="633">
                  <c:v>74.3</c:v>
                </c:pt>
                <c:pt idx="634">
                  <c:v>76</c:v>
                </c:pt>
                <c:pt idx="635">
                  <c:v>96.3</c:v>
                </c:pt>
                <c:pt idx="636">
                  <c:v>100</c:v>
                </c:pt>
                <c:pt idx="637">
                  <c:v>99.9</c:v>
                </c:pt>
                <c:pt idx="638">
                  <c:v>83.8</c:v>
                </c:pt>
                <c:pt idx="639">
                  <c:v>79.400000000000006</c:v>
                </c:pt>
                <c:pt idx="640">
                  <c:v>86</c:v>
                </c:pt>
                <c:pt idx="641">
                  <c:v>97.9</c:v>
                </c:pt>
                <c:pt idx="642">
                  <c:v>90.5</c:v>
                </c:pt>
                <c:pt idx="643">
                  <c:v>70.400000000000006</c:v>
                </c:pt>
                <c:pt idx="644">
                  <c:v>82.9</c:v>
                </c:pt>
                <c:pt idx="645">
                  <c:v>75.5</c:v>
                </c:pt>
                <c:pt idx="646">
                  <c:v>100</c:v>
                </c:pt>
                <c:pt idx="647">
                  <c:v>94</c:v>
                </c:pt>
                <c:pt idx="648">
                  <c:v>88.9</c:v>
                </c:pt>
                <c:pt idx="649">
                  <c:v>97.3</c:v>
                </c:pt>
                <c:pt idx="650">
                  <c:v>59.5</c:v>
                </c:pt>
                <c:pt idx="651">
                  <c:v>73.3</c:v>
                </c:pt>
                <c:pt idx="652">
                  <c:v>88</c:v>
                </c:pt>
                <c:pt idx="653">
                  <c:v>74.8</c:v>
                </c:pt>
                <c:pt idx="654">
                  <c:v>89.9</c:v>
                </c:pt>
                <c:pt idx="655">
                  <c:v>72.599999999999994</c:v>
                </c:pt>
                <c:pt idx="656">
                  <c:v>83.6</c:v>
                </c:pt>
                <c:pt idx="657">
                  <c:v>100</c:v>
                </c:pt>
                <c:pt idx="658">
                  <c:v>84.3</c:v>
                </c:pt>
                <c:pt idx="659">
                  <c:v>85.4</c:v>
                </c:pt>
                <c:pt idx="660">
                  <c:v>95.2</c:v>
                </c:pt>
                <c:pt idx="661">
                  <c:v>69</c:v>
                </c:pt>
                <c:pt idx="662">
                  <c:v>94.2</c:v>
                </c:pt>
                <c:pt idx="663">
                  <c:v>99.7</c:v>
                </c:pt>
                <c:pt idx="664">
                  <c:v>85.8</c:v>
                </c:pt>
                <c:pt idx="665">
                  <c:v>91.7</c:v>
                </c:pt>
                <c:pt idx="666">
                  <c:v>92.2</c:v>
                </c:pt>
                <c:pt idx="667">
                  <c:v>96.3</c:v>
                </c:pt>
                <c:pt idx="668">
                  <c:v>97.6</c:v>
                </c:pt>
                <c:pt idx="669">
                  <c:v>66.400000000000006</c:v>
                </c:pt>
                <c:pt idx="670">
                  <c:v>60.8</c:v>
                </c:pt>
                <c:pt idx="671">
                  <c:v>99.8</c:v>
                </c:pt>
                <c:pt idx="672">
                  <c:v>85.2</c:v>
                </c:pt>
                <c:pt idx="673">
                  <c:v>73.2</c:v>
                </c:pt>
                <c:pt idx="674">
                  <c:v>83.8</c:v>
                </c:pt>
                <c:pt idx="675">
                  <c:v>61.3</c:v>
                </c:pt>
                <c:pt idx="676">
                  <c:v>90.6</c:v>
                </c:pt>
                <c:pt idx="677">
                  <c:v>67.7</c:v>
                </c:pt>
                <c:pt idx="678">
                  <c:v>63.6</c:v>
                </c:pt>
                <c:pt idx="679">
                  <c:v>84.1</c:v>
                </c:pt>
                <c:pt idx="680">
                  <c:v>86.2</c:v>
                </c:pt>
                <c:pt idx="681">
                  <c:v>93.9</c:v>
                </c:pt>
                <c:pt idx="682">
                  <c:v>73.900000000000006</c:v>
                </c:pt>
                <c:pt idx="683">
                  <c:v>79.3</c:v>
                </c:pt>
                <c:pt idx="684">
                  <c:v>83.8</c:v>
                </c:pt>
                <c:pt idx="685">
                  <c:v>91.7</c:v>
                </c:pt>
                <c:pt idx="686">
                  <c:v>91.7</c:v>
                </c:pt>
                <c:pt idx="687">
                  <c:v>74.400000000000006</c:v>
                </c:pt>
                <c:pt idx="688">
                  <c:v>81.5</c:v>
                </c:pt>
                <c:pt idx="689">
                  <c:v>67.7</c:v>
                </c:pt>
                <c:pt idx="690">
                  <c:v>71</c:v>
                </c:pt>
                <c:pt idx="691">
                  <c:v>79.900000000000006</c:v>
                </c:pt>
                <c:pt idx="692">
                  <c:v>92.2</c:v>
                </c:pt>
                <c:pt idx="693">
                  <c:v>100</c:v>
                </c:pt>
                <c:pt idx="694">
                  <c:v>89.6</c:v>
                </c:pt>
                <c:pt idx="695">
                  <c:v>77.5</c:v>
                </c:pt>
                <c:pt idx="696">
                  <c:v>72.599999999999994</c:v>
                </c:pt>
                <c:pt idx="697">
                  <c:v>97.9</c:v>
                </c:pt>
                <c:pt idx="698">
                  <c:v>85.5</c:v>
                </c:pt>
                <c:pt idx="699">
                  <c:v>92.1</c:v>
                </c:pt>
                <c:pt idx="700">
                  <c:v>84.5</c:v>
                </c:pt>
                <c:pt idx="701">
                  <c:v>82.8</c:v>
                </c:pt>
                <c:pt idx="702">
                  <c:v>65.400000000000006</c:v>
                </c:pt>
                <c:pt idx="703">
                  <c:v>89.6</c:v>
                </c:pt>
                <c:pt idx="704">
                  <c:v>83.1</c:v>
                </c:pt>
                <c:pt idx="705">
                  <c:v>94.2</c:v>
                </c:pt>
                <c:pt idx="706">
                  <c:v>92.9</c:v>
                </c:pt>
                <c:pt idx="707">
                  <c:v>77.099999999999994</c:v>
                </c:pt>
                <c:pt idx="708">
                  <c:v>98.3</c:v>
                </c:pt>
                <c:pt idx="709">
                  <c:v>72.099999999999994</c:v>
                </c:pt>
                <c:pt idx="710">
                  <c:v>94.6</c:v>
                </c:pt>
                <c:pt idx="711">
                  <c:v>67.099999999999994</c:v>
                </c:pt>
                <c:pt idx="712">
                  <c:v>72.2</c:v>
                </c:pt>
                <c:pt idx="713">
                  <c:v>95.6</c:v>
                </c:pt>
                <c:pt idx="714">
                  <c:v>91.9</c:v>
                </c:pt>
                <c:pt idx="715">
                  <c:v>54.1</c:v>
                </c:pt>
                <c:pt idx="716">
                  <c:v>98.5</c:v>
                </c:pt>
                <c:pt idx="717">
                  <c:v>85</c:v>
                </c:pt>
                <c:pt idx="718">
                  <c:v>99.1</c:v>
                </c:pt>
                <c:pt idx="719">
                  <c:v>78.2</c:v>
                </c:pt>
                <c:pt idx="720">
                  <c:v>83.8</c:v>
                </c:pt>
                <c:pt idx="721">
                  <c:v>70.7</c:v>
                </c:pt>
                <c:pt idx="722">
                  <c:v>69.900000000000006</c:v>
                </c:pt>
                <c:pt idx="723">
                  <c:v>93.7</c:v>
                </c:pt>
                <c:pt idx="724">
                  <c:v>84.9</c:v>
                </c:pt>
                <c:pt idx="725">
                  <c:v>100</c:v>
                </c:pt>
                <c:pt idx="726">
                  <c:v>97.5</c:v>
                </c:pt>
                <c:pt idx="727">
                  <c:v>88</c:v>
                </c:pt>
                <c:pt idx="728">
                  <c:v>85</c:v>
                </c:pt>
                <c:pt idx="729">
                  <c:v>98.9</c:v>
                </c:pt>
                <c:pt idx="730">
                  <c:v>100</c:v>
                </c:pt>
                <c:pt idx="731">
                  <c:v>85</c:v>
                </c:pt>
                <c:pt idx="732">
                  <c:v>74.3</c:v>
                </c:pt>
                <c:pt idx="733">
                  <c:v>99.6</c:v>
                </c:pt>
                <c:pt idx="734">
                  <c:v>79.8</c:v>
                </c:pt>
                <c:pt idx="735">
                  <c:v>91.3</c:v>
                </c:pt>
                <c:pt idx="736">
                  <c:v>95</c:v>
                </c:pt>
                <c:pt idx="737">
                  <c:v>66.599999999999994</c:v>
                </c:pt>
                <c:pt idx="738">
                  <c:v>93.1</c:v>
                </c:pt>
                <c:pt idx="739">
                  <c:v>81.8</c:v>
                </c:pt>
                <c:pt idx="740">
                  <c:v>62.9</c:v>
                </c:pt>
                <c:pt idx="741">
                  <c:v>94</c:v>
                </c:pt>
                <c:pt idx="742">
                  <c:v>85</c:v>
                </c:pt>
                <c:pt idx="743">
                  <c:v>82.4</c:v>
                </c:pt>
                <c:pt idx="744">
                  <c:v>89.5</c:v>
                </c:pt>
                <c:pt idx="745">
                  <c:v>83.3</c:v>
                </c:pt>
                <c:pt idx="746">
                  <c:v>100</c:v>
                </c:pt>
                <c:pt idx="747">
                  <c:v>92.4</c:v>
                </c:pt>
                <c:pt idx="748">
                  <c:v>77</c:v>
                </c:pt>
                <c:pt idx="749">
                  <c:v>95.1</c:v>
                </c:pt>
                <c:pt idx="750">
                  <c:v>88.8</c:v>
                </c:pt>
                <c:pt idx="751">
                  <c:v>93.2</c:v>
                </c:pt>
                <c:pt idx="752">
                  <c:v>96.4</c:v>
                </c:pt>
                <c:pt idx="753">
                  <c:v>67.2</c:v>
                </c:pt>
                <c:pt idx="754">
                  <c:v>84.6</c:v>
                </c:pt>
                <c:pt idx="755">
                  <c:v>89.8</c:v>
                </c:pt>
                <c:pt idx="756">
                  <c:v>90.3</c:v>
                </c:pt>
                <c:pt idx="757">
                  <c:v>82.5</c:v>
                </c:pt>
                <c:pt idx="758">
                  <c:v>84.5</c:v>
                </c:pt>
                <c:pt idx="759">
                  <c:v>72.099999999999994</c:v>
                </c:pt>
                <c:pt idx="760">
                  <c:v>53.2</c:v>
                </c:pt>
                <c:pt idx="761">
                  <c:v>74</c:v>
                </c:pt>
                <c:pt idx="762">
                  <c:v>96.8</c:v>
                </c:pt>
                <c:pt idx="763">
                  <c:v>81.2</c:v>
                </c:pt>
                <c:pt idx="764">
                  <c:v>85.4</c:v>
                </c:pt>
                <c:pt idx="765">
                  <c:v>81.099999999999994</c:v>
                </c:pt>
                <c:pt idx="766">
                  <c:v>83.9</c:v>
                </c:pt>
                <c:pt idx="767">
                  <c:v>71.2</c:v>
                </c:pt>
                <c:pt idx="768">
                  <c:v>85.5</c:v>
                </c:pt>
                <c:pt idx="769">
                  <c:v>98.4</c:v>
                </c:pt>
                <c:pt idx="770">
                  <c:v>82.6</c:v>
                </c:pt>
                <c:pt idx="771">
                  <c:v>91.6</c:v>
                </c:pt>
                <c:pt idx="772">
                  <c:v>91.3</c:v>
                </c:pt>
                <c:pt idx="773">
                  <c:v>84.3</c:v>
                </c:pt>
                <c:pt idx="774">
                  <c:v>74.599999999999994</c:v>
                </c:pt>
                <c:pt idx="775">
                  <c:v>88.6</c:v>
                </c:pt>
                <c:pt idx="776">
                  <c:v>73.599999999999994</c:v>
                </c:pt>
                <c:pt idx="777">
                  <c:v>95.8</c:v>
                </c:pt>
                <c:pt idx="778">
                  <c:v>87.1</c:v>
                </c:pt>
                <c:pt idx="779">
                  <c:v>89.9</c:v>
                </c:pt>
                <c:pt idx="780">
                  <c:v>79.099999999999994</c:v>
                </c:pt>
                <c:pt idx="781">
                  <c:v>97.6</c:v>
                </c:pt>
                <c:pt idx="782">
                  <c:v>90.3</c:v>
                </c:pt>
                <c:pt idx="783">
                  <c:v>78.099999999999994</c:v>
                </c:pt>
                <c:pt idx="784">
                  <c:v>92.6</c:v>
                </c:pt>
                <c:pt idx="785">
                  <c:v>97</c:v>
                </c:pt>
                <c:pt idx="786">
                  <c:v>77</c:v>
                </c:pt>
                <c:pt idx="787">
                  <c:v>96.8</c:v>
                </c:pt>
                <c:pt idx="788">
                  <c:v>72.099999999999994</c:v>
                </c:pt>
                <c:pt idx="789">
                  <c:v>75.400000000000006</c:v>
                </c:pt>
                <c:pt idx="790">
                  <c:v>57.6</c:v>
                </c:pt>
                <c:pt idx="791">
                  <c:v>67.599999999999994</c:v>
                </c:pt>
                <c:pt idx="792">
                  <c:v>91.2</c:v>
                </c:pt>
                <c:pt idx="793">
                  <c:v>86.8</c:v>
                </c:pt>
                <c:pt idx="794">
                  <c:v>89.5</c:v>
                </c:pt>
                <c:pt idx="795">
                  <c:v>100</c:v>
                </c:pt>
                <c:pt idx="796">
                  <c:v>93.4</c:v>
                </c:pt>
                <c:pt idx="797">
                  <c:v>78.7</c:v>
                </c:pt>
                <c:pt idx="798">
                  <c:v>60.8</c:v>
                </c:pt>
                <c:pt idx="799">
                  <c:v>96.1</c:v>
                </c:pt>
                <c:pt idx="800">
                  <c:v>83</c:v>
                </c:pt>
                <c:pt idx="801">
                  <c:v>94</c:v>
                </c:pt>
                <c:pt idx="802">
                  <c:v>100</c:v>
                </c:pt>
                <c:pt idx="803">
                  <c:v>94.6</c:v>
                </c:pt>
                <c:pt idx="804">
                  <c:v>87.7</c:v>
                </c:pt>
                <c:pt idx="805">
                  <c:v>82.1</c:v>
                </c:pt>
                <c:pt idx="806">
                  <c:v>80.099999999999994</c:v>
                </c:pt>
                <c:pt idx="807">
                  <c:v>57.8</c:v>
                </c:pt>
                <c:pt idx="808">
                  <c:v>74.3</c:v>
                </c:pt>
                <c:pt idx="809">
                  <c:v>82.5</c:v>
                </c:pt>
                <c:pt idx="810">
                  <c:v>85.9</c:v>
                </c:pt>
                <c:pt idx="811">
                  <c:v>88.4</c:v>
                </c:pt>
                <c:pt idx="812">
                  <c:v>100</c:v>
                </c:pt>
                <c:pt idx="813">
                  <c:v>75.599999999999994</c:v>
                </c:pt>
                <c:pt idx="814">
                  <c:v>78</c:v>
                </c:pt>
                <c:pt idx="815">
                  <c:v>80</c:v>
                </c:pt>
                <c:pt idx="816">
                  <c:v>80.2</c:v>
                </c:pt>
                <c:pt idx="817">
                  <c:v>82.2</c:v>
                </c:pt>
                <c:pt idx="818">
                  <c:v>79.599999999999994</c:v>
                </c:pt>
                <c:pt idx="819">
                  <c:v>96.3</c:v>
                </c:pt>
                <c:pt idx="820">
                  <c:v>65.400000000000006</c:v>
                </c:pt>
                <c:pt idx="821">
                  <c:v>79.900000000000006</c:v>
                </c:pt>
                <c:pt idx="822">
                  <c:v>71.599999999999994</c:v>
                </c:pt>
                <c:pt idx="823">
                  <c:v>100</c:v>
                </c:pt>
                <c:pt idx="824">
                  <c:v>93.9</c:v>
                </c:pt>
                <c:pt idx="825">
                  <c:v>87.5</c:v>
                </c:pt>
                <c:pt idx="826">
                  <c:v>86.3</c:v>
                </c:pt>
                <c:pt idx="827">
                  <c:v>77.599999999999994</c:v>
                </c:pt>
                <c:pt idx="828">
                  <c:v>70.2</c:v>
                </c:pt>
                <c:pt idx="829">
                  <c:v>100</c:v>
                </c:pt>
                <c:pt idx="830">
                  <c:v>73.5</c:v>
                </c:pt>
                <c:pt idx="831">
                  <c:v>91.2</c:v>
                </c:pt>
                <c:pt idx="832">
                  <c:v>78.099999999999994</c:v>
                </c:pt>
                <c:pt idx="833">
                  <c:v>89</c:v>
                </c:pt>
                <c:pt idx="834">
                  <c:v>82</c:v>
                </c:pt>
                <c:pt idx="835">
                  <c:v>89.5</c:v>
                </c:pt>
                <c:pt idx="836">
                  <c:v>100</c:v>
                </c:pt>
                <c:pt idx="837">
                  <c:v>88.7</c:v>
                </c:pt>
                <c:pt idx="838">
                  <c:v>86</c:v>
                </c:pt>
                <c:pt idx="839">
                  <c:v>82.9</c:v>
                </c:pt>
                <c:pt idx="840">
                  <c:v>88.6</c:v>
                </c:pt>
                <c:pt idx="841">
                  <c:v>79.2</c:v>
                </c:pt>
                <c:pt idx="842">
                  <c:v>85.1</c:v>
                </c:pt>
                <c:pt idx="843">
                  <c:v>80.2</c:v>
                </c:pt>
                <c:pt idx="844">
                  <c:v>80.2</c:v>
                </c:pt>
                <c:pt idx="845">
                  <c:v>80.3</c:v>
                </c:pt>
                <c:pt idx="846">
                  <c:v>69.8</c:v>
                </c:pt>
                <c:pt idx="847">
                  <c:v>100</c:v>
                </c:pt>
                <c:pt idx="848">
                  <c:v>80.8</c:v>
                </c:pt>
                <c:pt idx="849">
                  <c:v>100</c:v>
                </c:pt>
                <c:pt idx="850">
                  <c:v>99.5</c:v>
                </c:pt>
                <c:pt idx="851">
                  <c:v>80.7</c:v>
                </c:pt>
                <c:pt idx="852">
                  <c:v>86.6</c:v>
                </c:pt>
                <c:pt idx="853">
                  <c:v>98.8</c:v>
                </c:pt>
                <c:pt idx="854">
                  <c:v>81.900000000000006</c:v>
                </c:pt>
                <c:pt idx="855">
                  <c:v>79</c:v>
                </c:pt>
                <c:pt idx="856">
                  <c:v>91.7</c:v>
                </c:pt>
                <c:pt idx="857">
                  <c:v>78.8</c:v>
                </c:pt>
                <c:pt idx="858">
                  <c:v>84.8</c:v>
                </c:pt>
                <c:pt idx="859">
                  <c:v>66.5</c:v>
                </c:pt>
                <c:pt idx="860">
                  <c:v>91.1</c:v>
                </c:pt>
                <c:pt idx="861">
                  <c:v>74.2</c:v>
                </c:pt>
                <c:pt idx="862">
                  <c:v>86.3</c:v>
                </c:pt>
                <c:pt idx="863">
                  <c:v>71.2</c:v>
                </c:pt>
                <c:pt idx="864">
                  <c:v>83.5</c:v>
                </c:pt>
                <c:pt idx="865">
                  <c:v>89.8</c:v>
                </c:pt>
                <c:pt idx="866">
                  <c:v>80.3</c:v>
                </c:pt>
                <c:pt idx="867">
                  <c:v>91.6</c:v>
                </c:pt>
                <c:pt idx="868">
                  <c:v>95.8</c:v>
                </c:pt>
                <c:pt idx="869">
                  <c:v>84.4</c:v>
                </c:pt>
                <c:pt idx="870">
                  <c:v>96.1</c:v>
                </c:pt>
                <c:pt idx="871">
                  <c:v>92.6</c:v>
                </c:pt>
                <c:pt idx="872">
                  <c:v>75.5</c:v>
                </c:pt>
                <c:pt idx="873">
                  <c:v>85.1</c:v>
                </c:pt>
                <c:pt idx="874">
                  <c:v>93.8</c:v>
                </c:pt>
                <c:pt idx="875">
                  <c:v>81.400000000000006</c:v>
                </c:pt>
                <c:pt idx="876">
                  <c:v>98.8</c:v>
                </c:pt>
                <c:pt idx="877">
                  <c:v>65.400000000000006</c:v>
                </c:pt>
                <c:pt idx="878">
                  <c:v>77.599999999999994</c:v>
                </c:pt>
                <c:pt idx="879">
                  <c:v>85.6</c:v>
                </c:pt>
                <c:pt idx="880">
                  <c:v>81.400000000000006</c:v>
                </c:pt>
                <c:pt idx="881">
                  <c:v>85.4</c:v>
                </c:pt>
                <c:pt idx="882">
                  <c:v>71.900000000000006</c:v>
                </c:pt>
                <c:pt idx="883">
                  <c:v>94.4</c:v>
                </c:pt>
                <c:pt idx="884">
                  <c:v>100</c:v>
                </c:pt>
                <c:pt idx="885">
                  <c:v>77.099999999999994</c:v>
                </c:pt>
                <c:pt idx="886">
                  <c:v>76.8</c:v>
                </c:pt>
                <c:pt idx="887">
                  <c:v>79.8</c:v>
                </c:pt>
                <c:pt idx="888">
                  <c:v>82.2</c:v>
                </c:pt>
                <c:pt idx="889">
                  <c:v>77.400000000000006</c:v>
                </c:pt>
                <c:pt idx="890">
                  <c:v>100</c:v>
                </c:pt>
                <c:pt idx="891">
                  <c:v>87.2</c:v>
                </c:pt>
                <c:pt idx="892">
                  <c:v>76.400000000000006</c:v>
                </c:pt>
                <c:pt idx="893">
                  <c:v>79.599999999999994</c:v>
                </c:pt>
                <c:pt idx="894">
                  <c:v>71.400000000000006</c:v>
                </c:pt>
                <c:pt idx="895">
                  <c:v>80.8</c:v>
                </c:pt>
                <c:pt idx="896">
                  <c:v>91.1</c:v>
                </c:pt>
                <c:pt idx="897">
                  <c:v>78.8</c:v>
                </c:pt>
                <c:pt idx="898">
                  <c:v>66.7</c:v>
                </c:pt>
                <c:pt idx="899">
                  <c:v>68.8</c:v>
                </c:pt>
                <c:pt idx="900">
                  <c:v>69.900000000000006</c:v>
                </c:pt>
                <c:pt idx="901">
                  <c:v>80.7</c:v>
                </c:pt>
                <c:pt idx="902">
                  <c:v>73.3</c:v>
                </c:pt>
                <c:pt idx="903">
                  <c:v>68.8</c:v>
                </c:pt>
                <c:pt idx="904">
                  <c:v>90.8</c:v>
                </c:pt>
                <c:pt idx="905">
                  <c:v>100</c:v>
                </c:pt>
                <c:pt idx="906">
                  <c:v>85</c:v>
                </c:pt>
                <c:pt idx="907">
                  <c:v>86</c:v>
                </c:pt>
                <c:pt idx="908">
                  <c:v>73.099999999999994</c:v>
                </c:pt>
                <c:pt idx="909">
                  <c:v>87.6</c:v>
                </c:pt>
                <c:pt idx="910">
                  <c:v>96.5</c:v>
                </c:pt>
                <c:pt idx="911">
                  <c:v>100</c:v>
                </c:pt>
                <c:pt idx="912">
                  <c:v>82.1</c:v>
                </c:pt>
                <c:pt idx="913">
                  <c:v>80.3</c:v>
                </c:pt>
                <c:pt idx="914">
                  <c:v>76.900000000000006</c:v>
                </c:pt>
                <c:pt idx="915">
                  <c:v>81.7</c:v>
                </c:pt>
                <c:pt idx="916">
                  <c:v>88.1</c:v>
                </c:pt>
                <c:pt idx="917">
                  <c:v>88.1</c:v>
                </c:pt>
                <c:pt idx="918">
                  <c:v>97.3</c:v>
                </c:pt>
                <c:pt idx="919">
                  <c:v>83.4</c:v>
                </c:pt>
                <c:pt idx="920">
                  <c:v>72.8</c:v>
                </c:pt>
                <c:pt idx="921">
                  <c:v>90.5</c:v>
                </c:pt>
                <c:pt idx="922">
                  <c:v>83.8</c:v>
                </c:pt>
                <c:pt idx="923">
                  <c:v>93.1</c:v>
                </c:pt>
                <c:pt idx="924">
                  <c:v>71.2</c:v>
                </c:pt>
                <c:pt idx="925">
                  <c:v>95.3</c:v>
                </c:pt>
                <c:pt idx="926">
                  <c:v>99.6</c:v>
                </c:pt>
                <c:pt idx="927">
                  <c:v>92.4</c:v>
                </c:pt>
                <c:pt idx="928">
                  <c:v>75.400000000000006</c:v>
                </c:pt>
                <c:pt idx="929">
                  <c:v>80.8</c:v>
                </c:pt>
                <c:pt idx="930">
                  <c:v>72.900000000000006</c:v>
                </c:pt>
                <c:pt idx="931">
                  <c:v>63.7</c:v>
                </c:pt>
                <c:pt idx="932">
                  <c:v>75.3</c:v>
                </c:pt>
                <c:pt idx="933">
                  <c:v>71.7</c:v>
                </c:pt>
                <c:pt idx="934">
                  <c:v>100</c:v>
                </c:pt>
                <c:pt idx="935">
                  <c:v>83.3</c:v>
                </c:pt>
                <c:pt idx="936">
                  <c:v>85.6</c:v>
                </c:pt>
                <c:pt idx="937">
                  <c:v>93.1</c:v>
                </c:pt>
                <c:pt idx="938">
                  <c:v>77.3</c:v>
                </c:pt>
                <c:pt idx="939">
                  <c:v>74.8</c:v>
                </c:pt>
                <c:pt idx="940">
                  <c:v>76.7</c:v>
                </c:pt>
                <c:pt idx="941">
                  <c:v>85.3</c:v>
                </c:pt>
                <c:pt idx="942">
                  <c:v>68.599999999999994</c:v>
                </c:pt>
                <c:pt idx="943">
                  <c:v>96.4</c:v>
                </c:pt>
                <c:pt idx="944">
                  <c:v>95.7</c:v>
                </c:pt>
                <c:pt idx="945">
                  <c:v>96.1</c:v>
                </c:pt>
                <c:pt idx="946">
                  <c:v>70.400000000000006</c:v>
                </c:pt>
                <c:pt idx="947">
                  <c:v>85.8</c:v>
                </c:pt>
                <c:pt idx="948">
                  <c:v>100</c:v>
                </c:pt>
                <c:pt idx="949">
                  <c:v>65.8</c:v>
                </c:pt>
                <c:pt idx="950">
                  <c:v>72.400000000000006</c:v>
                </c:pt>
                <c:pt idx="951">
                  <c:v>83.6</c:v>
                </c:pt>
                <c:pt idx="952">
                  <c:v>89.5</c:v>
                </c:pt>
                <c:pt idx="953">
                  <c:v>77.900000000000006</c:v>
                </c:pt>
                <c:pt idx="954">
                  <c:v>100</c:v>
                </c:pt>
                <c:pt idx="955">
                  <c:v>88.3</c:v>
                </c:pt>
                <c:pt idx="956">
                  <c:v>93.5</c:v>
                </c:pt>
                <c:pt idx="957">
                  <c:v>89</c:v>
                </c:pt>
                <c:pt idx="958">
                  <c:v>87.6</c:v>
                </c:pt>
                <c:pt idx="959">
                  <c:v>80.5</c:v>
                </c:pt>
                <c:pt idx="960">
                  <c:v>75.400000000000006</c:v>
                </c:pt>
                <c:pt idx="961">
                  <c:v>80.7</c:v>
                </c:pt>
                <c:pt idx="962">
                  <c:v>73</c:v>
                </c:pt>
                <c:pt idx="963">
                  <c:v>78.400000000000006</c:v>
                </c:pt>
                <c:pt idx="964">
                  <c:v>69.5</c:v>
                </c:pt>
                <c:pt idx="965">
                  <c:v>76.2</c:v>
                </c:pt>
                <c:pt idx="966">
                  <c:v>90</c:v>
                </c:pt>
                <c:pt idx="967">
                  <c:v>100</c:v>
                </c:pt>
                <c:pt idx="968">
                  <c:v>60</c:v>
                </c:pt>
                <c:pt idx="969">
                  <c:v>78.3</c:v>
                </c:pt>
                <c:pt idx="970">
                  <c:v>100</c:v>
                </c:pt>
                <c:pt idx="971">
                  <c:v>75.599999999999994</c:v>
                </c:pt>
                <c:pt idx="972">
                  <c:v>84.1</c:v>
                </c:pt>
                <c:pt idx="973">
                  <c:v>77.900000000000006</c:v>
                </c:pt>
                <c:pt idx="974">
                  <c:v>67.900000000000006</c:v>
                </c:pt>
                <c:pt idx="975">
                  <c:v>67</c:v>
                </c:pt>
                <c:pt idx="976">
                  <c:v>80.900000000000006</c:v>
                </c:pt>
                <c:pt idx="977">
                  <c:v>72.099999999999994</c:v>
                </c:pt>
                <c:pt idx="978">
                  <c:v>83</c:v>
                </c:pt>
                <c:pt idx="979">
                  <c:v>93.9</c:v>
                </c:pt>
                <c:pt idx="980">
                  <c:v>91.4</c:v>
                </c:pt>
                <c:pt idx="981">
                  <c:v>79.7</c:v>
                </c:pt>
                <c:pt idx="982">
                  <c:v>77.7</c:v>
                </c:pt>
                <c:pt idx="983">
                  <c:v>85</c:v>
                </c:pt>
                <c:pt idx="984">
                  <c:v>75.400000000000006</c:v>
                </c:pt>
                <c:pt idx="985">
                  <c:v>96.4</c:v>
                </c:pt>
                <c:pt idx="986">
                  <c:v>81.8</c:v>
                </c:pt>
                <c:pt idx="987">
                  <c:v>85.8</c:v>
                </c:pt>
                <c:pt idx="988">
                  <c:v>80.900000000000006</c:v>
                </c:pt>
                <c:pt idx="989">
                  <c:v>93.9</c:v>
                </c:pt>
                <c:pt idx="990">
                  <c:v>81.900000000000006</c:v>
                </c:pt>
                <c:pt idx="991">
                  <c:v>80.400000000000006</c:v>
                </c:pt>
                <c:pt idx="992">
                  <c:v>78.8</c:v>
                </c:pt>
                <c:pt idx="993">
                  <c:v>92.7</c:v>
                </c:pt>
                <c:pt idx="994">
                  <c:v>79.099999999999994</c:v>
                </c:pt>
                <c:pt idx="995">
                  <c:v>70.7</c:v>
                </c:pt>
                <c:pt idx="996">
                  <c:v>99.5</c:v>
                </c:pt>
                <c:pt idx="997">
                  <c:v>79.2</c:v>
                </c:pt>
                <c:pt idx="998">
                  <c:v>82.2</c:v>
                </c:pt>
                <c:pt idx="999">
                  <c:v>70.400000000000006</c:v>
                </c:pt>
              </c:numCache>
            </c:numRef>
          </c:yVal>
          <c:smooth val="0"/>
          <c:extLst>
            <c:ext xmlns:c16="http://schemas.microsoft.com/office/drawing/2014/chart" uri="{C3380CC4-5D6E-409C-BE32-E72D297353CC}">
              <c16:uniqueId val="{00000001-69E7-4175-847D-58F0E0BD86B8}"/>
            </c:ext>
          </c:extLst>
        </c:ser>
        <c:dLbls>
          <c:showLegendKey val="0"/>
          <c:showVal val="0"/>
          <c:showCatName val="0"/>
          <c:showSerName val="0"/>
          <c:showPercent val="0"/>
          <c:showBubbleSize val="0"/>
        </c:dLbls>
        <c:axId val="859674207"/>
        <c:axId val="134068303"/>
      </c:scatterChart>
      <c:valAx>
        <c:axId val="859674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68303"/>
        <c:crosses val="autoZero"/>
        <c:crossBetween val="midCat"/>
      </c:valAx>
      <c:valAx>
        <c:axId val="13406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742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[Student Performance Analysis.xlsx]04_Pivot_Analysis!pivtgob</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2400" b="1"/>
              <a:t>Average Final Score by Part-Time Job</a:t>
            </a:r>
            <a:r>
              <a:rPr lang="en-US" sz="2400"/>
              <a: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400" b="0" i="0" u="none" strike="noStrike" kern="1200" spc="0" baseline="0">
              <a:ln>
                <a:noFill/>
              </a:ln>
              <a:solidFill>
                <a:sysClr val="windowText" lastClr="000000"/>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'04_Pivot_Analysis'!$B$23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'04_Pivot_Analysis'!$A$24:$A$26</c:f>
              <c:strCache>
                <c:ptCount val="2"/>
                <c:pt idx="0">
                  <c:v>No</c:v>
                </c:pt>
                <c:pt idx="1">
                  <c:v>Yes</c:v>
                </c:pt>
              </c:strCache>
            </c:strRef>
          </c:cat>
          <c:val>
            <c:numRef>
              <c:f>'04_Pivot_Analysis'!$B$24:$B$26</c:f>
              <c:numCache>
                <c:formatCode>0.0</c:formatCode>
                <c:ptCount val="2"/>
                <c:pt idx="0">
                  <c:v>84.582309941520634</c:v>
                </c:pt>
                <c:pt idx="1">
                  <c:v>81.29493670886076</c:v>
                </c:pt>
              </c:numCache>
            </c:numRef>
          </c:val>
          <c:extLst>
            <c:ext xmlns:c16="http://schemas.microsoft.com/office/drawing/2014/chart" uri="{C3380CC4-5D6E-409C-BE32-E72D297353CC}">
              <c16:uniqueId val="{00000000-1B33-462A-8309-B7884DAF2EA5}"/>
            </c:ext>
          </c:extLst>
        </c:ser>
        <c:dLbls>
          <c:dLblPos val="outEnd"/>
          <c:showLegendKey val="0"/>
          <c:showVal val="1"/>
          <c:showCatName val="0"/>
          <c:showSerName val="0"/>
          <c:showPercent val="0"/>
          <c:showBubbleSize val="0"/>
        </c:dLbls>
        <c:gapWidth val="219"/>
        <c:overlap val="-27"/>
        <c:axId val="1137879983"/>
        <c:axId val="134109583"/>
      </c:barChart>
      <c:catAx>
        <c:axId val="113787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4109583"/>
        <c:crosses val="autoZero"/>
        <c:auto val="1"/>
        <c:lblAlgn val="ctr"/>
        <c:lblOffset val="100"/>
        <c:noMultiLvlLbl val="0"/>
      </c:catAx>
      <c:valAx>
        <c:axId val="13410958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7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a:t>Distribution of Final Exam Scores</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00000000-8DF2-4B10-AE30-44665D7F11F0}">
          <cx:tx>
            <cx:txData>
              <cx:f>_xlchart.v1.0</cx:f>
              <cx:v>final_exam_score</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21</xdr:col>
      <xdr:colOff>559146</xdr:colOff>
      <xdr:row>16</xdr:row>
      <xdr:rowOff>39695</xdr:rowOff>
    </xdr:from>
    <xdr:to>
      <xdr:col>26</xdr:col>
      <xdr:colOff>515325</xdr:colOff>
      <xdr:row>37</xdr:row>
      <xdr:rowOff>178246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D188D1B-3D34-47A3-42F7-B76F551EE4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117896" y="2986095"/>
              <a:ext cx="6566529" cy="40057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93159</xdr:colOff>
      <xdr:row>16</xdr:row>
      <xdr:rowOff>2393</xdr:rowOff>
    </xdr:from>
    <xdr:to>
      <xdr:col>21</xdr:col>
      <xdr:colOff>73558</xdr:colOff>
      <xdr:row>37</xdr:row>
      <xdr:rowOff>144823</xdr:rowOff>
    </xdr:to>
    <xdr:graphicFrame macro="">
      <xdr:nvGraphicFramePr>
        <xdr:cNvPr id="6" name="Chart 5">
          <a:extLst>
            <a:ext uri="{FF2B5EF4-FFF2-40B4-BE49-F238E27FC236}">
              <a16:creationId xmlns:a16="http://schemas.microsoft.com/office/drawing/2014/main" id="{D1F6AF72-E48A-AD56-4BD4-8C74ADA0A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414830</xdr:colOff>
      <xdr:row>16</xdr:row>
      <xdr:rowOff>59432</xdr:rowOff>
    </xdr:from>
    <xdr:to>
      <xdr:col>16</xdr:col>
      <xdr:colOff>896470</xdr:colOff>
      <xdr:row>37</xdr:row>
      <xdr:rowOff>89123</xdr:rowOff>
    </xdr:to>
    <xdr:graphicFrame macro="">
      <xdr:nvGraphicFramePr>
        <xdr:cNvPr id="7" name="Chart 6">
          <a:extLst>
            <a:ext uri="{FF2B5EF4-FFF2-40B4-BE49-F238E27FC236}">
              <a16:creationId xmlns:a16="http://schemas.microsoft.com/office/drawing/2014/main" id="{13A33468-D527-B56E-2B40-819F7CD2F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402167</xdr:colOff>
      <xdr:row>944</xdr:row>
      <xdr:rowOff>180622</xdr:rowOff>
    </xdr:from>
    <xdr:to>
      <xdr:col>19</xdr:col>
      <xdr:colOff>91722</xdr:colOff>
      <xdr:row>959</xdr:row>
      <xdr:rowOff>172156</xdr:rowOff>
    </xdr:to>
    <xdr:graphicFrame macro="">
      <xdr:nvGraphicFramePr>
        <xdr:cNvPr id="9" name="Chart 8">
          <a:extLst>
            <a:ext uri="{FF2B5EF4-FFF2-40B4-BE49-F238E27FC236}">
              <a16:creationId xmlns:a16="http://schemas.microsoft.com/office/drawing/2014/main" id="{71DA9900-6135-FA1C-EB5C-924B42A57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0</xdr:colOff>
      <xdr:row>973</xdr:row>
      <xdr:rowOff>0</xdr:rowOff>
    </xdr:from>
    <xdr:to>
      <xdr:col>17</xdr:col>
      <xdr:colOff>304800</xdr:colOff>
      <xdr:row>974</xdr:row>
      <xdr:rowOff>120650</xdr:rowOff>
    </xdr:to>
    <xdr:sp macro="" textlink="">
      <xdr:nvSpPr>
        <xdr:cNvPr id="2049" name="AutoShape 1">
          <a:extLst>
            <a:ext uri="{FF2B5EF4-FFF2-40B4-BE49-F238E27FC236}">
              <a16:creationId xmlns:a16="http://schemas.microsoft.com/office/drawing/2014/main" id="{9497BB73-DDCB-5E7F-C194-A4F2358B967A}"/>
            </a:ext>
          </a:extLst>
        </xdr:cNvPr>
        <xdr:cNvSpPr>
          <a:spLocks noChangeAspect="1" noChangeArrowheads="1"/>
        </xdr:cNvSpPr>
      </xdr:nvSpPr>
      <xdr:spPr bwMode="auto">
        <a:xfrm>
          <a:off x="18256250" y="17917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966</xdr:row>
      <xdr:rowOff>0</xdr:rowOff>
    </xdr:from>
    <xdr:to>
      <xdr:col>17</xdr:col>
      <xdr:colOff>304800</xdr:colOff>
      <xdr:row>967</xdr:row>
      <xdr:rowOff>120650</xdr:rowOff>
    </xdr:to>
    <xdr:sp macro="" textlink="">
      <xdr:nvSpPr>
        <xdr:cNvPr id="2050" name="AutoShape 2">
          <a:extLst>
            <a:ext uri="{FF2B5EF4-FFF2-40B4-BE49-F238E27FC236}">
              <a16:creationId xmlns:a16="http://schemas.microsoft.com/office/drawing/2014/main" id="{3C1F1466-0AC9-3B2E-3862-D45BEC721FDB}"/>
            </a:ext>
          </a:extLst>
        </xdr:cNvPr>
        <xdr:cNvSpPr>
          <a:spLocks noChangeAspect="1" noChangeArrowheads="1"/>
        </xdr:cNvSpPr>
      </xdr:nvSpPr>
      <xdr:spPr bwMode="auto">
        <a:xfrm>
          <a:off x="18256250" y="17788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50</xdr:col>
      <xdr:colOff>130736</xdr:colOff>
      <xdr:row>75</xdr:row>
      <xdr:rowOff>130735</xdr:rowOff>
    </xdr:to>
    <xdr:sp macro="" textlink="">
      <xdr:nvSpPr>
        <xdr:cNvPr id="11" name="Rectangle 10">
          <a:extLst>
            <a:ext uri="{FF2B5EF4-FFF2-40B4-BE49-F238E27FC236}">
              <a16:creationId xmlns:a16="http://schemas.microsoft.com/office/drawing/2014/main" id="{4F8ADE23-D0D0-6BF9-A1F9-65A85E20B6F9}"/>
            </a:ext>
          </a:extLst>
        </xdr:cNvPr>
        <xdr:cNvSpPr/>
      </xdr:nvSpPr>
      <xdr:spPr>
        <a:xfrm>
          <a:off x="0" y="0"/>
          <a:ext cx="30946912" cy="14138088"/>
        </a:xfrm>
        <a:prstGeom prst="rect">
          <a:avLst/>
        </a:prstGeom>
        <a:solidFill>
          <a:schemeClr val="bg1">
            <a:lumMod val="85000"/>
          </a:schemeClr>
        </a:solidFill>
        <a:ln>
          <a:noFill/>
        </a:ln>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31180</xdr:colOff>
      <xdr:row>0</xdr:row>
      <xdr:rowOff>94678</xdr:rowOff>
    </xdr:from>
    <xdr:to>
      <xdr:col>49</xdr:col>
      <xdr:colOff>485589</xdr:colOff>
      <xdr:row>12</xdr:row>
      <xdr:rowOff>14431</xdr:rowOff>
    </xdr:to>
    <xdr:sp macro="" textlink="">
      <xdr:nvSpPr>
        <xdr:cNvPr id="12" name="Rectangle 11">
          <a:extLst>
            <a:ext uri="{FF2B5EF4-FFF2-40B4-BE49-F238E27FC236}">
              <a16:creationId xmlns:a16="http://schemas.microsoft.com/office/drawing/2014/main" id="{182B2BD2-A1BC-4A05-8D28-06619FD0D0F2}"/>
            </a:ext>
          </a:extLst>
        </xdr:cNvPr>
        <xdr:cNvSpPr/>
      </xdr:nvSpPr>
      <xdr:spPr>
        <a:xfrm>
          <a:off x="31180" y="94678"/>
          <a:ext cx="30654262" cy="2160929"/>
        </a:xfrm>
        <a:prstGeom prst="rect">
          <a:avLst/>
        </a:prstGeom>
        <a:solidFill>
          <a:schemeClr val="bg1"/>
        </a:solidFill>
        <a:ln>
          <a:noFill/>
        </a:ln>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173182</xdr:colOff>
      <xdr:row>12</xdr:row>
      <xdr:rowOff>166400</xdr:rowOff>
    </xdr:from>
    <xdr:to>
      <xdr:col>49</xdr:col>
      <xdr:colOff>529842</xdr:colOff>
      <xdr:row>73</xdr:row>
      <xdr:rowOff>86590</xdr:rowOff>
    </xdr:to>
    <xdr:sp macro="" textlink="">
      <xdr:nvSpPr>
        <xdr:cNvPr id="22" name="Rectangle 21">
          <a:extLst>
            <a:ext uri="{FF2B5EF4-FFF2-40B4-BE49-F238E27FC236}">
              <a16:creationId xmlns:a16="http://schemas.microsoft.com/office/drawing/2014/main" id="{F73C39DA-45AD-4305-B453-E225A312F333}"/>
            </a:ext>
          </a:extLst>
        </xdr:cNvPr>
        <xdr:cNvSpPr/>
      </xdr:nvSpPr>
      <xdr:spPr>
        <a:xfrm>
          <a:off x="18963409" y="2417764"/>
          <a:ext cx="11267115" cy="11364621"/>
        </a:xfrm>
        <a:prstGeom prst="rect">
          <a:avLst/>
        </a:prstGeom>
        <a:solidFill>
          <a:schemeClr val="bg1"/>
        </a:solidFill>
        <a:ln>
          <a:noFill/>
        </a:ln>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28864</xdr:colOff>
      <xdr:row>12</xdr:row>
      <xdr:rowOff>151715</xdr:rowOff>
    </xdr:from>
    <xdr:to>
      <xdr:col>30</xdr:col>
      <xdr:colOff>540082</xdr:colOff>
      <xdr:row>73</xdr:row>
      <xdr:rowOff>130735</xdr:rowOff>
    </xdr:to>
    <xdr:sp macro="" textlink="">
      <xdr:nvSpPr>
        <xdr:cNvPr id="25" name="Rectangle 24">
          <a:extLst>
            <a:ext uri="{FF2B5EF4-FFF2-40B4-BE49-F238E27FC236}">
              <a16:creationId xmlns:a16="http://schemas.microsoft.com/office/drawing/2014/main" id="{54DF9AC0-FBCB-46DB-B949-C64A04977179}"/>
            </a:ext>
          </a:extLst>
        </xdr:cNvPr>
        <xdr:cNvSpPr/>
      </xdr:nvSpPr>
      <xdr:spPr>
        <a:xfrm>
          <a:off x="28864" y="2392891"/>
          <a:ext cx="19000924" cy="11371668"/>
        </a:xfrm>
        <a:prstGeom prst="rect">
          <a:avLst/>
        </a:prstGeom>
        <a:solidFill>
          <a:schemeClr val="bg1"/>
        </a:solidFill>
        <a:ln>
          <a:noFill/>
        </a:ln>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40</xdr:col>
      <xdr:colOff>519545</xdr:colOff>
      <xdr:row>1</xdr:row>
      <xdr:rowOff>162038</xdr:rowOff>
    </xdr:from>
    <xdr:to>
      <xdr:col>48</xdr:col>
      <xdr:colOff>445926</xdr:colOff>
      <xdr:row>10</xdr:row>
      <xdr:rowOff>28864</xdr:rowOff>
    </xdr:to>
    <xdr:sp macro="" textlink="'04_Pivot_Analysis'!B62">
      <xdr:nvSpPr>
        <xdr:cNvPr id="26" name="Rectangle 25">
          <a:extLst>
            <a:ext uri="{FF2B5EF4-FFF2-40B4-BE49-F238E27FC236}">
              <a16:creationId xmlns:a16="http://schemas.microsoft.com/office/drawing/2014/main" id="{11ACAA5D-0301-4CDA-A4CA-3E110880178B}"/>
            </a:ext>
          </a:extLst>
        </xdr:cNvPr>
        <xdr:cNvSpPr/>
      </xdr:nvSpPr>
      <xdr:spPr>
        <a:xfrm>
          <a:off x="24765000" y="349652"/>
          <a:ext cx="4775471" cy="1555348"/>
        </a:xfrm>
        <a:prstGeom prst="rect">
          <a:avLst/>
        </a:prstGeom>
        <a:solidFill>
          <a:schemeClr val="bg2">
            <a:lumMod val="25000"/>
          </a:schemeClr>
        </a:solidFill>
        <a:ln>
          <a:noFill/>
        </a:ln>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a:t>High Achievement (A &amp; B)</a:t>
          </a:r>
          <a:endParaRPr lang="ar-SA" sz="2800" b="1" i="0" u="none" strike="noStrike">
            <a:solidFill>
              <a:schemeClr val="bg1"/>
            </a:solidFill>
            <a:latin typeface="Aptos Narrow"/>
          </a:endParaRPr>
        </a:p>
        <a:p>
          <a:pPr marL="0" marR="0" lvl="0" indent="0" algn="ctr" defTabSz="914400" eaLnBrk="1" fontAlgn="auto" latinLnBrk="0" hangingPunct="1">
            <a:lnSpc>
              <a:spcPct val="100000"/>
            </a:lnSpc>
            <a:spcBef>
              <a:spcPts val="0"/>
            </a:spcBef>
            <a:spcAft>
              <a:spcPts val="0"/>
            </a:spcAft>
            <a:buClrTx/>
            <a:buSzTx/>
            <a:buFontTx/>
            <a:buNone/>
            <a:tabLst/>
            <a:defRPr/>
          </a:pPr>
          <a:fld id="{1EA35EAC-796D-4E6B-A57C-7DB71C3B22B9}" type="TxLink">
            <a:rPr lang="en-US" sz="2800" b="1" i="0" u="none" strike="noStrike">
              <a:solidFill>
                <a:schemeClr val="bg1"/>
              </a:solidFill>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63.8%</a:t>
          </a:fld>
          <a:endParaRPr lang="en-US" sz="5400" b="1">
            <a:solidFill>
              <a:schemeClr val="bg1"/>
            </a:solidFill>
          </a:endParaRPr>
        </a:p>
      </xdr:txBody>
    </xdr:sp>
    <xdr:clientData/>
  </xdr:twoCellAnchor>
  <xdr:twoCellAnchor>
    <xdr:from>
      <xdr:col>33</xdr:col>
      <xdr:colOff>303068</xdr:colOff>
      <xdr:row>1</xdr:row>
      <xdr:rowOff>154023</xdr:rowOff>
    </xdr:from>
    <xdr:to>
      <xdr:col>40</xdr:col>
      <xdr:colOff>455602</xdr:colOff>
      <xdr:row>10</xdr:row>
      <xdr:rowOff>72158</xdr:rowOff>
    </xdr:to>
    <xdr:sp macro="" textlink="'04_Pivot_Analysis'!B48">
      <xdr:nvSpPr>
        <xdr:cNvPr id="29" name="Rectangle 28">
          <a:extLst>
            <a:ext uri="{FF2B5EF4-FFF2-40B4-BE49-F238E27FC236}">
              <a16:creationId xmlns:a16="http://schemas.microsoft.com/office/drawing/2014/main" id="{466B39AC-C322-479F-959B-38D06386FBD6}"/>
            </a:ext>
          </a:extLst>
        </xdr:cNvPr>
        <xdr:cNvSpPr/>
      </xdr:nvSpPr>
      <xdr:spPr>
        <a:xfrm>
          <a:off x="20305568" y="341637"/>
          <a:ext cx="4395489" cy="1606657"/>
        </a:xfrm>
        <a:prstGeom prst="rect">
          <a:avLst/>
        </a:prstGeom>
        <a:solidFill>
          <a:schemeClr val="tx1">
            <a:lumMod val="75000"/>
            <a:lumOff val="25000"/>
          </a:schemeClr>
        </a:solidFill>
        <a:ln>
          <a:noFill/>
        </a:ln>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ctr"/>
        <a:lstStyle/>
        <a:p>
          <a:pPr algn="ctr"/>
          <a:r>
            <a:rPr lang="en-US" sz="2800" b="1"/>
            <a:t>Total Students</a:t>
          </a:r>
          <a:endParaRPr lang="ar-SA" sz="2800" b="1" i="0" u="none" strike="noStrike">
            <a:solidFill>
              <a:schemeClr val="bg1"/>
            </a:solidFill>
            <a:latin typeface="Aptos Narrow"/>
          </a:endParaRPr>
        </a:p>
        <a:p>
          <a:pPr algn="ctr"/>
          <a:fld id="{F3B60E88-26EE-45B4-ABB9-CA46F51DCA4B}" type="TxLink">
            <a:rPr lang="en-US" sz="2800" b="1" i="0" u="none" strike="noStrike">
              <a:solidFill>
                <a:schemeClr val="bg1"/>
              </a:solidFill>
              <a:latin typeface="Aptos Narrow"/>
            </a:rPr>
            <a:pPr algn="ctr"/>
            <a:t>1000</a:t>
          </a:fld>
          <a:endParaRPr lang="en-US" sz="4800" b="1">
            <a:solidFill>
              <a:schemeClr val="bg1"/>
            </a:solidFill>
          </a:endParaRPr>
        </a:p>
      </xdr:txBody>
    </xdr:sp>
    <xdr:clientData/>
  </xdr:twoCellAnchor>
  <xdr:twoCellAnchor>
    <xdr:from>
      <xdr:col>25</xdr:col>
      <xdr:colOff>179102</xdr:colOff>
      <xdr:row>1</xdr:row>
      <xdr:rowOff>143348</xdr:rowOff>
    </xdr:from>
    <xdr:to>
      <xdr:col>33</xdr:col>
      <xdr:colOff>196875</xdr:colOff>
      <xdr:row>10</xdr:row>
      <xdr:rowOff>65128</xdr:rowOff>
    </xdr:to>
    <xdr:sp macro="" textlink="'04_Pivot_Analysis'!B51">
      <xdr:nvSpPr>
        <xdr:cNvPr id="30" name="Rectangle 29">
          <a:extLst>
            <a:ext uri="{FF2B5EF4-FFF2-40B4-BE49-F238E27FC236}">
              <a16:creationId xmlns:a16="http://schemas.microsoft.com/office/drawing/2014/main" id="{3BDAD180-D781-4C12-BE20-E95397D0CB6F}"/>
            </a:ext>
          </a:extLst>
        </xdr:cNvPr>
        <xdr:cNvSpPr/>
      </xdr:nvSpPr>
      <xdr:spPr>
        <a:xfrm>
          <a:off x="15239999" y="322451"/>
          <a:ext cx="4837261" cy="1533703"/>
        </a:xfrm>
        <a:prstGeom prst="rect">
          <a:avLst/>
        </a:prstGeom>
        <a:solidFill>
          <a:schemeClr val="tx1">
            <a:lumMod val="75000"/>
            <a:lumOff val="25000"/>
          </a:schemeClr>
        </a:solidFill>
        <a:ln>
          <a:noFill/>
        </a:ln>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ctr"/>
        <a:lstStyle/>
        <a:p>
          <a:pPr algn="ctr"/>
          <a:r>
            <a:rPr lang="en-US" sz="2800" b="1"/>
            <a:t>Average Final Score</a:t>
          </a:r>
          <a:endParaRPr lang="ar-SA" sz="2800" b="1" i="0" u="none" strike="noStrike">
            <a:solidFill>
              <a:schemeClr val="bg1"/>
            </a:solidFill>
            <a:latin typeface="Aptos Narrow"/>
          </a:endParaRPr>
        </a:p>
        <a:p>
          <a:pPr algn="ctr"/>
          <a:fld id="{743501E3-4ED5-42D7-9CB6-67281387ABDE}" type="TxLink">
            <a:rPr lang="en-US" sz="2800" b="1" i="0" u="none" strike="noStrike">
              <a:solidFill>
                <a:schemeClr val="bg1"/>
              </a:solidFill>
              <a:latin typeface="Aptos Narrow"/>
            </a:rPr>
            <a:pPr algn="ctr"/>
            <a:t>83.5</a:t>
          </a:fld>
          <a:endParaRPr lang="en-US" sz="5400" b="1">
            <a:solidFill>
              <a:schemeClr val="bg1"/>
            </a:solidFill>
          </a:endParaRPr>
        </a:p>
      </xdr:txBody>
    </xdr:sp>
    <xdr:clientData/>
  </xdr:twoCellAnchor>
  <xdr:twoCellAnchor>
    <xdr:from>
      <xdr:col>0</xdr:col>
      <xdr:colOff>211668</xdr:colOff>
      <xdr:row>1</xdr:row>
      <xdr:rowOff>132291</xdr:rowOff>
    </xdr:from>
    <xdr:to>
      <xdr:col>22</xdr:col>
      <xdr:colOff>173182</xdr:colOff>
      <xdr:row>6</xdr:row>
      <xdr:rowOff>145520</xdr:rowOff>
    </xdr:to>
    <xdr:sp macro="" textlink="">
      <xdr:nvSpPr>
        <xdr:cNvPr id="31" name="TextBox 30">
          <a:extLst>
            <a:ext uri="{FF2B5EF4-FFF2-40B4-BE49-F238E27FC236}">
              <a16:creationId xmlns:a16="http://schemas.microsoft.com/office/drawing/2014/main" id="{8BEAA305-E2F9-3003-168C-BAD8CE06FFF8}"/>
            </a:ext>
          </a:extLst>
        </xdr:cNvPr>
        <xdr:cNvSpPr txBox="1"/>
      </xdr:nvSpPr>
      <xdr:spPr>
        <a:xfrm>
          <a:off x="211668" y="319905"/>
          <a:ext cx="13296514" cy="951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latin typeface="+mj-lt"/>
            </a:rPr>
            <a:t>Student Performance Analysis Dashboard </a:t>
          </a:r>
        </a:p>
      </xdr:txBody>
    </xdr:sp>
    <xdr:clientData/>
  </xdr:twoCellAnchor>
  <xdr:twoCellAnchor>
    <xdr:from>
      <xdr:col>32</xdr:col>
      <xdr:colOff>303068</xdr:colOff>
      <xdr:row>14</xdr:row>
      <xdr:rowOff>86590</xdr:rowOff>
    </xdr:from>
    <xdr:to>
      <xdr:col>49</xdr:col>
      <xdr:colOff>230910</xdr:colOff>
      <xdr:row>42</xdr:row>
      <xdr:rowOff>158749</xdr:rowOff>
    </xdr:to>
    <xdr:graphicFrame macro="">
      <xdr:nvGraphicFramePr>
        <xdr:cNvPr id="32" name="Chart 4">
          <a:extLst>
            <a:ext uri="{FF2B5EF4-FFF2-40B4-BE49-F238E27FC236}">
              <a16:creationId xmlns:a16="http://schemas.microsoft.com/office/drawing/2014/main" id="{AC539A61-8621-9B6A-1F1B-BDC276730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505115</xdr:colOff>
      <xdr:row>29</xdr:row>
      <xdr:rowOff>181672</xdr:rowOff>
    </xdr:from>
    <xdr:to>
      <xdr:col>30</xdr:col>
      <xdr:colOff>108053</xdr:colOff>
      <xdr:row>70</xdr:row>
      <xdr:rowOff>51782</xdr:rowOff>
    </xdr:to>
    <xdr:graphicFrame macro="">
      <xdr:nvGraphicFramePr>
        <xdr:cNvPr id="36" name="Chart 2">
          <a:extLst>
            <a:ext uri="{FF2B5EF4-FFF2-40B4-BE49-F238E27FC236}">
              <a16:creationId xmlns:a16="http://schemas.microsoft.com/office/drawing/2014/main" id="{1432101F-B8EE-4940-7BA7-9B334E289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288636</xdr:colOff>
      <xdr:row>43</xdr:row>
      <xdr:rowOff>161862</xdr:rowOff>
    </xdr:from>
    <xdr:to>
      <xdr:col>49</xdr:col>
      <xdr:colOff>167453</xdr:colOff>
      <xdr:row>72</xdr:row>
      <xdr:rowOff>115454</xdr:rowOff>
    </xdr:to>
    <xdr:graphicFrame macro="">
      <xdr:nvGraphicFramePr>
        <xdr:cNvPr id="37" name="Chart 7">
          <a:extLst>
            <a:ext uri="{FF2B5EF4-FFF2-40B4-BE49-F238E27FC236}">
              <a16:creationId xmlns:a16="http://schemas.microsoft.com/office/drawing/2014/main" id="{52659A1C-F43F-D786-3151-A2103A558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446537</xdr:colOff>
      <xdr:row>29</xdr:row>
      <xdr:rowOff>181316</xdr:rowOff>
    </xdr:from>
    <xdr:to>
      <xdr:col>15</xdr:col>
      <xdr:colOff>230060</xdr:colOff>
      <xdr:row>70</xdr:row>
      <xdr:rowOff>82344</xdr:rowOff>
    </xdr:to>
    <xdr:graphicFrame macro="">
      <xdr:nvGraphicFramePr>
        <xdr:cNvPr id="38" name="Chart 4">
          <a:extLst>
            <a:ext uri="{FF2B5EF4-FFF2-40B4-BE49-F238E27FC236}">
              <a16:creationId xmlns:a16="http://schemas.microsoft.com/office/drawing/2014/main" id="{B3DF1A30-046B-6CEF-5266-A4D49718B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467757</xdr:colOff>
      <xdr:row>17</xdr:row>
      <xdr:rowOff>3395</xdr:rowOff>
    </xdr:from>
    <xdr:to>
      <xdr:col>17</xdr:col>
      <xdr:colOff>27857</xdr:colOff>
      <xdr:row>25</xdr:row>
      <xdr:rowOff>38007</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1BEBEB36-68D1-40B6-A0E9-CF9E98E5243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410460" y="3212719"/>
              <a:ext cx="5120640" cy="1544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539255</xdr:colOff>
      <xdr:row>16</xdr:row>
      <xdr:rowOff>119701</xdr:rowOff>
    </xdr:from>
    <xdr:to>
      <xdr:col>27</xdr:col>
      <xdr:colOff>191904</xdr:colOff>
      <xdr:row>26</xdr:row>
      <xdr:rowOff>177427</xdr:rowOff>
    </xdr:to>
    <mc:AlternateContent xmlns:mc="http://schemas.openxmlformats.org/markup-compatibility/2006" xmlns:a14="http://schemas.microsoft.com/office/drawing/2010/main">
      <mc:Choice Requires="a14">
        <xdr:graphicFrame macro="">
          <xdr:nvGraphicFramePr>
            <xdr:cNvPr id="3" name="final_grade 1">
              <a:extLst>
                <a:ext uri="{FF2B5EF4-FFF2-40B4-BE49-F238E27FC236}">
                  <a16:creationId xmlns:a16="http://schemas.microsoft.com/office/drawing/2014/main" id="{EA11B05E-A20B-4280-8E2E-A03ACE949BA9}"/>
                </a:ext>
              </a:extLst>
            </xdr:cNvPr>
            <xdr:cNvGraphicFramePr/>
          </xdr:nvGraphicFramePr>
          <xdr:xfrm>
            <a:off x="0" y="0"/>
            <a:ext cx="0" cy="0"/>
          </xdr:xfrm>
          <a:graphic>
            <a:graphicData uri="http://schemas.microsoft.com/office/drawing/2010/slicer">
              <sle:slicer xmlns:sle="http://schemas.microsoft.com/office/drawing/2010/slicer" name="final_grade 1"/>
            </a:graphicData>
          </a:graphic>
        </xdr:graphicFrame>
      </mc:Choice>
      <mc:Fallback xmlns="">
        <xdr:sp macro="" textlink="">
          <xdr:nvSpPr>
            <xdr:cNvPr id="0" name=""/>
            <xdr:cNvSpPr>
              <a:spLocks noTextEdit="1"/>
            </xdr:cNvSpPr>
          </xdr:nvSpPr>
          <xdr:spPr>
            <a:xfrm>
              <a:off x="11042498" y="3140242"/>
              <a:ext cx="5831028" cy="1945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432956</xdr:colOff>
      <xdr:row>16</xdr:row>
      <xdr:rowOff>154505</xdr:rowOff>
    </xdr:from>
    <xdr:to>
      <xdr:col>7</xdr:col>
      <xdr:colOff>591827</xdr:colOff>
      <xdr:row>27</xdr:row>
      <xdr:rowOff>125640</xdr:rowOff>
    </xdr:to>
    <mc:AlternateContent xmlns:mc="http://schemas.openxmlformats.org/markup-compatibility/2006" xmlns:a14="http://schemas.microsoft.com/office/drawing/2010/main">
      <mc:Choice Requires="a14">
        <xdr:graphicFrame macro="">
          <xdr:nvGraphicFramePr>
            <xdr:cNvPr id="4" name="internet_access 1">
              <a:extLst>
                <a:ext uri="{FF2B5EF4-FFF2-40B4-BE49-F238E27FC236}">
                  <a16:creationId xmlns:a16="http://schemas.microsoft.com/office/drawing/2014/main" id="{0292B776-3392-42AE-844E-9768134FF2CA}"/>
                </a:ext>
              </a:extLst>
            </xdr:cNvPr>
            <xdr:cNvGraphicFramePr/>
          </xdr:nvGraphicFramePr>
          <xdr:xfrm>
            <a:off x="0" y="0"/>
            <a:ext cx="0" cy="0"/>
          </xdr:xfrm>
          <a:graphic>
            <a:graphicData uri="http://schemas.microsoft.com/office/drawing/2010/slicer">
              <sle:slicer xmlns:sle="http://schemas.microsoft.com/office/drawing/2010/slicer" name="internet_access 1"/>
            </a:graphicData>
          </a:graphic>
        </xdr:graphicFrame>
      </mc:Choice>
      <mc:Fallback xmlns="">
        <xdr:sp macro="" textlink="">
          <xdr:nvSpPr>
            <xdr:cNvPr id="0" name=""/>
            <xdr:cNvSpPr>
              <a:spLocks noTextEdit="1"/>
            </xdr:cNvSpPr>
          </xdr:nvSpPr>
          <xdr:spPr>
            <a:xfrm>
              <a:off x="432956" y="3175046"/>
              <a:ext cx="4483736" cy="20477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rah" refreshedDate="46271.425018634262" createdVersion="8" refreshedVersion="8" minRefreshableVersion="3" recordCount="1000" xr:uid="{F8B14BFB-3DA6-4D43-8290-81EC27DC4F40}">
  <cacheSource type="worksheet">
    <worksheetSource name="student_performance_dataset__2"/>
  </cacheSource>
  <cacheFields count="12">
    <cacheField name="student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gender" numFmtId="0">
      <sharedItems count="2">
        <s v="Male"/>
        <s v="Female"/>
      </sharedItems>
    </cacheField>
    <cacheField name="study_time_hours" numFmtId="0">
      <sharedItems containsSemiMixedTypes="0" containsString="0" containsNumber="1" minValue="0.5" maxValue="8.1"/>
    </cacheField>
    <cacheField name="attendance_percent" numFmtId="0">
      <sharedItems containsSemiMixedTypes="0" containsString="0" containsNumber="1" minValue="54.8" maxValue="100" count="327">
        <n v="98"/>
        <n v="100"/>
        <n v="85.3"/>
        <n v="77.5"/>
        <n v="89.6"/>
        <n v="78.2"/>
        <n v="86.4"/>
        <n v="81.3"/>
        <n v="86.8"/>
        <n v="71.5"/>
        <n v="75.3"/>
        <n v="97"/>
        <n v="78.400000000000006"/>
        <n v="74.5"/>
        <n v="90.4"/>
        <n v="96.9"/>
        <n v="92.2"/>
        <n v="95"/>
        <n v="77.400000000000006"/>
        <n v="70.8"/>
        <n v="81.8"/>
        <n v="82.5"/>
        <n v="98.3"/>
        <n v="90.6"/>
        <n v="78.599999999999994"/>
        <n v="94.3"/>
        <n v="85.6"/>
        <n v="87.7"/>
        <n v="90.1"/>
        <n v="95.7"/>
        <n v="81.400000000000006"/>
        <n v="76.599999999999994"/>
        <n v="74.599999999999994"/>
        <n v="65.3"/>
        <n v="74"/>
        <n v="82.8"/>
        <n v="82.2"/>
        <n v="88.1"/>
        <n v="93.2"/>
        <n v="93.6"/>
        <n v="79.2"/>
        <n v="83.3"/>
        <n v="87.8"/>
        <n v="89.9"/>
        <n v="92.3"/>
        <n v="91.6"/>
        <n v="96.7"/>
        <n v="72"/>
        <n v="89"/>
        <n v="78.5"/>
        <n v="79.7"/>
        <n v="90.9"/>
        <n v="97.4"/>
        <n v="85.2"/>
        <n v="87.4"/>
        <n v="90.7"/>
        <n v="67.400000000000006"/>
        <n v="92.5"/>
        <n v="88.8"/>
        <n v="97.9"/>
        <n v="91.7"/>
        <n v="83.6"/>
        <n v="72.8"/>
        <n v="82.9"/>
        <n v="76.5"/>
        <n v="88.9"/>
        <n v="73"/>
        <n v="89.4"/>
        <n v="78.900000000000006"/>
        <n v="83.7"/>
        <n v="85.1"/>
        <n v="77.2"/>
        <n v="91.5"/>
        <n v="83.8"/>
        <n v="89.2"/>
        <n v="76.099999999999994"/>
        <n v="80.599999999999994"/>
        <n v="81"/>
        <n v="87.2"/>
        <n v="69.7"/>
        <n v="97.6"/>
        <n v="79.5"/>
        <n v="79.400000000000006"/>
        <n v="97.1"/>
        <n v="95.2"/>
        <n v="92.8"/>
        <n v="76.8"/>
        <n v="85"/>
        <n v="80.5"/>
        <n v="92"/>
        <n v="94.6"/>
        <n v="85.9"/>
        <n v="99.8"/>
        <n v="73.599999999999994"/>
        <n v="83.1"/>
        <n v="77.8"/>
        <n v="66.3"/>
        <n v="84.2"/>
        <n v="91.3"/>
        <n v="74.8"/>
        <n v="97.2"/>
        <n v="90.8"/>
        <n v="82.7"/>
        <n v="75.400000000000006"/>
        <n v="95.9"/>
        <n v="80.099999999999994"/>
        <n v="73.8"/>
        <n v="67.3"/>
        <n v="88.2"/>
        <n v="83.5"/>
        <n v="80.3"/>
        <n v="69.099999999999994"/>
        <n v="73.3"/>
        <n v="56.3"/>
        <n v="84.7"/>
        <n v="80.400000000000006"/>
        <n v="79"/>
        <n v="89.7"/>
        <n v="75"/>
        <n v="88"/>
        <n v="92.7"/>
        <n v="97.3"/>
        <n v="84"/>
        <n v="83"/>
        <n v="76.2"/>
        <n v="76.7"/>
        <n v="88.7"/>
        <n v="94.1"/>
        <n v="77"/>
        <n v="99.9"/>
        <n v="82.3"/>
        <n v="84.8"/>
        <n v="60.8"/>
        <n v="93.8"/>
        <n v="92.4"/>
        <n v="85.7"/>
        <n v="90.2"/>
        <n v="69.400000000000006"/>
        <n v="92.9"/>
        <n v="72.5"/>
        <n v="87.9"/>
        <n v="71.400000000000006"/>
        <n v="84.6"/>
        <n v="68.8"/>
        <n v="96.6"/>
        <n v="77.7"/>
        <n v="76.900000000000006"/>
        <n v="87"/>
        <n v="96.5"/>
        <n v="89.3"/>
        <n v="91.9"/>
        <n v="74.3"/>
        <n v="55.8"/>
        <n v="94"/>
        <n v="61.4"/>
        <n v="74.900000000000006"/>
        <n v="91.2"/>
        <n v="83.2"/>
        <n v="98.7"/>
        <n v="80.2"/>
        <n v="75.5"/>
        <n v="86.2"/>
        <n v="82.1"/>
        <n v="80.7"/>
        <n v="86.1"/>
        <n v="70.599999999999994"/>
        <n v="94.2"/>
        <n v="78.3"/>
        <n v="95.8"/>
        <n v="97.8"/>
        <n v="93.5"/>
        <n v="89.8"/>
        <n v="95.3"/>
        <n v="81.7"/>
        <n v="99.1"/>
        <n v="89.5"/>
        <n v="74.400000000000006"/>
        <n v="94.9"/>
        <n v="88.3"/>
        <n v="86.9"/>
        <n v="81.5"/>
        <n v="88.4"/>
        <n v="82"/>
        <n v="86.7"/>
        <n v="98.2"/>
        <n v="96.4"/>
        <n v="63.8"/>
        <n v="80"/>
        <n v="93.4"/>
        <n v="90.5"/>
        <n v="82.6"/>
        <n v="81.099999999999994"/>
        <n v="75.8"/>
        <n v="76"/>
        <n v="73.2"/>
        <n v="82.4"/>
        <n v="93.7"/>
        <n v="86.3"/>
        <n v="88.5"/>
        <n v="96.1"/>
        <n v="89.1"/>
        <n v="63.3"/>
        <n v="79.599999999999994"/>
        <n v="84.1"/>
        <n v="92.1"/>
        <n v="75.599999999999994"/>
        <n v="93.1"/>
        <n v="93"/>
        <n v="94.5"/>
        <n v="75.7"/>
        <n v="94.8"/>
        <n v="90"/>
        <n v="58"/>
        <n v="91.8"/>
        <n v="66.7"/>
        <n v="98.1"/>
        <n v="85.8"/>
        <n v="69"/>
        <n v="85.4"/>
        <n v="78.8"/>
        <n v="77.599999999999994"/>
        <n v="71.8"/>
        <n v="78.099999999999994"/>
        <n v="70.900000000000006"/>
        <n v="70"/>
        <n v="92.6"/>
        <n v="70.400000000000006"/>
        <n v="81.900000000000006"/>
        <n v="98.4"/>
        <n v="66.2"/>
        <n v="83.4"/>
        <n v="87.1"/>
        <n v="84.4"/>
        <n v="77.900000000000006"/>
        <n v="69.900000000000006"/>
        <n v="67"/>
        <n v="69.2"/>
        <n v="86.5"/>
        <n v="63.5"/>
        <n v="75.099999999999994"/>
        <n v="74.099999999999994"/>
        <n v="87.3"/>
        <n v="88.6"/>
        <n v="86.6"/>
        <n v="74.7"/>
        <n v="97.7"/>
        <n v="76.3"/>
        <n v="94.7"/>
        <n v="73.099999999999994"/>
        <n v="98.9"/>
        <n v="87.6"/>
        <n v="67.5"/>
        <n v="68.400000000000006"/>
        <n v="96.3"/>
        <n v="80.900000000000006"/>
        <n v="73.900000000000006"/>
        <n v="99"/>
        <n v="68.2"/>
        <n v="72.7"/>
        <n v="79.099999999999994"/>
        <n v="84.9"/>
        <n v="83.9"/>
        <n v="69.3"/>
        <n v="73.7"/>
        <n v="91.4"/>
        <n v="77.099999999999994"/>
        <n v="65.2"/>
        <n v="59.7"/>
        <n v="96"/>
        <n v="87.5"/>
        <n v="86"/>
        <n v="81.599999999999994"/>
        <n v="84.5"/>
        <n v="75.900000000000006"/>
        <n v="63.6"/>
        <n v="95.6"/>
        <n v="55.6"/>
        <n v="96.2"/>
        <n v="77.3"/>
        <n v="71.2"/>
        <n v="78.7"/>
        <n v="66.099999999999994"/>
        <n v="94.4"/>
        <n v="68.900000000000006"/>
        <n v="93.3"/>
        <n v="65"/>
        <n v="72.599999999999994"/>
        <n v="98.6"/>
        <n v="71.900000000000006"/>
        <n v="54.8"/>
        <n v="79.900000000000006"/>
        <n v="79.8"/>
        <n v="60.6"/>
        <n v="99.2"/>
        <n v="91"/>
        <n v="62"/>
        <n v="99.5"/>
        <n v="95.4"/>
        <n v="69.5"/>
        <n v="59.4"/>
        <n v="79.3"/>
        <n v="70.3"/>
        <n v="85.5"/>
        <n v="68.599999999999994"/>
        <n v="72.400000000000006"/>
        <n v="81.2"/>
        <n v="62.9"/>
        <n v="72.099999999999994"/>
        <n v="84.3"/>
        <n v="95.1"/>
        <n v="93.9"/>
        <n v="72.900000000000006"/>
        <n v="71.7"/>
        <n v="70.5"/>
        <n v="80.8"/>
        <n v="59"/>
        <n v="67.2"/>
        <n v="73.5"/>
        <n v="67.7"/>
        <n v="75.2"/>
        <n v="95.5"/>
        <n v="91.1"/>
        <n v="90.3"/>
        <n v="69.8"/>
        <n v="76.400000000000006"/>
        <n v="71.3"/>
        <n v="67.900000000000006"/>
      </sharedItems>
    </cacheField>
    <cacheField name="sleep_hours" numFmtId="0">
      <sharedItems containsSemiMixedTypes="0" containsString="0" containsNumber="1" minValue="3.2" maxValue="10"/>
    </cacheField>
    <cacheField name="parental_education" numFmtId="0">
      <sharedItems count="5">
        <s v="Bachelors"/>
        <s v="High School"/>
        <s v="None"/>
        <s v="Masters"/>
        <s v="PhD"/>
      </sharedItems>
    </cacheField>
    <cacheField name="internet_access" numFmtId="0">
      <sharedItems count="2">
        <s v="Yes"/>
        <s v="No"/>
      </sharedItems>
    </cacheField>
    <cacheField name="extracurricular_activities" numFmtId="0">
      <sharedItems count="2">
        <s v="Yes"/>
        <s v="No"/>
      </sharedItems>
    </cacheField>
    <cacheField name="part_time_job" numFmtId="0">
      <sharedItems count="2">
        <s v="No"/>
        <s v="Yes"/>
      </sharedItems>
    </cacheField>
    <cacheField name="previous_grade" numFmtId="0">
      <sharedItems containsSemiMixedTypes="0" containsString="0" containsNumber="1" minValue="31.3" maxValue="100"/>
    </cacheField>
    <cacheField name="final_exam_score" numFmtId="0">
      <sharedItems containsSemiMixedTypes="0" containsString="0" containsNumber="1" minValue="46.8" maxValue="100" count="342">
        <n v="100"/>
        <n v="97.3"/>
        <n v="83.8"/>
        <n v="68.3"/>
        <n v="81.599999999999994"/>
        <n v="69.599999999999994"/>
        <n v="88"/>
        <n v="84.4"/>
        <n v="74.3"/>
        <n v="68.900000000000006"/>
        <n v="76.7"/>
        <n v="82.6"/>
        <n v="93.3"/>
        <n v="73.900000000000006"/>
        <n v="84.8"/>
        <n v="81.5"/>
        <n v="75.5"/>
        <n v="89.7"/>
        <n v="92.8"/>
        <n v="73.5"/>
        <n v="73.400000000000006"/>
        <n v="71.2"/>
        <n v="97.2"/>
        <n v="76"/>
        <n v="78.7"/>
        <n v="97.4"/>
        <n v="84.2"/>
        <n v="89.8"/>
        <n v="82.4"/>
        <n v="87.7"/>
        <n v="92.9"/>
        <n v="83.2"/>
        <n v="81.099999999999994"/>
        <n v="89.5"/>
        <n v="91.6"/>
        <n v="75.3"/>
        <n v="79"/>
        <n v="79.2"/>
        <n v="70.8"/>
        <n v="61.8"/>
        <n v="68"/>
        <n v="80.3"/>
        <n v="88.6"/>
        <n v="69.400000000000006"/>
        <n v="81.8"/>
        <n v="72.599999999999994"/>
        <n v="85.3"/>
        <n v="99.8"/>
        <n v="84.3"/>
        <n v="71.5"/>
        <n v="74.5"/>
        <n v="80.400000000000006"/>
        <n v="71.099999999999994"/>
        <n v="87.8"/>
        <n v="73"/>
        <n v="80.8"/>
        <n v="67.8"/>
        <n v="85.1"/>
        <n v="79.599999999999994"/>
        <n v="77.400000000000006"/>
        <n v="94.6"/>
        <n v="77.599999999999994"/>
        <n v="99.9"/>
        <n v="64.400000000000006"/>
        <n v="71.900000000000006"/>
        <n v="79.3"/>
        <n v="74.900000000000006"/>
        <n v="87.4"/>
        <n v="97.6"/>
        <n v="64.099999999999994"/>
        <n v="90"/>
        <n v="99.3"/>
        <n v="63.9"/>
        <n v="78.900000000000006"/>
        <n v="84.5"/>
        <n v="71.7"/>
        <n v="86.3"/>
        <n v="98.3"/>
        <n v="88.1"/>
        <n v="99.6"/>
        <n v="74.8"/>
        <n v="88.5"/>
        <n v="65.2"/>
        <n v="66.3"/>
        <n v="92.7"/>
        <n v="87.2"/>
        <n v="92.5"/>
        <n v="75.7"/>
        <n v="74"/>
        <n v="61.7"/>
        <n v="91.4"/>
        <n v="72.7"/>
        <n v="74.599999999999994"/>
        <n v="96.5"/>
        <n v="94.5"/>
        <n v="59.3"/>
        <n v="96.2"/>
        <n v="73.3"/>
        <n v="95.8"/>
        <n v="81"/>
        <n v="76.5"/>
        <n v="92.1"/>
        <n v="85.2"/>
        <n v="63"/>
        <n v="87.1"/>
        <n v="77.3"/>
        <n v="85.6"/>
        <n v="59.7"/>
        <n v="80.900000000000006"/>
        <n v="80.2"/>
        <n v="75.900000000000006"/>
        <n v="86.8"/>
        <n v="82"/>
        <n v="46.8"/>
        <n v="68.599999999999994"/>
        <n v="69.2"/>
        <n v="84.7"/>
        <n v="95.4"/>
        <n v="87.6"/>
        <n v="89.3"/>
        <n v="63.7"/>
        <n v="87.9"/>
        <n v="76.599999999999994"/>
        <n v="90.2"/>
        <n v="88.7"/>
        <n v="82.1"/>
        <n v="75.099999999999994"/>
        <n v="78.099999999999994"/>
        <n v="71.8"/>
        <n v="78.5"/>
        <n v="89.2"/>
        <n v="81.7"/>
        <n v="96.7"/>
        <n v="73.7"/>
        <n v="77.099999999999994"/>
        <n v="73.2"/>
        <n v="83.6"/>
        <n v="85.8"/>
        <n v="95.7"/>
        <n v="83.1"/>
        <n v="67.2"/>
        <n v="84.6"/>
        <n v="75.2"/>
        <n v="79.8"/>
        <n v="92.2"/>
        <n v="87.3"/>
        <n v="61.1"/>
        <n v="90.9"/>
        <n v="96.1"/>
        <n v="73.099999999999994"/>
        <n v="81.2"/>
        <n v="70"/>
        <n v="74.7"/>
        <n v="91.2"/>
        <n v="93.4"/>
        <n v="70.5"/>
        <n v="89.9"/>
        <n v="67.400000000000006"/>
        <n v="82.2"/>
        <n v="82.7"/>
        <n v="91.5"/>
        <n v="85.7"/>
        <n v="80.599999999999994"/>
        <n v="76.2"/>
        <n v="67.099999999999994"/>
        <n v="88.4"/>
        <n v="91"/>
        <n v="75.8"/>
        <n v="88.3"/>
        <n v="96.8"/>
        <n v="86.7"/>
        <n v="94.3"/>
        <n v="71.3"/>
        <n v="79.7"/>
        <n v="91.1"/>
        <n v="97.5"/>
        <n v="83.9"/>
        <n v="78.2"/>
        <n v="64.7"/>
        <n v="97.8"/>
        <n v="74.400000000000006"/>
        <n v="76.400000000000006"/>
        <n v="76.3"/>
        <n v="94"/>
        <n v="58.8"/>
        <n v="69.900000000000006"/>
        <n v="83.3"/>
        <n v="69.5"/>
        <n v="68.5"/>
        <n v="61.5"/>
        <n v="72.3"/>
        <n v="74.099999999999994"/>
        <n v="94.9"/>
        <n v="93.7"/>
        <n v="70.900000000000006"/>
        <n v="89.6"/>
        <n v="82.3"/>
        <n v="80.7"/>
        <n v="72.8"/>
        <n v="63.4"/>
        <n v="79.400000000000006"/>
        <n v="72.900000000000006"/>
        <n v="93.1"/>
        <n v="90.8"/>
        <n v="88.9"/>
        <n v="96.6"/>
        <n v="97"/>
        <n v="82.8"/>
        <n v="76.099999999999994"/>
        <n v="96.3"/>
        <n v="92"/>
        <n v="77.2"/>
        <n v="70.599999999999994"/>
        <n v="69"/>
        <n v="86.5"/>
        <n v="93.6"/>
        <n v="72"/>
        <n v="81.900000000000006"/>
        <n v="78"/>
        <n v="95.1"/>
        <n v="66.7"/>
        <n v="75.599999999999994"/>
        <n v="57.4"/>
        <n v="75.400000000000006"/>
        <n v="80.5"/>
        <n v="91.7"/>
        <n v="84.9"/>
        <n v="76.8"/>
        <n v="79.099999999999994"/>
        <n v="72.099999999999994"/>
        <n v="92.3"/>
        <n v="67.599999999999994"/>
        <n v="90.4"/>
        <n v="96.4"/>
        <n v="93"/>
        <n v="80.099999999999994"/>
        <n v="70.099999999999994"/>
        <n v="93.5"/>
        <n v="64.599999999999994"/>
        <n v="86.2"/>
        <n v="89.4"/>
        <n v="77.8"/>
        <n v="98.9"/>
        <n v="87.5"/>
        <n v="86"/>
        <n v="79.900000000000006"/>
        <n v="90.7"/>
        <n v="77.900000000000006"/>
        <n v="85.4"/>
        <n v="68.8"/>
        <n v="98.2"/>
        <n v="63.2"/>
        <n v="88.8"/>
        <n v="85"/>
        <n v="86.6"/>
        <n v="66.599999999999994"/>
        <n v="71"/>
        <n v="99"/>
        <n v="99.5"/>
        <n v="88.2"/>
        <n v="94.7"/>
        <n v="57.3"/>
        <n v="91.8"/>
        <n v="66"/>
        <n v="83.4"/>
        <n v="68.2"/>
        <n v="92.6"/>
        <n v="99.1"/>
        <n v="63.3"/>
        <n v="95.5"/>
        <n v="70.400000000000006"/>
        <n v="68.400000000000006"/>
        <n v="67.7"/>
        <n v="72.2"/>
        <n v="89"/>
        <n v="87"/>
        <n v="86.4"/>
        <n v="73.599999999999994"/>
        <n v="84"/>
        <n v="58.6"/>
        <n v="78.8"/>
        <n v="75"/>
        <n v="95"/>
        <n v="92.4"/>
        <n v="61.9"/>
        <n v="93.9"/>
        <n v="81.3"/>
        <n v="71.400000000000006"/>
        <n v="97.9"/>
        <n v="90.5"/>
        <n v="82.9"/>
        <n v="59.5"/>
        <n v="95.2"/>
        <n v="94.2"/>
        <n v="99.7"/>
        <n v="66.400000000000006"/>
        <n v="60.8"/>
        <n v="61.3"/>
        <n v="90.6"/>
        <n v="63.6"/>
        <n v="84.1"/>
        <n v="77.5"/>
        <n v="85.5"/>
        <n v="65.400000000000006"/>
        <n v="95.6"/>
        <n v="91.9"/>
        <n v="54.1"/>
        <n v="98.5"/>
        <n v="70.7"/>
        <n v="91.3"/>
        <n v="62.9"/>
        <n v="77"/>
        <n v="93.2"/>
        <n v="90.3"/>
        <n v="82.5"/>
        <n v="53.2"/>
        <n v="98.4"/>
        <n v="57.6"/>
        <n v="83"/>
        <n v="57.8"/>
        <n v="85.9"/>
        <n v="80"/>
        <n v="71.599999999999994"/>
        <n v="70.2"/>
        <n v="69.8"/>
        <n v="98.8"/>
        <n v="66.5"/>
        <n v="74.2"/>
        <n v="83.5"/>
        <n v="93.8"/>
        <n v="81.400000000000006"/>
        <n v="94.4"/>
        <n v="76.900000000000006"/>
        <n v="95.3"/>
        <n v="65.8"/>
        <n v="72.400000000000006"/>
        <n v="78.400000000000006"/>
        <n v="60"/>
        <n v="78.3"/>
        <n v="67.900000000000006"/>
        <n v="67"/>
        <n v="77.7"/>
      </sharedItems>
    </cacheField>
    <cacheField name="final_grade" numFmtId="0">
      <sharedItems count="5">
        <s v="A"/>
        <s v="B"/>
        <s v="D"/>
        <s v="C"/>
        <s v="F"/>
      </sharedItems>
    </cacheField>
  </cacheFields>
  <extLst>
    <ext xmlns:x14="http://schemas.microsoft.com/office/spreadsheetml/2009/9/main" uri="{725AE2AE-9491-48be-B2B4-4EB974FC3084}">
      <x14:pivotCacheDefinition pivotCacheId="1244648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4"/>
    <x v="0"/>
    <n v="6.5"/>
    <x v="0"/>
    <x v="0"/>
    <x v="0"/>
    <x v="0"/>
    <n v="76.900000000000006"/>
    <x v="0"/>
    <x v="0"/>
  </r>
  <r>
    <x v="1"/>
    <x v="1"/>
    <n v="6.3"/>
    <x v="1"/>
    <n v="5.7"/>
    <x v="1"/>
    <x v="0"/>
    <x v="0"/>
    <x v="1"/>
    <n v="75.5"/>
    <x v="0"/>
    <x v="0"/>
  </r>
  <r>
    <x v="2"/>
    <x v="0"/>
    <n v="4.9000000000000004"/>
    <x v="2"/>
    <n v="7.9"/>
    <x v="0"/>
    <x v="0"/>
    <x v="1"/>
    <x v="1"/>
    <n v="88.5"/>
    <x v="1"/>
    <x v="0"/>
  </r>
  <r>
    <x v="3"/>
    <x v="0"/>
    <n v="2.6"/>
    <x v="3"/>
    <n v="8"/>
    <x v="2"/>
    <x v="0"/>
    <x v="0"/>
    <x v="0"/>
    <n v="85.1"/>
    <x v="2"/>
    <x v="1"/>
  </r>
  <r>
    <x v="4"/>
    <x v="0"/>
    <n v="2.2000000000000002"/>
    <x v="4"/>
    <n v="4.5999999999999996"/>
    <x v="0"/>
    <x v="0"/>
    <x v="1"/>
    <x v="1"/>
    <n v="61.8"/>
    <x v="3"/>
    <x v="2"/>
  </r>
  <r>
    <x v="5"/>
    <x v="1"/>
    <n v="4.2"/>
    <x v="5"/>
    <n v="5.7"/>
    <x v="1"/>
    <x v="0"/>
    <x v="1"/>
    <x v="0"/>
    <n v="79.8"/>
    <x v="4"/>
    <x v="1"/>
  </r>
  <r>
    <x v="6"/>
    <x v="0"/>
    <n v="1.5"/>
    <x v="1"/>
    <n v="5"/>
    <x v="1"/>
    <x v="0"/>
    <x v="0"/>
    <x v="1"/>
    <n v="58.6"/>
    <x v="5"/>
    <x v="2"/>
  </r>
  <r>
    <x v="7"/>
    <x v="0"/>
    <n v="6.2"/>
    <x v="6"/>
    <n v="6"/>
    <x v="1"/>
    <x v="0"/>
    <x v="0"/>
    <x v="0"/>
    <n v="78.400000000000006"/>
    <x v="6"/>
    <x v="1"/>
  </r>
  <r>
    <x v="8"/>
    <x v="0"/>
    <n v="5.3"/>
    <x v="7"/>
    <n v="6.7"/>
    <x v="0"/>
    <x v="0"/>
    <x v="1"/>
    <x v="0"/>
    <n v="63.8"/>
    <x v="7"/>
    <x v="1"/>
  </r>
  <r>
    <x v="9"/>
    <x v="1"/>
    <n v="2.8"/>
    <x v="8"/>
    <n v="5.0999999999999996"/>
    <x v="0"/>
    <x v="0"/>
    <x v="0"/>
    <x v="0"/>
    <n v="57.7"/>
    <x v="8"/>
    <x v="3"/>
  </r>
  <r>
    <x v="10"/>
    <x v="0"/>
    <n v="0.9"/>
    <x v="9"/>
    <n v="5.7"/>
    <x v="1"/>
    <x v="0"/>
    <x v="1"/>
    <x v="1"/>
    <n v="73.400000000000006"/>
    <x v="9"/>
    <x v="2"/>
  </r>
  <r>
    <x v="11"/>
    <x v="0"/>
    <n v="5.5"/>
    <x v="10"/>
    <n v="5.6"/>
    <x v="2"/>
    <x v="0"/>
    <x v="0"/>
    <x v="0"/>
    <n v="37.9"/>
    <x v="10"/>
    <x v="3"/>
  </r>
  <r>
    <x v="12"/>
    <x v="0"/>
    <n v="3.3"/>
    <x v="11"/>
    <n v="7"/>
    <x v="3"/>
    <x v="0"/>
    <x v="0"/>
    <x v="1"/>
    <n v="49"/>
    <x v="11"/>
    <x v="1"/>
  </r>
  <r>
    <x v="13"/>
    <x v="0"/>
    <n v="5.4"/>
    <x v="12"/>
    <n v="6.9"/>
    <x v="0"/>
    <x v="1"/>
    <x v="1"/>
    <x v="0"/>
    <n v="67.900000000000006"/>
    <x v="12"/>
    <x v="0"/>
  </r>
  <r>
    <x v="14"/>
    <x v="1"/>
    <n v="1.1000000000000001"/>
    <x v="13"/>
    <n v="5.9"/>
    <x v="3"/>
    <x v="0"/>
    <x v="0"/>
    <x v="1"/>
    <n v="71"/>
    <x v="13"/>
    <x v="3"/>
  </r>
  <r>
    <x v="15"/>
    <x v="0"/>
    <n v="2.6"/>
    <x v="14"/>
    <n v="7"/>
    <x v="1"/>
    <x v="0"/>
    <x v="0"/>
    <x v="0"/>
    <n v="65.599999999999994"/>
    <x v="14"/>
    <x v="1"/>
  </r>
  <r>
    <x v="16"/>
    <x v="1"/>
    <n v="3.5"/>
    <x v="15"/>
    <n v="6.1"/>
    <x v="0"/>
    <x v="0"/>
    <x v="0"/>
    <x v="0"/>
    <n v="51"/>
    <x v="15"/>
    <x v="1"/>
  </r>
  <r>
    <x v="17"/>
    <x v="1"/>
    <n v="3.6"/>
    <x v="16"/>
    <n v="6.5"/>
    <x v="0"/>
    <x v="0"/>
    <x v="0"/>
    <x v="1"/>
    <n v="60.2"/>
    <x v="16"/>
    <x v="3"/>
  </r>
  <r>
    <x v="18"/>
    <x v="1"/>
    <n v="2.8"/>
    <x v="17"/>
    <n v="8.8000000000000007"/>
    <x v="3"/>
    <x v="1"/>
    <x v="0"/>
    <x v="0"/>
    <n v="74.7"/>
    <x v="17"/>
    <x v="1"/>
  </r>
  <r>
    <x v="19"/>
    <x v="0"/>
    <n v="4.4000000000000004"/>
    <x v="18"/>
    <n v="8.4"/>
    <x v="3"/>
    <x v="1"/>
    <x v="1"/>
    <x v="1"/>
    <n v="77"/>
    <x v="18"/>
    <x v="0"/>
  </r>
  <r>
    <x v="20"/>
    <x v="1"/>
    <n v="1.9"/>
    <x v="19"/>
    <n v="5.2"/>
    <x v="1"/>
    <x v="0"/>
    <x v="0"/>
    <x v="0"/>
    <n v="69.8"/>
    <x v="19"/>
    <x v="3"/>
  </r>
  <r>
    <x v="21"/>
    <x v="0"/>
    <n v="3.3"/>
    <x v="1"/>
    <n v="7.8"/>
    <x v="2"/>
    <x v="0"/>
    <x v="0"/>
    <x v="0"/>
    <n v="83.9"/>
    <x v="0"/>
    <x v="0"/>
  </r>
  <r>
    <x v="22"/>
    <x v="1"/>
    <n v="3.7"/>
    <x v="20"/>
    <n v="7.8"/>
    <x v="1"/>
    <x v="1"/>
    <x v="1"/>
    <x v="0"/>
    <n v="74.8"/>
    <x v="20"/>
    <x v="3"/>
  </r>
  <r>
    <x v="23"/>
    <x v="1"/>
    <n v="4.3"/>
    <x v="21"/>
    <n v="5.4"/>
    <x v="4"/>
    <x v="1"/>
    <x v="0"/>
    <x v="0"/>
    <n v="61"/>
    <x v="21"/>
    <x v="3"/>
  </r>
  <r>
    <x v="24"/>
    <x v="1"/>
    <n v="4.5999999999999996"/>
    <x v="22"/>
    <n v="7.8"/>
    <x v="2"/>
    <x v="0"/>
    <x v="0"/>
    <x v="1"/>
    <n v="66.599999999999994"/>
    <x v="22"/>
    <x v="0"/>
  </r>
  <r>
    <x v="25"/>
    <x v="1"/>
    <n v="1.8"/>
    <x v="23"/>
    <n v="8.6"/>
    <x v="1"/>
    <x v="0"/>
    <x v="1"/>
    <x v="0"/>
    <n v="53.2"/>
    <x v="23"/>
    <x v="3"/>
  </r>
  <r>
    <x v="26"/>
    <x v="1"/>
    <n v="1.2"/>
    <x v="4"/>
    <n v="5.5"/>
    <x v="3"/>
    <x v="0"/>
    <x v="1"/>
    <x v="1"/>
    <n v="68.7"/>
    <x v="24"/>
    <x v="3"/>
  </r>
  <r>
    <x v="27"/>
    <x v="1"/>
    <n v="5.4"/>
    <x v="1"/>
    <n v="5.7"/>
    <x v="1"/>
    <x v="1"/>
    <x v="1"/>
    <x v="0"/>
    <n v="83.3"/>
    <x v="25"/>
    <x v="0"/>
  </r>
  <r>
    <x v="28"/>
    <x v="1"/>
    <n v="4"/>
    <x v="24"/>
    <n v="8"/>
    <x v="0"/>
    <x v="0"/>
    <x v="1"/>
    <x v="0"/>
    <n v="78.2"/>
    <x v="26"/>
    <x v="1"/>
  </r>
  <r>
    <x v="29"/>
    <x v="1"/>
    <n v="2.4"/>
    <x v="25"/>
    <n v="7.1"/>
    <x v="0"/>
    <x v="0"/>
    <x v="0"/>
    <x v="0"/>
    <n v="86.8"/>
    <x v="27"/>
    <x v="1"/>
  </r>
  <r>
    <x v="30"/>
    <x v="0"/>
    <n v="5.8"/>
    <x v="26"/>
    <n v="7.5"/>
    <x v="0"/>
    <x v="0"/>
    <x v="1"/>
    <x v="1"/>
    <n v="66.400000000000006"/>
    <x v="28"/>
    <x v="1"/>
  </r>
  <r>
    <x v="31"/>
    <x v="0"/>
    <n v="3.7"/>
    <x v="27"/>
    <n v="7.2"/>
    <x v="2"/>
    <x v="0"/>
    <x v="0"/>
    <x v="0"/>
    <n v="86.2"/>
    <x v="29"/>
    <x v="1"/>
  </r>
  <r>
    <x v="32"/>
    <x v="1"/>
    <n v="5.3"/>
    <x v="1"/>
    <n v="7.3"/>
    <x v="3"/>
    <x v="0"/>
    <x v="0"/>
    <x v="0"/>
    <n v="67.7"/>
    <x v="0"/>
    <x v="0"/>
  </r>
  <r>
    <x v="33"/>
    <x v="1"/>
    <n v="3.6"/>
    <x v="28"/>
    <n v="5.2"/>
    <x v="0"/>
    <x v="1"/>
    <x v="0"/>
    <x v="0"/>
    <n v="87.7"/>
    <x v="12"/>
    <x v="0"/>
  </r>
  <r>
    <x v="34"/>
    <x v="1"/>
    <n v="6.6"/>
    <x v="14"/>
    <n v="8.1"/>
    <x v="3"/>
    <x v="0"/>
    <x v="0"/>
    <x v="1"/>
    <n v="69.7"/>
    <x v="0"/>
    <x v="0"/>
  </r>
  <r>
    <x v="35"/>
    <x v="0"/>
    <n v="6.1"/>
    <x v="29"/>
    <n v="8.1999999999999993"/>
    <x v="2"/>
    <x v="0"/>
    <x v="0"/>
    <x v="1"/>
    <n v="78.5"/>
    <x v="30"/>
    <x v="0"/>
  </r>
  <r>
    <x v="36"/>
    <x v="1"/>
    <n v="3.1"/>
    <x v="30"/>
    <n v="6.5"/>
    <x v="1"/>
    <x v="0"/>
    <x v="1"/>
    <x v="1"/>
    <n v="87.7"/>
    <x v="31"/>
    <x v="1"/>
  </r>
  <r>
    <x v="37"/>
    <x v="0"/>
    <n v="5"/>
    <x v="31"/>
    <n v="6.7"/>
    <x v="2"/>
    <x v="0"/>
    <x v="0"/>
    <x v="0"/>
    <n v="67.7"/>
    <x v="32"/>
    <x v="1"/>
  </r>
  <r>
    <x v="38"/>
    <x v="0"/>
    <n v="4.5"/>
    <x v="32"/>
    <n v="5"/>
    <x v="1"/>
    <x v="0"/>
    <x v="0"/>
    <x v="1"/>
    <n v="72.599999999999994"/>
    <x v="33"/>
    <x v="1"/>
  </r>
  <r>
    <x v="39"/>
    <x v="0"/>
    <n v="5.6"/>
    <x v="33"/>
    <n v="7.4"/>
    <x v="3"/>
    <x v="0"/>
    <x v="0"/>
    <x v="0"/>
    <n v="85.5"/>
    <x v="34"/>
    <x v="0"/>
  </r>
  <r>
    <x v="40"/>
    <x v="0"/>
    <n v="2.1"/>
    <x v="1"/>
    <n v="7.5"/>
    <x v="1"/>
    <x v="0"/>
    <x v="0"/>
    <x v="1"/>
    <n v="68.400000000000006"/>
    <x v="35"/>
    <x v="3"/>
  </r>
  <r>
    <x v="41"/>
    <x v="0"/>
    <n v="4.5"/>
    <x v="34"/>
    <n v="6.7"/>
    <x v="1"/>
    <x v="0"/>
    <x v="1"/>
    <x v="0"/>
    <n v="54.1"/>
    <x v="36"/>
    <x v="3"/>
  </r>
  <r>
    <x v="42"/>
    <x v="1"/>
    <n v="5.0999999999999996"/>
    <x v="35"/>
    <n v="8.1"/>
    <x v="0"/>
    <x v="0"/>
    <x v="0"/>
    <x v="0"/>
    <n v="95.7"/>
    <x v="0"/>
    <x v="0"/>
  </r>
  <r>
    <x v="43"/>
    <x v="1"/>
    <n v="0.9"/>
    <x v="36"/>
    <n v="6.4"/>
    <x v="0"/>
    <x v="0"/>
    <x v="0"/>
    <x v="0"/>
    <n v="64.400000000000006"/>
    <x v="37"/>
    <x v="3"/>
  </r>
  <r>
    <x v="44"/>
    <x v="1"/>
    <n v="1.7"/>
    <x v="37"/>
    <n v="7.5"/>
    <x v="0"/>
    <x v="1"/>
    <x v="0"/>
    <x v="0"/>
    <n v="71.900000000000006"/>
    <x v="38"/>
    <x v="3"/>
  </r>
  <r>
    <x v="45"/>
    <x v="1"/>
    <n v="0.5"/>
    <x v="38"/>
    <n v="5.6"/>
    <x v="1"/>
    <x v="1"/>
    <x v="1"/>
    <x v="1"/>
    <n v="83.9"/>
    <x v="39"/>
    <x v="2"/>
  </r>
  <r>
    <x v="46"/>
    <x v="1"/>
    <n v="3.1"/>
    <x v="39"/>
    <n v="6.8"/>
    <x v="0"/>
    <x v="0"/>
    <x v="0"/>
    <x v="1"/>
    <n v="62.7"/>
    <x v="40"/>
    <x v="2"/>
  </r>
  <r>
    <x v="47"/>
    <x v="0"/>
    <n v="4.5999999999999996"/>
    <x v="40"/>
    <n v="6.6"/>
    <x v="2"/>
    <x v="0"/>
    <x v="0"/>
    <x v="1"/>
    <n v="57.9"/>
    <x v="41"/>
    <x v="1"/>
  </r>
  <r>
    <x v="48"/>
    <x v="1"/>
    <n v="5.8"/>
    <x v="41"/>
    <n v="7.1"/>
    <x v="0"/>
    <x v="1"/>
    <x v="0"/>
    <x v="0"/>
    <n v="73"/>
    <x v="42"/>
    <x v="1"/>
  </r>
  <r>
    <x v="49"/>
    <x v="1"/>
    <n v="3.6"/>
    <x v="42"/>
    <n v="6.4"/>
    <x v="1"/>
    <x v="0"/>
    <x v="0"/>
    <x v="0"/>
    <n v="48.5"/>
    <x v="43"/>
    <x v="2"/>
  </r>
  <r>
    <x v="50"/>
    <x v="0"/>
    <n v="5.9"/>
    <x v="21"/>
    <n v="6.6"/>
    <x v="0"/>
    <x v="0"/>
    <x v="0"/>
    <x v="0"/>
    <n v="66.5"/>
    <x v="0"/>
    <x v="0"/>
  </r>
  <r>
    <x v="51"/>
    <x v="1"/>
    <n v="1.4"/>
    <x v="1"/>
    <n v="7.8"/>
    <x v="1"/>
    <x v="1"/>
    <x v="1"/>
    <x v="0"/>
    <n v="72.900000000000006"/>
    <x v="44"/>
    <x v="1"/>
  </r>
  <r>
    <x v="52"/>
    <x v="0"/>
    <n v="0.9"/>
    <x v="43"/>
    <n v="6.3"/>
    <x v="3"/>
    <x v="0"/>
    <x v="1"/>
    <x v="0"/>
    <n v="66.8"/>
    <x v="45"/>
    <x v="3"/>
  </r>
  <r>
    <x v="53"/>
    <x v="1"/>
    <n v="3.4"/>
    <x v="44"/>
    <n v="4.9000000000000004"/>
    <x v="3"/>
    <x v="0"/>
    <x v="1"/>
    <x v="0"/>
    <n v="51.5"/>
    <x v="46"/>
    <x v="1"/>
  </r>
  <r>
    <x v="54"/>
    <x v="0"/>
    <n v="4.0999999999999996"/>
    <x v="45"/>
    <n v="8.9"/>
    <x v="0"/>
    <x v="1"/>
    <x v="0"/>
    <x v="0"/>
    <n v="89.1"/>
    <x v="47"/>
    <x v="0"/>
  </r>
  <r>
    <x v="55"/>
    <x v="1"/>
    <n v="3.5"/>
    <x v="46"/>
    <n v="8.5"/>
    <x v="0"/>
    <x v="0"/>
    <x v="0"/>
    <x v="1"/>
    <n v="71.2"/>
    <x v="48"/>
    <x v="1"/>
  </r>
  <r>
    <x v="56"/>
    <x v="1"/>
    <n v="0.5"/>
    <x v="8"/>
    <n v="5.2"/>
    <x v="3"/>
    <x v="0"/>
    <x v="0"/>
    <x v="0"/>
    <n v="87.2"/>
    <x v="49"/>
    <x v="3"/>
  </r>
  <r>
    <x v="57"/>
    <x v="0"/>
    <n v="3.4"/>
    <x v="47"/>
    <n v="7.6"/>
    <x v="0"/>
    <x v="0"/>
    <x v="1"/>
    <x v="0"/>
    <n v="66.900000000000006"/>
    <x v="48"/>
    <x v="1"/>
  </r>
  <r>
    <x v="58"/>
    <x v="0"/>
    <n v="1.5"/>
    <x v="48"/>
    <n v="6.2"/>
    <x v="3"/>
    <x v="0"/>
    <x v="1"/>
    <x v="0"/>
    <n v="59.4"/>
    <x v="50"/>
    <x v="3"/>
  </r>
  <r>
    <x v="59"/>
    <x v="0"/>
    <n v="4.5"/>
    <x v="49"/>
    <n v="7.1"/>
    <x v="0"/>
    <x v="0"/>
    <x v="1"/>
    <x v="0"/>
    <n v="73.2"/>
    <x v="33"/>
    <x v="1"/>
  </r>
  <r>
    <x v="60"/>
    <x v="0"/>
    <n v="4"/>
    <x v="50"/>
    <n v="7.2"/>
    <x v="3"/>
    <x v="0"/>
    <x v="0"/>
    <x v="0"/>
    <n v="67.400000000000006"/>
    <x v="51"/>
    <x v="1"/>
  </r>
  <r>
    <x v="61"/>
    <x v="0"/>
    <n v="2.1"/>
    <x v="51"/>
    <n v="6.5"/>
    <x v="0"/>
    <x v="1"/>
    <x v="0"/>
    <x v="1"/>
    <n v="55.9"/>
    <x v="52"/>
    <x v="3"/>
  </r>
  <r>
    <x v="62"/>
    <x v="0"/>
    <n v="2.7"/>
    <x v="52"/>
    <n v="5.9"/>
    <x v="0"/>
    <x v="0"/>
    <x v="0"/>
    <x v="0"/>
    <n v="87.6"/>
    <x v="53"/>
    <x v="1"/>
  </r>
  <r>
    <x v="63"/>
    <x v="0"/>
    <n v="1.9"/>
    <x v="53"/>
    <n v="6"/>
    <x v="2"/>
    <x v="0"/>
    <x v="1"/>
    <x v="0"/>
    <n v="62.5"/>
    <x v="54"/>
    <x v="3"/>
  </r>
  <r>
    <x v="64"/>
    <x v="0"/>
    <n v="3.4"/>
    <x v="37"/>
    <n v="5.7"/>
    <x v="0"/>
    <x v="0"/>
    <x v="1"/>
    <x v="1"/>
    <n v="47.9"/>
    <x v="55"/>
    <x v="1"/>
  </r>
  <r>
    <x v="65"/>
    <x v="1"/>
    <n v="4.9000000000000004"/>
    <x v="1"/>
    <n v="5.8"/>
    <x v="0"/>
    <x v="0"/>
    <x v="1"/>
    <x v="0"/>
    <n v="85.9"/>
    <x v="25"/>
    <x v="0"/>
  </r>
  <r>
    <x v="66"/>
    <x v="1"/>
    <n v="2"/>
    <x v="54"/>
    <n v="6.7"/>
    <x v="1"/>
    <x v="0"/>
    <x v="0"/>
    <x v="0"/>
    <n v="63.9"/>
    <x v="56"/>
    <x v="2"/>
  </r>
  <r>
    <x v="67"/>
    <x v="0"/>
    <n v="4.3"/>
    <x v="1"/>
    <n v="5.9"/>
    <x v="0"/>
    <x v="1"/>
    <x v="0"/>
    <x v="0"/>
    <n v="62.7"/>
    <x v="37"/>
    <x v="3"/>
  </r>
  <r>
    <x v="68"/>
    <x v="1"/>
    <n v="2.7"/>
    <x v="55"/>
    <n v="7.6"/>
    <x v="0"/>
    <x v="1"/>
    <x v="1"/>
    <x v="1"/>
    <n v="48.8"/>
    <x v="19"/>
    <x v="3"/>
  </r>
  <r>
    <x v="69"/>
    <x v="1"/>
    <n v="2.2999999999999998"/>
    <x v="56"/>
    <n v="8.6"/>
    <x v="1"/>
    <x v="0"/>
    <x v="1"/>
    <x v="0"/>
    <n v="90.9"/>
    <x v="57"/>
    <x v="1"/>
  </r>
  <r>
    <x v="70"/>
    <x v="1"/>
    <n v="3.3"/>
    <x v="57"/>
    <n v="6.1"/>
    <x v="1"/>
    <x v="0"/>
    <x v="0"/>
    <x v="0"/>
    <n v="54.5"/>
    <x v="58"/>
    <x v="3"/>
  </r>
  <r>
    <x v="71"/>
    <x v="1"/>
    <n v="1.9"/>
    <x v="58"/>
    <n v="7.1"/>
    <x v="0"/>
    <x v="0"/>
    <x v="0"/>
    <x v="0"/>
    <n v="70.7"/>
    <x v="59"/>
    <x v="3"/>
  </r>
  <r>
    <x v="72"/>
    <x v="0"/>
    <n v="2.7"/>
    <x v="59"/>
    <n v="7.4"/>
    <x v="3"/>
    <x v="0"/>
    <x v="0"/>
    <x v="0"/>
    <n v="81"/>
    <x v="60"/>
    <x v="0"/>
  </r>
  <r>
    <x v="73"/>
    <x v="1"/>
    <n v="1.7"/>
    <x v="60"/>
    <n v="7.4"/>
    <x v="0"/>
    <x v="0"/>
    <x v="0"/>
    <x v="0"/>
    <n v="75.099999999999994"/>
    <x v="61"/>
    <x v="3"/>
  </r>
  <r>
    <x v="74"/>
    <x v="0"/>
    <n v="6.4"/>
    <x v="61"/>
    <n v="6.9"/>
    <x v="1"/>
    <x v="0"/>
    <x v="0"/>
    <x v="0"/>
    <n v="69.3"/>
    <x v="62"/>
    <x v="0"/>
  </r>
  <r>
    <x v="75"/>
    <x v="1"/>
    <n v="3.6"/>
    <x v="62"/>
    <n v="7.7"/>
    <x v="3"/>
    <x v="1"/>
    <x v="1"/>
    <x v="0"/>
    <n v="49.6"/>
    <x v="63"/>
    <x v="2"/>
  </r>
  <r>
    <x v="76"/>
    <x v="1"/>
    <n v="2.5"/>
    <x v="63"/>
    <n v="7.4"/>
    <x v="1"/>
    <x v="0"/>
    <x v="0"/>
    <x v="0"/>
    <n v="60.3"/>
    <x v="64"/>
    <x v="3"/>
  </r>
  <r>
    <x v="77"/>
    <x v="1"/>
    <n v="3.8"/>
    <x v="64"/>
    <n v="5.3"/>
    <x v="0"/>
    <x v="0"/>
    <x v="0"/>
    <x v="0"/>
    <n v="72.3"/>
    <x v="65"/>
    <x v="3"/>
  </r>
  <r>
    <x v="78"/>
    <x v="0"/>
    <n v="3.3"/>
    <x v="40"/>
    <n v="7.8"/>
    <x v="1"/>
    <x v="0"/>
    <x v="0"/>
    <x v="1"/>
    <n v="60.6"/>
    <x v="66"/>
    <x v="3"/>
  </r>
  <r>
    <x v="79"/>
    <x v="1"/>
    <n v="3.2"/>
    <x v="51"/>
    <n v="7.9"/>
    <x v="1"/>
    <x v="0"/>
    <x v="1"/>
    <x v="0"/>
    <n v="72.400000000000006"/>
    <x v="67"/>
    <x v="1"/>
  </r>
  <r>
    <x v="80"/>
    <x v="0"/>
    <n v="4.4000000000000004"/>
    <x v="1"/>
    <n v="5.9"/>
    <x v="1"/>
    <x v="0"/>
    <x v="1"/>
    <x v="0"/>
    <n v="78.2"/>
    <x v="68"/>
    <x v="0"/>
  </r>
  <r>
    <x v="81"/>
    <x v="1"/>
    <n v="4.5999999999999996"/>
    <x v="65"/>
    <n v="6.8"/>
    <x v="0"/>
    <x v="0"/>
    <x v="0"/>
    <x v="0"/>
    <n v="81.599999999999994"/>
    <x v="50"/>
    <x v="3"/>
  </r>
  <r>
    <x v="82"/>
    <x v="0"/>
    <n v="2.7"/>
    <x v="66"/>
    <n v="7.6"/>
    <x v="1"/>
    <x v="0"/>
    <x v="1"/>
    <x v="1"/>
    <n v="55.3"/>
    <x v="69"/>
    <x v="2"/>
  </r>
  <r>
    <x v="83"/>
    <x v="1"/>
    <n v="2.6"/>
    <x v="67"/>
    <n v="6.5"/>
    <x v="0"/>
    <x v="0"/>
    <x v="1"/>
    <x v="0"/>
    <n v="96.4"/>
    <x v="70"/>
    <x v="0"/>
  </r>
  <r>
    <x v="84"/>
    <x v="0"/>
    <n v="3.1"/>
    <x v="11"/>
    <n v="8.1"/>
    <x v="0"/>
    <x v="0"/>
    <x v="0"/>
    <x v="1"/>
    <n v="79.2"/>
    <x v="71"/>
    <x v="0"/>
  </r>
  <r>
    <x v="85"/>
    <x v="0"/>
    <n v="0.5"/>
    <x v="68"/>
    <n v="9.6"/>
    <x v="0"/>
    <x v="0"/>
    <x v="0"/>
    <x v="1"/>
    <n v="70"/>
    <x v="72"/>
    <x v="2"/>
  </r>
  <r>
    <x v="86"/>
    <x v="1"/>
    <n v="1.2"/>
    <x v="69"/>
    <n v="5.9"/>
    <x v="0"/>
    <x v="0"/>
    <x v="1"/>
    <x v="0"/>
    <n v="83.1"/>
    <x v="36"/>
    <x v="3"/>
  </r>
  <r>
    <x v="87"/>
    <x v="0"/>
    <n v="5.6"/>
    <x v="70"/>
    <n v="5.0999999999999996"/>
    <x v="3"/>
    <x v="0"/>
    <x v="1"/>
    <x v="0"/>
    <n v="98.4"/>
    <x v="0"/>
    <x v="0"/>
  </r>
  <r>
    <x v="88"/>
    <x v="1"/>
    <n v="6"/>
    <x v="71"/>
    <n v="7.2"/>
    <x v="1"/>
    <x v="0"/>
    <x v="1"/>
    <x v="0"/>
    <n v="52.7"/>
    <x v="73"/>
    <x v="3"/>
  </r>
  <r>
    <x v="89"/>
    <x v="1"/>
    <n v="3.1"/>
    <x v="72"/>
    <n v="7.7"/>
    <x v="0"/>
    <x v="0"/>
    <x v="1"/>
    <x v="1"/>
    <n v="67.3"/>
    <x v="74"/>
    <x v="1"/>
  </r>
  <r>
    <x v="90"/>
    <x v="1"/>
    <n v="4.4000000000000004"/>
    <x v="73"/>
    <n v="6.5"/>
    <x v="1"/>
    <x v="0"/>
    <x v="1"/>
    <x v="0"/>
    <n v="41.5"/>
    <x v="75"/>
    <x v="3"/>
  </r>
  <r>
    <x v="91"/>
    <x v="1"/>
    <n v="4"/>
    <x v="74"/>
    <n v="8.5"/>
    <x v="1"/>
    <x v="0"/>
    <x v="0"/>
    <x v="1"/>
    <n v="72.3"/>
    <x v="76"/>
    <x v="1"/>
  </r>
  <r>
    <x v="92"/>
    <x v="1"/>
    <n v="8.1"/>
    <x v="75"/>
    <n v="5.2"/>
    <x v="0"/>
    <x v="0"/>
    <x v="0"/>
    <x v="0"/>
    <n v="74.400000000000006"/>
    <x v="77"/>
    <x v="0"/>
  </r>
  <r>
    <x v="93"/>
    <x v="1"/>
    <n v="5.2"/>
    <x v="76"/>
    <n v="7.6"/>
    <x v="0"/>
    <x v="0"/>
    <x v="0"/>
    <x v="0"/>
    <n v="69.5"/>
    <x v="78"/>
    <x v="1"/>
  </r>
  <r>
    <x v="94"/>
    <x v="1"/>
    <n v="3.3"/>
    <x v="16"/>
    <n v="6.1"/>
    <x v="4"/>
    <x v="0"/>
    <x v="0"/>
    <x v="0"/>
    <n v="62.1"/>
    <x v="79"/>
    <x v="0"/>
  </r>
  <r>
    <x v="95"/>
    <x v="1"/>
    <n v="2.1"/>
    <x v="7"/>
    <n v="8.9"/>
    <x v="0"/>
    <x v="0"/>
    <x v="1"/>
    <x v="0"/>
    <n v="45.4"/>
    <x v="80"/>
    <x v="3"/>
  </r>
  <r>
    <x v="96"/>
    <x v="1"/>
    <n v="1.1000000000000001"/>
    <x v="1"/>
    <n v="9.1999999999999993"/>
    <x v="2"/>
    <x v="0"/>
    <x v="1"/>
    <x v="1"/>
    <n v="74.5"/>
    <x v="67"/>
    <x v="1"/>
  </r>
  <r>
    <x v="97"/>
    <x v="1"/>
    <n v="3.8"/>
    <x v="77"/>
    <n v="5.9"/>
    <x v="1"/>
    <x v="1"/>
    <x v="1"/>
    <x v="0"/>
    <n v="87.5"/>
    <x v="81"/>
    <x v="1"/>
  </r>
  <r>
    <x v="98"/>
    <x v="1"/>
    <n v="2.4"/>
    <x v="78"/>
    <n v="6.1"/>
    <x v="1"/>
    <x v="0"/>
    <x v="0"/>
    <x v="1"/>
    <n v="62.9"/>
    <x v="82"/>
    <x v="2"/>
  </r>
  <r>
    <x v="99"/>
    <x v="0"/>
    <n v="1.4"/>
    <x v="25"/>
    <n v="7.8"/>
    <x v="1"/>
    <x v="1"/>
    <x v="1"/>
    <x v="0"/>
    <n v="75.3"/>
    <x v="37"/>
    <x v="3"/>
  </r>
  <r>
    <x v="100"/>
    <x v="0"/>
    <n v="2.5"/>
    <x v="19"/>
    <n v="6.3"/>
    <x v="1"/>
    <x v="0"/>
    <x v="0"/>
    <x v="0"/>
    <n v="51.2"/>
    <x v="50"/>
    <x v="3"/>
  </r>
  <r>
    <x v="101"/>
    <x v="1"/>
    <n v="1.9"/>
    <x v="56"/>
    <n v="6.7"/>
    <x v="0"/>
    <x v="0"/>
    <x v="0"/>
    <x v="1"/>
    <n v="75.5"/>
    <x v="83"/>
    <x v="2"/>
  </r>
  <r>
    <x v="102"/>
    <x v="1"/>
    <n v="6"/>
    <x v="79"/>
    <n v="6.8"/>
    <x v="0"/>
    <x v="1"/>
    <x v="1"/>
    <x v="0"/>
    <n v="65.3"/>
    <x v="33"/>
    <x v="1"/>
  </r>
  <r>
    <x v="103"/>
    <x v="1"/>
    <n v="4.8"/>
    <x v="80"/>
    <n v="4.5"/>
    <x v="1"/>
    <x v="0"/>
    <x v="1"/>
    <x v="0"/>
    <n v="60.9"/>
    <x v="84"/>
    <x v="0"/>
  </r>
  <r>
    <x v="104"/>
    <x v="1"/>
    <n v="3.5"/>
    <x v="81"/>
    <n v="6.8"/>
    <x v="2"/>
    <x v="0"/>
    <x v="1"/>
    <x v="1"/>
    <n v="60.9"/>
    <x v="85"/>
    <x v="1"/>
  </r>
  <r>
    <x v="105"/>
    <x v="1"/>
    <n v="5.7"/>
    <x v="1"/>
    <n v="6"/>
    <x v="3"/>
    <x v="0"/>
    <x v="0"/>
    <x v="1"/>
    <n v="65.3"/>
    <x v="86"/>
    <x v="0"/>
  </r>
  <r>
    <x v="106"/>
    <x v="1"/>
    <n v="3.6"/>
    <x v="82"/>
    <n v="6.2"/>
    <x v="1"/>
    <x v="0"/>
    <x v="0"/>
    <x v="1"/>
    <n v="74.599999999999994"/>
    <x v="87"/>
    <x v="3"/>
  </r>
  <r>
    <x v="107"/>
    <x v="1"/>
    <n v="2.2000000000000002"/>
    <x v="8"/>
    <n v="8.5"/>
    <x v="1"/>
    <x v="0"/>
    <x v="0"/>
    <x v="0"/>
    <n v="54.3"/>
    <x v="88"/>
    <x v="3"/>
  </r>
  <r>
    <x v="108"/>
    <x v="1"/>
    <n v="5.8"/>
    <x v="1"/>
    <n v="5.3"/>
    <x v="1"/>
    <x v="0"/>
    <x v="0"/>
    <x v="0"/>
    <n v="65.2"/>
    <x v="0"/>
    <x v="0"/>
  </r>
  <r>
    <x v="109"/>
    <x v="0"/>
    <n v="4.3"/>
    <x v="1"/>
    <n v="7.8"/>
    <x v="1"/>
    <x v="1"/>
    <x v="1"/>
    <x v="1"/>
    <n v="69.5"/>
    <x v="16"/>
    <x v="3"/>
  </r>
  <r>
    <x v="110"/>
    <x v="1"/>
    <n v="1.9"/>
    <x v="1"/>
    <n v="6.5"/>
    <x v="1"/>
    <x v="0"/>
    <x v="1"/>
    <x v="1"/>
    <n v="56.8"/>
    <x v="89"/>
    <x v="2"/>
  </r>
  <r>
    <x v="111"/>
    <x v="0"/>
    <n v="3.2"/>
    <x v="83"/>
    <n v="6.5"/>
    <x v="0"/>
    <x v="1"/>
    <x v="1"/>
    <x v="0"/>
    <n v="91.6"/>
    <x v="90"/>
    <x v="0"/>
  </r>
  <r>
    <x v="112"/>
    <x v="1"/>
    <n v="2.2000000000000002"/>
    <x v="84"/>
    <n v="7.7"/>
    <x v="1"/>
    <x v="1"/>
    <x v="0"/>
    <x v="0"/>
    <n v="59.8"/>
    <x v="91"/>
    <x v="3"/>
  </r>
  <r>
    <x v="113"/>
    <x v="1"/>
    <n v="1.4"/>
    <x v="51"/>
    <n v="7.2"/>
    <x v="0"/>
    <x v="0"/>
    <x v="1"/>
    <x v="0"/>
    <n v="62"/>
    <x v="92"/>
    <x v="3"/>
  </r>
  <r>
    <x v="114"/>
    <x v="0"/>
    <n v="4.9000000000000004"/>
    <x v="85"/>
    <n v="7.5"/>
    <x v="2"/>
    <x v="0"/>
    <x v="0"/>
    <x v="0"/>
    <n v="58.3"/>
    <x v="93"/>
    <x v="0"/>
  </r>
  <r>
    <x v="115"/>
    <x v="1"/>
    <n v="6.4"/>
    <x v="81"/>
    <n v="8"/>
    <x v="3"/>
    <x v="1"/>
    <x v="1"/>
    <x v="1"/>
    <n v="91.6"/>
    <x v="94"/>
    <x v="0"/>
  </r>
  <r>
    <x v="116"/>
    <x v="0"/>
    <n v="1.4"/>
    <x v="86"/>
    <n v="6.4"/>
    <x v="2"/>
    <x v="1"/>
    <x v="0"/>
    <x v="0"/>
    <n v="76.599999999999994"/>
    <x v="95"/>
    <x v="4"/>
  </r>
  <r>
    <x v="117"/>
    <x v="1"/>
    <n v="4.3"/>
    <x v="87"/>
    <n v="6.1"/>
    <x v="1"/>
    <x v="0"/>
    <x v="0"/>
    <x v="0"/>
    <n v="58.8"/>
    <x v="96"/>
    <x v="0"/>
  </r>
  <r>
    <x v="118"/>
    <x v="1"/>
    <n v="2.5"/>
    <x v="41"/>
    <n v="5.5"/>
    <x v="0"/>
    <x v="0"/>
    <x v="0"/>
    <x v="1"/>
    <n v="83.3"/>
    <x v="35"/>
    <x v="3"/>
  </r>
  <r>
    <x v="119"/>
    <x v="0"/>
    <n v="2.8"/>
    <x v="88"/>
    <n v="5.8"/>
    <x v="0"/>
    <x v="0"/>
    <x v="1"/>
    <x v="0"/>
    <n v="72.400000000000006"/>
    <x v="97"/>
    <x v="3"/>
  </r>
  <r>
    <x v="120"/>
    <x v="1"/>
    <n v="2.6"/>
    <x v="89"/>
    <n v="10"/>
    <x v="1"/>
    <x v="0"/>
    <x v="0"/>
    <x v="0"/>
    <n v="73.099999999999994"/>
    <x v="98"/>
    <x v="0"/>
  </r>
  <r>
    <x v="121"/>
    <x v="0"/>
    <n v="2.2000000000000002"/>
    <x v="90"/>
    <n v="8.3000000000000007"/>
    <x v="1"/>
    <x v="0"/>
    <x v="0"/>
    <x v="0"/>
    <n v="65.900000000000006"/>
    <x v="99"/>
    <x v="1"/>
  </r>
  <r>
    <x v="122"/>
    <x v="1"/>
    <n v="3.6"/>
    <x v="91"/>
    <n v="5.2"/>
    <x v="3"/>
    <x v="0"/>
    <x v="1"/>
    <x v="1"/>
    <n v="61"/>
    <x v="100"/>
    <x v="3"/>
  </r>
  <r>
    <x v="123"/>
    <x v="0"/>
    <n v="2.2999999999999998"/>
    <x v="92"/>
    <n v="5.2"/>
    <x v="0"/>
    <x v="0"/>
    <x v="0"/>
    <x v="0"/>
    <n v="74.099999999999994"/>
    <x v="78"/>
    <x v="1"/>
  </r>
  <r>
    <x v="124"/>
    <x v="0"/>
    <n v="3.9"/>
    <x v="93"/>
    <n v="7.4"/>
    <x v="0"/>
    <x v="0"/>
    <x v="0"/>
    <x v="0"/>
    <n v="63.5"/>
    <x v="78"/>
    <x v="1"/>
  </r>
  <r>
    <x v="125"/>
    <x v="1"/>
    <n v="3.4"/>
    <x v="94"/>
    <n v="7.5"/>
    <x v="0"/>
    <x v="0"/>
    <x v="0"/>
    <x v="0"/>
    <n v="91.8"/>
    <x v="101"/>
    <x v="0"/>
  </r>
  <r>
    <x v="126"/>
    <x v="1"/>
    <n v="3.1"/>
    <x v="95"/>
    <n v="7.5"/>
    <x v="0"/>
    <x v="0"/>
    <x v="0"/>
    <x v="0"/>
    <n v="54.8"/>
    <x v="102"/>
    <x v="1"/>
  </r>
  <r>
    <x v="127"/>
    <x v="0"/>
    <n v="2.1"/>
    <x v="96"/>
    <n v="6.5"/>
    <x v="1"/>
    <x v="0"/>
    <x v="1"/>
    <x v="1"/>
    <n v="88.4"/>
    <x v="103"/>
    <x v="2"/>
  </r>
  <r>
    <x v="128"/>
    <x v="1"/>
    <n v="2.6"/>
    <x v="97"/>
    <n v="6.6"/>
    <x v="1"/>
    <x v="0"/>
    <x v="1"/>
    <x v="1"/>
    <n v="68.7"/>
    <x v="32"/>
    <x v="1"/>
  </r>
  <r>
    <x v="129"/>
    <x v="1"/>
    <n v="4.5999999999999996"/>
    <x v="73"/>
    <n v="7.2"/>
    <x v="1"/>
    <x v="0"/>
    <x v="0"/>
    <x v="0"/>
    <n v="73.599999999999994"/>
    <x v="104"/>
    <x v="1"/>
  </r>
  <r>
    <x v="130"/>
    <x v="1"/>
    <n v="4.3"/>
    <x v="1"/>
    <n v="6.9"/>
    <x v="1"/>
    <x v="0"/>
    <x v="1"/>
    <x v="1"/>
    <n v="80"/>
    <x v="0"/>
    <x v="0"/>
  </r>
  <r>
    <x v="131"/>
    <x v="0"/>
    <n v="2"/>
    <x v="98"/>
    <n v="4.0999999999999996"/>
    <x v="2"/>
    <x v="0"/>
    <x v="0"/>
    <x v="0"/>
    <n v="62.4"/>
    <x v="87"/>
    <x v="3"/>
  </r>
  <r>
    <x v="132"/>
    <x v="0"/>
    <n v="3.6"/>
    <x v="99"/>
    <n v="6.5"/>
    <x v="0"/>
    <x v="1"/>
    <x v="0"/>
    <x v="0"/>
    <n v="80.400000000000006"/>
    <x v="105"/>
    <x v="3"/>
  </r>
  <r>
    <x v="133"/>
    <x v="0"/>
    <n v="4.5999999999999996"/>
    <x v="1"/>
    <n v="5.8"/>
    <x v="3"/>
    <x v="0"/>
    <x v="0"/>
    <x v="0"/>
    <n v="37.5"/>
    <x v="106"/>
    <x v="1"/>
  </r>
  <r>
    <x v="134"/>
    <x v="0"/>
    <n v="1"/>
    <x v="100"/>
    <n v="7"/>
    <x v="1"/>
    <x v="0"/>
    <x v="0"/>
    <x v="0"/>
    <n v="61.4"/>
    <x v="55"/>
    <x v="1"/>
  </r>
  <r>
    <x v="135"/>
    <x v="0"/>
    <n v="4.3"/>
    <x v="101"/>
    <n v="10"/>
    <x v="0"/>
    <x v="0"/>
    <x v="0"/>
    <x v="0"/>
    <n v="58.9"/>
    <x v="94"/>
    <x v="0"/>
  </r>
  <r>
    <x v="136"/>
    <x v="0"/>
    <n v="2.5"/>
    <x v="102"/>
    <n v="7.2"/>
    <x v="1"/>
    <x v="1"/>
    <x v="1"/>
    <x v="1"/>
    <n v="55"/>
    <x v="107"/>
    <x v="4"/>
  </r>
  <r>
    <x v="137"/>
    <x v="0"/>
    <n v="4.4000000000000004"/>
    <x v="103"/>
    <n v="6.4"/>
    <x v="1"/>
    <x v="0"/>
    <x v="1"/>
    <x v="0"/>
    <n v="67.400000000000006"/>
    <x v="108"/>
    <x v="1"/>
  </r>
  <r>
    <x v="138"/>
    <x v="0"/>
    <n v="2.4"/>
    <x v="7"/>
    <n v="7.9"/>
    <x v="1"/>
    <x v="0"/>
    <x v="0"/>
    <x v="0"/>
    <n v="74.599999999999994"/>
    <x v="11"/>
    <x v="1"/>
  </r>
  <r>
    <x v="139"/>
    <x v="0"/>
    <n v="0.8"/>
    <x v="104"/>
    <n v="7.4"/>
    <x v="3"/>
    <x v="0"/>
    <x v="1"/>
    <x v="0"/>
    <n v="78.400000000000006"/>
    <x v="109"/>
    <x v="1"/>
  </r>
  <r>
    <x v="140"/>
    <x v="1"/>
    <n v="1.1000000000000001"/>
    <x v="1"/>
    <n v="7.3"/>
    <x v="3"/>
    <x v="0"/>
    <x v="1"/>
    <x v="1"/>
    <n v="72.900000000000006"/>
    <x v="28"/>
    <x v="1"/>
  </r>
  <r>
    <x v="141"/>
    <x v="0"/>
    <n v="3.6"/>
    <x v="1"/>
    <n v="7.5"/>
    <x v="0"/>
    <x v="0"/>
    <x v="1"/>
    <x v="0"/>
    <n v="62"/>
    <x v="110"/>
    <x v="3"/>
  </r>
  <r>
    <x v="142"/>
    <x v="1"/>
    <n v="3.9"/>
    <x v="105"/>
    <n v="9.3000000000000007"/>
    <x v="0"/>
    <x v="0"/>
    <x v="1"/>
    <x v="1"/>
    <n v="74.400000000000006"/>
    <x v="81"/>
    <x v="1"/>
  </r>
  <r>
    <x v="143"/>
    <x v="1"/>
    <n v="2.1"/>
    <x v="106"/>
    <n v="5.4"/>
    <x v="2"/>
    <x v="0"/>
    <x v="0"/>
    <x v="1"/>
    <n v="71.5"/>
    <x v="5"/>
    <x v="2"/>
  </r>
  <r>
    <x v="144"/>
    <x v="1"/>
    <n v="4.5"/>
    <x v="6"/>
    <n v="7.4"/>
    <x v="1"/>
    <x v="0"/>
    <x v="1"/>
    <x v="1"/>
    <n v="81.2"/>
    <x v="111"/>
    <x v="1"/>
  </r>
  <r>
    <x v="145"/>
    <x v="0"/>
    <n v="1"/>
    <x v="107"/>
    <n v="5.7"/>
    <x v="1"/>
    <x v="0"/>
    <x v="1"/>
    <x v="0"/>
    <n v="79.3"/>
    <x v="82"/>
    <x v="2"/>
  </r>
  <r>
    <x v="146"/>
    <x v="0"/>
    <n v="3.4"/>
    <x v="108"/>
    <n v="7.5"/>
    <x v="1"/>
    <x v="0"/>
    <x v="1"/>
    <x v="1"/>
    <n v="70.400000000000006"/>
    <x v="112"/>
    <x v="1"/>
  </r>
  <r>
    <x v="147"/>
    <x v="0"/>
    <n v="1.7"/>
    <x v="109"/>
    <n v="5.7"/>
    <x v="3"/>
    <x v="0"/>
    <x v="0"/>
    <x v="1"/>
    <n v="59.2"/>
    <x v="113"/>
    <x v="4"/>
  </r>
  <r>
    <x v="148"/>
    <x v="0"/>
    <n v="2.5"/>
    <x v="110"/>
    <n v="6.3"/>
    <x v="2"/>
    <x v="0"/>
    <x v="0"/>
    <x v="1"/>
    <n v="62.2"/>
    <x v="114"/>
    <x v="2"/>
  </r>
  <r>
    <x v="149"/>
    <x v="1"/>
    <n v="3.6"/>
    <x v="111"/>
    <n v="6.4"/>
    <x v="1"/>
    <x v="0"/>
    <x v="0"/>
    <x v="1"/>
    <n v="63.4"/>
    <x v="115"/>
    <x v="2"/>
  </r>
  <r>
    <x v="150"/>
    <x v="0"/>
    <n v="2.2000000000000002"/>
    <x v="28"/>
    <n v="8"/>
    <x v="4"/>
    <x v="0"/>
    <x v="0"/>
    <x v="0"/>
    <n v="66.2"/>
    <x v="116"/>
    <x v="1"/>
  </r>
  <r>
    <x v="151"/>
    <x v="0"/>
    <n v="2.9"/>
    <x v="50"/>
    <n v="7.9"/>
    <x v="3"/>
    <x v="0"/>
    <x v="0"/>
    <x v="1"/>
    <n v="73.2"/>
    <x v="110"/>
    <x v="3"/>
  </r>
  <r>
    <x v="152"/>
    <x v="0"/>
    <n v="5"/>
    <x v="112"/>
    <n v="5.3"/>
    <x v="1"/>
    <x v="0"/>
    <x v="1"/>
    <x v="1"/>
    <n v="78.599999999999994"/>
    <x v="116"/>
    <x v="1"/>
  </r>
  <r>
    <x v="153"/>
    <x v="0"/>
    <n v="2.6"/>
    <x v="113"/>
    <n v="6.9"/>
    <x v="0"/>
    <x v="1"/>
    <x v="0"/>
    <x v="0"/>
    <n v="69.400000000000006"/>
    <x v="87"/>
    <x v="3"/>
  </r>
  <r>
    <x v="154"/>
    <x v="0"/>
    <n v="4.8"/>
    <x v="114"/>
    <n v="5.9"/>
    <x v="0"/>
    <x v="0"/>
    <x v="1"/>
    <x v="0"/>
    <n v="70.2"/>
    <x v="117"/>
    <x v="0"/>
  </r>
  <r>
    <x v="155"/>
    <x v="1"/>
    <n v="1.8"/>
    <x v="1"/>
    <n v="5.3"/>
    <x v="2"/>
    <x v="0"/>
    <x v="0"/>
    <x v="0"/>
    <n v="71.7"/>
    <x v="118"/>
    <x v="1"/>
  </r>
  <r>
    <x v="156"/>
    <x v="0"/>
    <n v="4.3"/>
    <x v="1"/>
    <n v="6.5"/>
    <x v="1"/>
    <x v="0"/>
    <x v="1"/>
    <x v="0"/>
    <n v="63.8"/>
    <x v="29"/>
    <x v="1"/>
  </r>
  <r>
    <x v="157"/>
    <x v="1"/>
    <n v="5.7"/>
    <x v="115"/>
    <n v="6.4"/>
    <x v="3"/>
    <x v="0"/>
    <x v="0"/>
    <x v="1"/>
    <n v="58.9"/>
    <x v="119"/>
    <x v="1"/>
  </r>
  <r>
    <x v="158"/>
    <x v="0"/>
    <n v="0.5"/>
    <x v="116"/>
    <n v="9.6999999999999993"/>
    <x v="1"/>
    <x v="0"/>
    <x v="0"/>
    <x v="0"/>
    <n v="48.9"/>
    <x v="120"/>
    <x v="2"/>
  </r>
  <r>
    <x v="159"/>
    <x v="1"/>
    <n v="2.2999999999999998"/>
    <x v="117"/>
    <n v="7.3"/>
    <x v="3"/>
    <x v="0"/>
    <x v="1"/>
    <x v="1"/>
    <n v="61.7"/>
    <x v="88"/>
    <x v="3"/>
  </r>
  <r>
    <x v="160"/>
    <x v="0"/>
    <n v="4.4000000000000004"/>
    <x v="118"/>
    <n v="5.0999999999999996"/>
    <x v="0"/>
    <x v="0"/>
    <x v="1"/>
    <x v="0"/>
    <n v="75.7"/>
    <x v="121"/>
    <x v="1"/>
  </r>
  <r>
    <x v="161"/>
    <x v="0"/>
    <n v="3.2"/>
    <x v="119"/>
    <n v="6.1"/>
    <x v="0"/>
    <x v="0"/>
    <x v="1"/>
    <x v="0"/>
    <n v="61.6"/>
    <x v="122"/>
    <x v="3"/>
  </r>
  <r>
    <x v="162"/>
    <x v="1"/>
    <n v="4.0999999999999996"/>
    <x v="120"/>
    <n v="8"/>
    <x v="3"/>
    <x v="0"/>
    <x v="0"/>
    <x v="1"/>
    <n v="67.099999999999994"/>
    <x v="1"/>
    <x v="0"/>
  </r>
  <r>
    <x v="163"/>
    <x v="1"/>
    <n v="2.6"/>
    <x v="121"/>
    <n v="9.3000000000000007"/>
    <x v="3"/>
    <x v="0"/>
    <x v="0"/>
    <x v="0"/>
    <n v="75.599999999999994"/>
    <x v="123"/>
    <x v="0"/>
  </r>
  <r>
    <x v="164"/>
    <x v="1"/>
    <n v="3.6"/>
    <x v="122"/>
    <n v="4.9000000000000004"/>
    <x v="4"/>
    <x v="0"/>
    <x v="1"/>
    <x v="0"/>
    <n v="76.2"/>
    <x v="124"/>
    <x v="1"/>
  </r>
  <r>
    <x v="165"/>
    <x v="0"/>
    <n v="3.3"/>
    <x v="123"/>
    <n v="4.5"/>
    <x v="1"/>
    <x v="0"/>
    <x v="0"/>
    <x v="0"/>
    <n v="57"/>
    <x v="14"/>
    <x v="1"/>
  </r>
  <r>
    <x v="166"/>
    <x v="1"/>
    <n v="5.3"/>
    <x v="124"/>
    <n v="9"/>
    <x v="3"/>
    <x v="0"/>
    <x v="1"/>
    <x v="0"/>
    <n v="82"/>
    <x v="0"/>
    <x v="0"/>
  </r>
  <r>
    <x v="167"/>
    <x v="0"/>
    <n v="3.9"/>
    <x v="125"/>
    <n v="7.3"/>
    <x v="1"/>
    <x v="0"/>
    <x v="0"/>
    <x v="0"/>
    <n v="83.5"/>
    <x v="125"/>
    <x v="1"/>
  </r>
  <r>
    <x v="168"/>
    <x v="0"/>
    <n v="4"/>
    <x v="102"/>
    <n v="5.8"/>
    <x v="0"/>
    <x v="1"/>
    <x v="0"/>
    <x v="1"/>
    <n v="56.4"/>
    <x v="126"/>
    <x v="3"/>
  </r>
  <r>
    <x v="169"/>
    <x v="1"/>
    <n v="2.9"/>
    <x v="126"/>
    <n v="7.4"/>
    <x v="0"/>
    <x v="1"/>
    <x v="0"/>
    <x v="1"/>
    <n v="60.1"/>
    <x v="127"/>
    <x v="3"/>
  </r>
  <r>
    <x v="170"/>
    <x v="1"/>
    <n v="2.8"/>
    <x v="127"/>
    <n v="3.6"/>
    <x v="0"/>
    <x v="0"/>
    <x v="0"/>
    <x v="0"/>
    <n v="84.3"/>
    <x v="30"/>
    <x v="0"/>
  </r>
  <r>
    <x v="171"/>
    <x v="0"/>
    <n v="2.9"/>
    <x v="128"/>
    <n v="6.8"/>
    <x v="0"/>
    <x v="0"/>
    <x v="1"/>
    <x v="0"/>
    <n v="68.2"/>
    <x v="128"/>
    <x v="3"/>
  </r>
  <r>
    <x v="172"/>
    <x v="0"/>
    <n v="4.0999999999999996"/>
    <x v="129"/>
    <n v="7.2"/>
    <x v="2"/>
    <x v="0"/>
    <x v="1"/>
    <x v="0"/>
    <n v="43.4"/>
    <x v="129"/>
    <x v="3"/>
  </r>
  <r>
    <x v="173"/>
    <x v="1"/>
    <n v="2.9"/>
    <x v="130"/>
    <n v="7.9"/>
    <x v="1"/>
    <x v="0"/>
    <x v="0"/>
    <x v="0"/>
    <n v="53.2"/>
    <x v="11"/>
    <x v="1"/>
  </r>
  <r>
    <x v="174"/>
    <x v="1"/>
    <n v="3.9"/>
    <x v="131"/>
    <n v="5.6"/>
    <x v="3"/>
    <x v="0"/>
    <x v="1"/>
    <x v="0"/>
    <n v="67"/>
    <x v="37"/>
    <x v="3"/>
  </r>
  <r>
    <x v="175"/>
    <x v="1"/>
    <n v="6.6"/>
    <x v="3"/>
    <n v="6.9"/>
    <x v="0"/>
    <x v="0"/>
    <x v="0"/>
    <x v="0"/>
    <n v="56"/>
    <x v="17"/>
    <x v="1"/>
  </r>
  <r>
    <x v="176"/>
    <x v="0"/>
    <n v="4.8"/>
    <x v="132"/>
    <n v="5.7"/>
    <x v="1"/>
    <x v="0"/>
    <x v="0"/>
    <x v="0"/>
    <n v="65"/>
    <x v="130"/>
    <x v="1"/>
  </r>
  <r>
    <x v="177"/>
    <x v="0"/>
    <n v="3"/>
    <x v="133"/>
    <n v="7.1"/>
    <x v="1"/>
    <x v="1"/>
    <x v="0"/>
    <x v="0"/>
    <n v="70.400000000000006"/>
    <x v="131"/>
    <x v="1"/>
  </r>
  <r>
    <x v="178"/>
    <x v="0"/>
    <n v="5.3"/>
    <x v="134"/>
    <n v="5.7"/>
    <x v="2"/>
    <x v="0"/>
    <x v="1"/>
    <x v="0"/>
    <n v="87.5"/>
    <x v="132"/>
    <x v="0"/>
  </r>
  <r>
    <x v="179"/>
    <x v="0"/>
    <n v="2.9"/>
    <x v="36"/>
    <n v="6.3"/>
    <x v="4"/>
    <x v="0"/>
    <x v="1"/>
    <x v="0"/>
    <n v="66.5"/>
    <x v="133"/>
    <x v="3"/>
  </r>
  <r>
    <x v="180"/>
    <x v="0"/>
    <n v="0.5"/>
    <x v="135"/>
    <n v="5.6"/>
    <x v="2"/>
    <x v="0"/>
    <x v="1"/>
    <x v="0"/>
    <n v="82.9"/>
    <x v="134"/>
    <x v="3"/>
  </r>
  <r>
    <x v="181"/>
    <x v="0"/>
    <n v="2"/>
    <x v="136"/>
    <n v="7.6"/>
    <x v="2"/>
    <x v="0"/>
    <x v="1"/>
    <x v="1"/>
    <n v="87.1"/>
    <x v="100"/>
    <x v="3"/>
  </r>
  <r>
    <x v="182"/>
    <x v="1"/>
    <n v="0.7"/>
    <x v="137"/>
    <n v="7.8"/>
    <x v="1"/>
    <x v="0"/>
    <x v="1"/>
    <x v="0"/>
    <n v="87.2"/>
    <x v="135"/>
    <x v="3"/>
  </r>
  <r>
    <x v="183"/>
    <x v="0"/>
    <n v="3"/>
    <x v="50"/>
    <n v="6.5"/>
    <x v="0"/>
    <x v="0"/>
    <x v="1"/>
    <x v="0"/>
    <n v="73.400000000000006"/>
    <x v="136"/>
    <x v="1"/>
  </r>
  <r>
    <x v="184"/>
    <x v="0"/>
    <n v="3.5"/>
    <x v="138"/>
    <n v="6.8"/>
    <x v="3"/>
    <x v="0"/>
    <x v="1"/>
    <x v="0"/>
    <n v="46.4"/>
    <x v="137"/>
    <x v="1"/>
  </r>
  <r>
    <x v="185"/>
    <x v="0"/>
    <n v="6"/>
    <x v="139"/>
    <n v="5.0999999999999996"/>
    <x v="0"/>
    <x v="0"/>
    <x v="1"/>
    <x v="0"/>
    <n v="75.5"/>
    <x v="138"/>
    <x v="0"/>
  </r>
  <r>
    <x v="186"/>
    <x v="1"/>
    <n v="4"/>
    <x v="140"/>
    <n v="6.4"/>
    <x v="0"/>
    <x v="0"/>
    <x v="0"/>
    <x v="0"/>
    <n v="82.6"/>
    <x v="130"/>
    <x v="1"/>
  </r>
  <r>
    <x v="187"/>
    <x v="0"/>
    <n v="3.2"/>
    <x v="141"/>
    <n v="6.7"/>
    <x v="0"/>
    <x v="0"/>
    <x v="0"/>
    <x v="1"/>
    <n v="69"/>
    <x v="139"/>
    <x v="1"/>
  </r>
  <r>
    <x v="188"/>
    <x v="0"/>
    <n v="4.7"/>
    <x v="117"/>
    <n v="9.9"/>
    <x v="0"/>
    <x v="0"/>
    <x v="0"/>
    <x v="0"/>
    <n v="90.9"/>
    <x v="0"/>
    <x v="0"/>
  </r>
  <r>
    <x v="189"/>
    <x v="1"/>
    <n v="0.5"/>
    <x v="142"/>
    <n v="5.5"/>
    <x v="0"/>
    <x v="0"/>
    <x v="0"/>
    <x v="0"/>
    <n v="80.3"/>
    <x v="140"/>
    <x v="2"/>
  </r>
  <r>
    <x v="190"/>
    <x v="0"/>
    <n v="3.9"/>
    <x v="143"/>
    <n v="8.6"/>
    <x v="1"/>
    <x v="0"/>
    <x v="1"/>
    <x v="0"/>
    <n v="76.8"/>
    <x v="141"/>
    <x v="1"/>
  </r>
  <r>
    <x v="191"/>
    <x v="0"/>
    <n v="4.7"/>
    <x v="144"/>
    <n v="8"/>
    <x v="0"/>
    <x v="0"/>
    <x v="0"/>
    <x v="1"/>
    <n v="83"/>
    <x v="0"/>
    <x v="0"/>
  </r>
  <r>
    <x v="192"/>
    <x v="0"/>
    <n v="1.3"/>
    <x v="145"/>
    <n v="7.1"/>
    <x v="0"/>
    <x v="0"/>
    <x v="1"/>
    <x v="0"/>
    <n v="74"/>
    <x v="142"/>
    <x v="3"/>
  </r>
  <r>
    <x v="193"/>
    <x v="0"/>
    <n v="5.2"/>
    <x v="146"/>
    <n v="8.9"/>
    <x v="0"/>
    <x v="0"/>
    <x v="0"/>
    <x v="0"/>
    <n v="40.1"/>
    <x v="32"/>
    <x v="1"/>
  </r>
  <r>
    <x v="194"/>
    <x v="0"/>
    <n v="4"/>
    <x v="147"/>
    <n v="7.2"/>
    <x v="1"/>
    <x v="0"/>
    <x v="0"/>
    <x v="0"/>
    <n v="64"/>
    <x v="93"/>
    <x v="0"/>
  </r>
  <r>
    <x v="195"/>
    <x v="1"/>
    <n v="2.9"/>
    <x v="148"/>
    <n v="7.3"/>
    <x v="3"/>
    <x v="1"/>
    <x v="0"/>
    <x v="0"/>
    <n v="84.4"/>
    <x v="143"/>
    <x v="3"/>
  </r>
  <r>
    <x v="196"/>
    <x v="1"/>
    <n v="4.4000000000000004"/>
    <x v="99"/>
    <n v="6.7"/>
    <x v="1"/>
    <x v="0"/>
    <x v="1"/>
    <x v="0"/>
    <n v="60.3"/>
    <x v="20"/>
    <x v="3"/>
  </r>
  <r>
    <x v="197"/>
    <x v="1"/>
    <n v="6.9"/>
    <x v="26"/>
    <n v="8.3000000000000007"/>
    <x v="0"/>
    <x v="0"/>
    <x v="0"/>
    <x v="0"/>
    <n v="67.3"/>
    <x v="144"/>
    <x v="0"/>
  </r>
  <r>
    <x v="198"/>
    <x v="0"/>
    <n v="3.8"/>
    <x v="149"/>
    <n v="8.1"/>
    <x v="3"/>
    <x v="0"/>
    <x v="0"/>
    <x v="0"/>
    <n v="57.5"/>
    <x v="145"/>
    <x v="1"/>
  </r>
  <r>
    <x v="199"/>
    <x v="0"/>
    <n v="3.9"/>
    <x v="150"/>
    <n v="6"/>
    <x v="0"/>
    <x v="1"/>
    <x v="1"/>
    <x v="0"/>
    <n v="91.4"/>
    <x v="86"/>
    <x v="0"/>
  </r>
  <r>
    <x v="200"/>
    <x v="0"/>
    <n v="2.8"/>
    <x v="8"/>
    <n v="5.2"/>
    <x v="1"/>
    <x v="0"/>
    <x v="1"/>
    <x v="1"/>
    <n v="90.2"/>
    <x v="60"/>
    <x v="0"/>
  </r>
  <r>
    <x v="201"/>
    <x v="1"/>
    <n v="2.2000000000000002"/>
    <x v="7"/>
    <n v="6.6"/>
    <x v="3"/>
    <x v="0"/>
    <x v="0"/>
    <x v="0"/>
    <n v="59.4"/>
    <x v="16"/>
    <x v="3"/>
  </r>
  <r>
    <x v="202"/>
    <x v="0"/>
    <n v="4.7"/>
    <x v="125"/>
    <n v="5.8"/>
    <x v="0"/>
    <x v="0"/>
    <x v="0"/>
    <x v="0"/>
    <n v="71.8"/>
    <x v="46"/>
    <x v="1"/>
  </r>
  <r>
    <x v="203"/>
    <x v="0"/>
    <n v="2.2000000000000002"/>
    <x v="91"/>
    <n v="6.7"/>
    <x v="3"/>
    <x v="0"/>
    <x v="0"/>
    <x v="0"/>
    <n v="61.8"/>
    <x v="10"/>
    <x v="3"/>
  </r>
  <r>
    <x v="204"/>
    <x v="1"/>
    <n v="3.6"/>
    <x v="151"/>
    <n v="8.3000000000000007"/>
    <x v="3"/>
    <x v="0"/>
    <x v="1"/>
    <x v="0"/>
    <n v="77.400000000000006"/>
    <x v="111"/>
    <x v="1"/>
  </r>
  <r>
    <x v="205"/>
    <x v="0"/>
    <n v="2.8"/>
    <x v="152"/>
    <n v="6.3"/>
    <x v="0"/>
    <x v="0"/>
    <x v="0"/>
    <x v="1"/>
    <n v="76.099999999999994"/>
    <x v="146"/>
    <x v="2"/>
  </r>
  <r>
    <x v="206"/>
    <x v="1"/>
    <n v="4.2"/>
    <x v="67"/>
    <n v="6.7"/>
    <x v="0"/>
    <x v="0"/>
    <x v="0"/>
    <x v="1"/>
    <n v="79.7"/>
    <x v="0"/>
    <x v="0"/>
  </r>
  <r>
    <x v="207"/>
    <x v="1"/>
    <n v="4"/>
    <x v="153"/>
    <n v="6.9"/>
    <x v="1"/>
    <x v="1"/>
    <x v="0"/>
    <x v="0"/>
    <n v="74"/>
    <x v="147"/>
    <x v="0"/>
  </r>
  <r>
    <x v="208"/>
    <x v="1"/>
    <n v="5.0999999999999996"/>
    <x v="154"/>
    <n v="7.8"/>
    <x v="1"/>
    <x v="0"/>
    <x v="0"/>
    <x v="1"/>
    <n v="100"/>
    <x v="148"/>
    <x v="0"/>
  </r>
  <r>
    <x v="209"/>
    <x v="0"/>
    <n v="2.7"/>
    <x v="155"/>
    <n v="4.0999999999999996"/>
    <x v="0"/>
    <x v="0"/>
    <x v="1"/>
    <x v="0"/>
    <n v="57.7"/>
    <x v="149"/>
    <x v="3"/>
  </r>
  <r>
    <x v="210"/>
    <x v="0"/>
    <n v="3.1"/>
    <x v="156"/>
    <n v="6.1"/>
    <x v="0"/>
    <x v="0"/>
    <x v="0"/>
    <x v="0"/>
    <n v="49.5"/>
    <x v="150"/>
    <x v="1"/>
  </r>
  <r>
    <x v="211"/>
    <x v="0"/>
    <n v="2"/>
    <x v="1"/>
    <n v="7.1"/>
    <x v="0"/>
    <x v="0"/>
    <x v="0"/>
    <x v="0"/>
    <n v="65.3"/>
    <x v="44"/>
    <x v="1"/>
  </r>
  <r>
    <x v="212"/>
    <x v="0"/>
    <n v="2.8"/>
    <x v="53"/>
    <n v="8.1999999999999993"/>
    <x v="1"/>
    <x v="0"/>
    <x v="0"/>
    <x v="1"/>
    <n v="51.2"/>
    <x v="151"/>
    <x v="3"/>
  </r>
  <r>
    <x v="213"/>
    <x v="0"/>
    <n v="4.0999999999999996"/>
    <x v="145"/>
    <n v="6.2"/>
    <x v="1"/>
    <x v="0"/>
    <x v="0"/>
    <x v="1"/>
    <n v="52.1"/>
    <x v="129"/>
    <x v="3"/>
  </r>
  <r>
    <x v="214"/>
    <x v="0"/>
    <n v="4.5999999999999996"/>
    <x v="157"/>
    <n v="4.5"/>
    <x v="0"/>
    <x v="0"/>
    <x v="0"/>
    <x v="0"/>
    <n v="58"/>
    <x v="116"/>
    <x v="1"/>
  </r>
  <r>
    <x v="215"/>
    <x v="0"/>
    <n v="2.1"/>
    <x v="158"/>
    <n v="7.5"/>
    <x v="1"/>
    <x v="0"/>
    <x v="1"/>
    <x v="0"/>
    <n v="58.9"/>
    <x v="152"/>
    <x v="3"/>
  </r>
  <r>
    <x v="216"/>
    <x v="1"/>
    <n v="4.8"/>
    <x v="49"/>
    <n v="6"/>
    <x v="3"/>
    <x v="0"/>
    <x v="1"/>
    <x v="0"/>
    <n v="58.5"/>
    <x v="153"/>
    <x v="0"/>
  </r>
  <r>
    <x v="217"/>
    <x v="0"/>
    <n v="5.5"/>
    <x v="128"/>
    <n v="5.4"/>
    <x v="1"/>
    <x v="0"/>
    <x v="1"/>
    <x v="0"/>
    <n v="76.2"/>
    <x v="154"/>
    <x v="0"/>
  </r>
  <r>
    <x v="218"/>
    <x v="1"/>
    <n v="4.0999999999999996"/>
    <x v="159"/>
    <n v="6.1"/>
    <x v="0"/>
    <x v="0"/>
    <x v="1"/>
    <x v="0"/>
    <n v="63.9"/>
    <x v="111"/>
    <x v="1"/>
  </r>
  <r>
    <x v="219"/>
    <x v="0"/>
    <n v="6.3"/>
    <x v="160"/>
    <n v="6.6"/>
    <x v="2"/>
    <x v="0"/>
    <x v="1"/>
    <x v="0"/>
    <n v="67.8"/>
    <x v="0"/>
    <x v="0"/>
  </r>
  <r>
    <x v="220"/>
    <x v="0"/>
    <n v="2.2999999999999998"/>
    <x v="161"/>
    <n v="6.1"/>
    <x v="1"/>
    <x v="0"/>
    <x v="0"/>
    <x v="0"/>
    <n v="80.7"/>
    <x v="48"/>
    <x v="1"/>
  </r>
  <r>
    <x v="221"/>
    <x v="0"/>
    <n v="1.6"/>
    <x v="1"/>
    <n v="4.2"/>
    <x v="0"/>
    <x v="1"/>
    <x v="1"/>
    <x v="0"/>
    <n v="60.8"/>
    <x v="49"/>
    <x v="3"/>
  </r>
  <r>
    <x v="222"/>
    <x v="1"/>
    <n v="0.8"/>
    <x v="108"/>
    <n v="7.9"/>
    <x v="1"/>
    <x v="1"/>
    <x v="1"/>
    <x v="1"/>
    <n v="66.8"/>
    <x v="155"/>
    <x v="3"/>
  </r>
  <r>
    <x v="223"/>
    <x v="1"/>
    <n v="5.7"/>
    <x v="21"/>
    <n v="8.3000000000000007"/>
    <x v="0"/>
    <x v="0"/>
    <x v="1"/>
    <x v="1"/>
    <n v="74.400000000000006"/>
    <x v="156"/>
    <x v="1"/>
  </r>
  <r>
    <x v="224"/>
    <x v="1"/>
    <n v="4.5"/>
    <x v="162"/>
    <n v="7.6"/>
    <x v="0"/>
    <x v="0"/>
    <x v="0"/>
    <x v="0"/>
    <n v="46.7"/>
    <x v="32"/>
    <x v="1"/>
  </r>
  <r>
    <x v="225"/>
    <x v="1"/>
    <n v="3.4"/>
    <x v="137"/>
    <n v="5.4"/>
    <x v="0"/>
    <x v="0"/>
    <x v="0"/>
    <x v="0"/>
    <n v="41.4"/>
    <x v="157"/>
    <x v="2"/>
  </r>
  <r>
    <x v="226"/>
    <x v="0"/>
    <n v="3.9"/>
    <x v="133"/>
    <n v="6.6"/>
    <x v="0"/>
    <x v="0"/>
    <x v="1"/>
    <x v="1"/>
    <n v="74.2"/>
    <x v="158"/>
    <x v="1"/>
  </r>
  <r>
    <x v="227"/>
    <x v="1"/>
    <n v="1.8"/>
    <x v="97"/>
    <n v="6.8"/>
    <x v="4"/>
    <x v="0"/>
    <x v="1"/>
    <x v="1"/>
    <n v="75.900000000000006"/>
    <x v="70"/>
    <x v="0"/>
  </r>
  <r>
    <x v="228"/>
    <x v="0"/>
    <n v="7.2"/>
    <x v="157"/>
    <n v="7.5"/>
    <x v="1"/>
    <x v="0"/>
    <x v="1"/>
    <x v="0"/>
    <n v="94.8"/>
    <x v="0"/>
    <x v="0"/>
  </r>
  <r>
    <x v="229"/>
    <x v="0"/>
    <n v="3.7"/>
    <x v="1"/>
    <n v="7.6"/>
    <x v="1"/>
    <x v="0"/>
    <x v="0"/>
    <x v="1"/>
    <n v="71.900000000000006"/>
    <x v="159"/>
    <x v="1"/>
  </r>
  <r>
    <x v="230"/>
    <x v="1"/>
    <n v="3.7"/>
    <x v="119"/>
    <n v="5.9"/>
    <x v="4"/>
    <x v="0"/>
    <x v="0"/>
    <x v="0"/>
    <n v="79.8"/>
    <x v="77"/>
    <x v="0"/>
  </r>
  <r>
    <x v="231"/>
    <x v="1"/>
    <n v="4.5999999999999996"/>
    <x v="3"/>
    <n v="6.9"/>
    <x v="0"/>
    <x v="0"/>
    <x v="0"/>
    <x v="0"/>
    <n v="67.7"/>
    <x v="160"/>
    <x v="0"/>
  </r>
  <r>
    <x v="232"/>
    <x v="1"/>
    <n v="4.2"/>
    <x v="163"/>
    <n v="7.3"/>
    <x v="4"/>
    <x v="0"/>
    <x v="1"/>
    <x v="0"/>
    <n v="73.599999999999994"/>
    <x v="158"/>
    <x v="1"/>
  </r>
  <r>
    <x v="233"/>
    <x v="1"/>
    <n v="3.8"/>
    <x v="148"/>
    <n v="8.5"/>
    <x v="0"/>
    <x v="0"/>
    <x v="0"/>
    <x v="0"/>
    <n v="90"/>
    <x v="0"/>
    <x v="0"/>
  </r>
  <r>
    <x v="234"/>
    <x v="1"/>
    <n v="2.2999999999999998"/>
    <x v="164"/>
    <n v="7.6"/>
    <x v="3"/>
    <x v="0"/>
    <x v="0"/>
    <x v="0"/>
    <n v="44.5"/>
    <x v="109"/>
    <x v="1"/>
  </r>
  <r>
    <x v="235"/>
    <x v="1"/>
    <n v="4.2"/>
    <x v="165"/>
    <n v="7.7"/>
    <x v="0"/>
    <x v="0"/>
    <x v="1"/>
    <x v="0"/>
    <n v="75"/>
    <x v="161"/>
    <x v="1"/>
  </r>
  <r>
    <x v="236"/>
    <x v="1"/>
    <n v="6.3"/>
    <x v="166"/>
    <n v="6.9"/>
    <x v="3"/>
    <x v="0"/>
    <x v="0"/>
    <x v="0"/>
    <n v="95.6"/>
    <x v="0"/>
    <x v="0"/>
  </r>
  <r>
    <x v="237"/>
    <x v="1"/>
    <n v="5.5"/>
    <x v="167"/>
    <n v="8.5"/>
    <x v="2"/>
    <x v="0"/>
    <x v="1"/>
    <x v="0"/>
    <n v="73.400000000000006"/>
    <x v="7"/>
    <x v="1"/>
  </r>
  <r>
    <x v="238"/>
    <x v="0"/>
    <n v="5.9"/>
    <x v="1"/>
    <n v="7.3"/>
    <x v="0"/>
    <x v="0"/>
    <x v="0"/>
    <x v="0"/>
    <n v="89.8"/>
    <x v="0"/>
    <x v="0"/>
  </r>
  <r>
    <x v="239"/>
    <x v="1"/>
    <n v="2.7"/>
    <x v="168"/>
    <n v="5.8"/>
    <x v="1"/>
    <x v="0"/>
    <x v="1"/>
    <x v="1"/>
    <n v="62.4"/>
    <x v="141"/>
    <x v="1"/>
  </r>
  <r>
    <x v="240"/>
    <x v="1"/>
    <n v="2"/>
    <x v="88"/>
    <n v="8.5"/>
    <x v="1"/>
    <x v="0"/>
    <x v="1"/>
    <x v="1"/>
    <n v="69.599999999999994"/>
    <x v="162"/>
    <x v="1"/>
  </r>
  <r>
    <x v="241"/>
    <x v="0"/>
    <n v="3.3"/>
    <x v="169"/>
    <n v="7.6"/>
    <x v="1"/>
    <x v="0"/>
    <x v="1"/>
    <x v="1"/>
    <n v="70.400000000000006"/>
    <x v="57"/>
    <x v="1"/>
  </r>
  <r>
    <x v="242"/>
    <x v="1"/>
    <n v="3.6"/>
    <x v="135"/>
    <n v="6.3"/>
    <x v="1"/>
    <x v="0"/>
    <x v="1"/>
    <x v="1"/>
    <n v="43.4"/>
    <x v="43"/>
    <x v="2"/>
  </r>
  <r>
    <x v="243"/>
    <x v="0"/>
    <n v="5.0999999999999996"/>
    <x v="170"/>
    <n v="6.2"/>
    <x v="1"/>
    <x v="0"/>
    <x v="0"/>
    <x v="0"/>
    <n v="56"/>
    <x v="144"/>
    <x v="0"/>
  </r>
  <r>
    <x v="244"/>
    <x v="0"/>
    <n v="1"/>
    <x v="171"/>
    <n v="7.2"/>
    <x v="0"/>
    <x v="0"/>
    <x v="0"/>
    <x v="0"/>
    <n v="56.8"/>
    <x v="163"/>
    <x v="3"/>
  </r>
  <r>
    <x v="245"/>
    <x v="1"/>
    <n v="5.8"/>
    <x v="64"/>
    <n v="7.4"/>
    <x v="0"/>
    <x v="0"/>
    <x v="0"/>
    <x v="0"/>
    <n v="79.900000000000006"/>
    <x v="0"/>
    <x v="0"/>
  </r>
  <r>
    <x v="246"/>
    <x v="0"/>
    <n v="3.3"/>
    <x v="24"/>
    <n v="7"/>
    <x v="0"/>
    <x v="0"/>
    <x v="1"/>
    <x v="0"/>
    <n v="80.5"/>
    <x v="144"/>
    <x v="0"/>
  </r>
  <r>
    <x v="247"/>
    <x v="0"/>
    <n v="2.9"/>
    <x v="172"/>
    <n v="7.2"/>
    <x v="0"/>
    <x v="1"/>
    <x v="1"/>
    <x v="0"/>
    <n v="73.900000000000006"/>
    <x v="100"/>
    <x v="3"/>
  </r>
  <r>
    <x v="248"/>
    <x v="0"/>
    <n v="2"/>
    <x v="173"/>
    <n v="8.8000000000000007"/>
    <x v="1"/>
    <x v="0"/>
    <x v="0"/>
    <x v="0"/>
    <n v="79.900000000000006"/>
    <x v="159"/>
    <x v="1"/>
  </r>
  <r>
    <x v="249"/>
    <x v="0"/>
    <n v="1"/>
    <x v="77"/>
    <n v="8.1"/>
    <x v="1"/>
    <x v="0"/>
    <x v="1"/>
    <x v="0"/>
    <n v="68"/>
    <x v="164"/>
    <x v="2"/>
  </r>
  <r>
    <x v="250"/>
    <x v="1"/>
    <n v="4.7"/>
    <x v="103"/>
    <n v="7"/>
    <x v="1"/>
    <x v="0"/>
    <x v="0"/>
    <x v="1"/>
    <n v="84.4"/>
    <x v="165"/>
    <x v="1"/>
  </r>
  <r>
    <x v="251"/>
    <x v="0"/>
    <n v="3.6"/>
    <x v="74"/>
    <n v="7.9"/>
    <x v="0"/>
    <x v="0"/>
    <x v="1"/>
    <x v="1"/>
    <n v="70.099999999999994"/>
    <x v="166"/>
    <x v="0"/>
  </r>
  <r>
    <x v="252"/>
    <x v="1"/>
    <n v="1.6"/>
    <x v="1"/>
    <n v="5.6"/>
    <x v="1"/>
    <x v="1"/>
    <x v="1"/>
    <x v="0"/>
    <n v="70.7"/>
    <x v="167"/>
    <x v="3"/>
  </r>
  <r>
    <x v="253"/>
    <x v="0"/>
    <n v="1.6"/>
    <x v="151"/>
    <n v="7.3"/>
    <x v="1"/>
    <x v="0"/>
    <x v="0"/>
    <x v="0"/>
    <n v="66.8"/>
    <x v="168"/>
    <x v="1"/>
  </r>
  <r>
    <x v="254"/>
    <x v="0"/>
    <n v="3"/>
    <x v="53"/>
    <n v="9"/>
    <x v="0"/>
    <x v="0"/>
    <x v="0"/>
    <x v="1"/>
    <n v="78.2"/>
    <x v="118"/>
    <x v="1"/>
  </r>
  <r>
    <x v="255"/>
    <x v="0"/>
    <n v="6"/>
    <x v="174"/>
    <n v="6.5"/>
    <x v="3"/>
    <x v="0"/>
    <x v="0"/>
    <x v="1"/>
    <n v="64.900000000000006"/>
    <x v="169"/>
    <x v="0"/>
  </r>
  <r>
    <x v="256"/>
    <x v="0"/>
    <n v="3.1"/>
    <x v="97"/>
    <n v="5.8"/>
    <x v="1"/>
    <x v="0"/>
    <x v="1"/>
    <x v="0"/>
    <n v="81.7"/>
    <x v="170"/>
    <x v="1"/>
  </r>
  <r>
    <x v="257"/>
    <x v="1"/>
    <n v="1.2"/>
    <x v="175"/>
    <n v="6"/>
    <x v="0"/>
    <x v="0"/>
    <x v="0"/>
    <x v="1"/>
    <n v="56.4"/>
    <x v="120"/>
    <x v="2"/>
  </r>
  <r>
    <x v="258"/>
    <x v="1"/>
    <n v="3.1"/>
    <x v="176"/>
    <n v="5.5"/>
    <x v="3"/>
    <x v="0"/>
    <x v="0"/>
    <x v="0"/>
    <n v="56.8"/>
    <x v="54"/>
    <x v="3"/>
  </r>
  <r>
    <x v="259"/>
    <x v="0"/>
    <n v="3.1"/>
    <x v="149"/>
    <n v="5.9"/>
    <x v="3"/>
    <x v="0"/>
    <x v="0"/>
    <x v="0"/>
    <n v="78.2"/>
    <x v="171"/>
    <x v="0"/>
  </r>
  <r>
    <x v="260"/>
    <x v="0"/>
    <n v="0.5"/>
    <x v="94"/>
    <n v="6.4"/>
    <x v="2"/>
    <x v="0"/>
    <x v="0"/>
    <x v="0"/>
    <n v="68.900000000000006"/>
    <x v="172"/>
    <x v="3"/>
  </r>
  <r>
    <x v="261"/>
    <x v="1"/>
    <n v="3.4"/>
    <x v="177"/>
    <n v="5.0999999999999996"/>
    <x v="1"/>
    <x v="0"/>
    <x v="0"/>
    <x v="0"/>
    <n v="64.599999999999994"/>
    <x v="173"/>
    <x v="3"/>
  </r>
  <r>
    <x v="262"/>
    <x v="0"/>
    <n v="3.2"/>
    <x v="15"/>
    <n v="6.8"/>
    <x v="1"/>
    <x v="1"/>
    <x v="1"/>
    <x v="0"/>
    <n v="80.7"/>
    <x v="150"/>
    <x v="1"/>
  </r>
  <r>
    <x v="263"/>
    <x v="0"/>
    <n v="4.5"/>
    <x v="1"/>
    <n v="7.9"/>
    <x v="4"/>
    <x v="0"/>
    <x v="0"/>
    <x v="0"/>
    <n v="62.7"/>
    <x v="174"/>
    <x v="0"/>
  </r>
  <r>
    <x v="264"/>
    <x v="0"/>
    <n v="6.3"/>
    <x v="101"/>
    <n v="5.7"/>
    <x v="0"/>
    <x v="0"/>
    <x v="1"/>
    <x v="0"/>
    <n v="67.599999999999994"/>
    <x v="175"/>
    <x v="0"/>
  </r>
  <r>
    <x v="265"/>
    <x v="1"/>
    <n v="5.2"/>
    <x v="178"/>
    <n v="8.6"/>
    <x v="0"/>
    <x v="0"/>
    <x v="1"/>
    <x v="0"/>
    <n v="86.8"/>
    <x v="0"/>
    <x v="0"/>
  </r>
  <r>
    <x v="266"/>
    <x v="1"/>
    <n v="3.1"/>
    <x v="179"/>
    <n v="7.4"/>
    <x v="3"/>
    <x v="0"/>
    <x v="0"/>
    <x v="1"/>
    <n v="88.5"/>
    <x v="4"/>
    <x v="1"/>
  </r>
  <r>
    <x v="267"/>
    <x v="1"/>
    <n v="1.8"/>
    <x v="180"/>
    <n v="8"/>
    <x v="3"/>
    <x v="0"/>
    <x v="0"/>
    <x v="0"/>
    <n v="88.9"/>
    <x v="176"/>
    <x v="1"/>
  </r>
  <r>
    <x v="268"/>
    <x v="0"/>
    <n v="7.4"/>
    <x v="181"/>
    <n v="6"/>
    <x v="2"/>
    <x v="0"/>
    <x v="1"/>
    <x v="0"/>
    <n v="66.599999999999994"/>
    <x v="0"/>
    <x v="0"/>
  </r>
  <r>
    <x v="269"/>
    <x v="0"/>
    <n v="3.6"/>
    <x v="182"/>
    <n v="7.8"/>
    <x v="2"/>
    <x v="0"/>
    <x v="1"/>
    <x v="0"/>
    <n v="84.8"/>
    <x v="109"/>
    <x v="1"/>
  </r>
  <r>
    <x v="270"/>
    <x v="1"/>
    <n v="3.5"/>
    <x v="183"/>
    <n v="5.5"/>
    <x v="3"/>
    <x v="0"/>
    <x v="0"/>
    <x v="0"/>
    <n v="58.6"/>
    <x v="126"/>
    <x v="3"/>
  </r>
  <r>
    <x v="271"/>
    <x v="1"/>
    <n v="3.5"/>
    <x v="184"/>
    <n v="7.9"/>
    <x v="1"/>
    <x v="1"/>
    <x v="0"/>
    <x v="0"/>
    <n v="59.1"/>
    <x v="177"/>
    <x v="3"/>
  </r>
  <r>
    <x v="272"/>
    <x v="1"/>
    <n v="3.8"/>
    <x v="155"/>
    <n v="7"/>
    <x v="4"/>
    <x v="0"/>
    <x v="0"/>
    <x v="1"/>
    <n v="41.8"/>
    <x v="178"/>
    <x v="2"/>
  </r>
  <r>
    <x v="273"/>
    <x v="1"/>
    <n v="3.3"/>
    <x v="185"/>
    <n v="7.5"/>
    <x v="1"/>
    <x v="0"/>
    <x v="1"/>
    <x v="0"/>
    <n v="90.1"/>
    <x v="179"/>
    <x v="0"/>
  </r>
  <r>
    <x v="274"/>
    <x v="0"/>
    <n v="2.6"/>
    <x v="184"/>
    <n v="5.4"/>
    <x v="1"/>
    <x v="1"/>
    <x v="0"/>
    <x v="0"/>
    <n v="59.6"/>
    <x v="180"/>
    <x v="3"/>
  </r>
  <r>
    <x v="275"/>
    <x v="1"/>
    <n v="2.7"/>
    <x v="73"/>
    <n v="5.7"/>
    <x v="4"/>
    <x v="0"/>
    <x v="0"/>
    <x v="0"/>
    <n v="68.5"/>
    <x v="181"/>
    <x v="3"/>
  </r>
  <r>
    <x v="276"/>
    <x v="0"/>
    <n v="3.5"/>
    <x v="186"/>
    <n v="7.5"/>
    <x v="1"/>
    <x v="0"/>
    <x v="1"/>
    <x v="0"/>
    <n v="59.1"/>
    <x v="182"/>
    <x v="3"/>
  </r>
  <r>
    <x v="277"/>
    <x v="1"/>
    <n v="2.7"/>
    <x v="68"/>
    <n v="5.7"/>
    <x v="1"/>
    <x v="0"/>
    <x v="1"/>
    <x v="1"/>
    <n v="78.3"/>
    <x v="168"/>
    <x v="1"/>
  </r>
  <r>
    <x v="278"/>
    <x v="0"/>
    <n v="2.4"/>
    <x v="0"/>
    <n v="7.4"/>
    <x v="1"/>
    <x v="0"/>
    <x v="0"/>
    <x v="0"/>
    <n v="65.5"/>
    <x v="183"/>
    <x v="0"/>
  </r>
  <r>
    <x v="279"/>
    <x v="1"/>
    <n v="3.7"/>
    <x v="131"/>
    <n v="5.2"/>
    <x v="4"/>
    <x v="1"/>
    <x v="0"/>
    <x v="1"/>
    <n v="54.3"/>
    <x v="184"/>
    <x v="4"/>
  </r>
  <r>
    <x v="280"/>
    <x v="1"/>
    <n v="3.1"/>
    <x v="118"/>
    <n v="7.8"/>
    <x v="0"/>
    <x v="1"/>
    <x v="1"/>
    <x v="0"/>
    <n v="75.3"/>
    <x v="32"/>
    <x v="1"/>
  </r>
  <r>
    <x v="281"/>
    <x v="1"/>
    <n v="5.8"/>
    <x v="187"/>
    <n v="5.3"/>
    <x v="3"/>
    <x v="0"/>
    <x v="0"/>
    <x v="0"/>
    <n v="52.8"/>
    <x v="74"/>
    <x v="1"/>
  </r>
  <r>
    <x v="282"/>
    <x v="1"/>
    <n v="0.5"/>
    <x v="188"/>
    <n v="7.5"/>
    <x v="1"/>
    <x v="0"/>
    <x v="0"/>
    <x v="1"/>
    <n v="60"/>
    <x v="185"/>
    <x v="2"/>
  </r>
  <r>
    <x v="283"/>
    <x v="0"/>
    <n v="5.0999999999999996"/>
    <x v="189"/>
    <n v="7.6"/>
    <x v="3"/>
    <x v="0"/>
    <x v="1"/>
    <x v="0"/>
    <n v="44.7"/>
    <x v="158"/>
    <x v="1"/>
  </r>
  <r>
    <x v="284"/>
    <x v="1"/>
    <n v="5.4"/>
    <x v="190"/>
    <n v="6"/>
    <x v="3"/>
    <x v="0"/>
    <x v="0"/>
    <x v="1"/>
    <n v="52.9"/>
    <x v="186"/>
    <x v="1"/>
  </r>
  <r>
    <x v="285"/>
    <x v="0"/>
    <n v="0.5"/>
    <x v="7"/>
    <n v="7.5"/>
    <x v="1"/>
    <x v="0"/>
    <x v="1"/>
    <x v="1"/>
    <n v="72.099999999999994"/>
    <x v="187"/>
    <x v="2"/>
  </r>
  <r>
    <x v="286"/>
    <x v="0"/>
    <n v="3"/>
    <x v="191"/>
    <n v="7.1"/>
    <x v="0"/>
    <x v="0"/>
    <x v="1"/>
    <x v="0"/>
    <n v="46.4"/>
    <x v="188"/>
    <x v="2"/>
  </r>
  <r>
    <x v="287"/>
    <x v="0"/>
    <n v="2.9"/>
    <x v="192"/>
    <n v="6.2"/>
    <x v="1"/>
    <x v="1"/>
    <x v="0"/>
    <x v="0"/>
    <n v="52.2"/>
    <x v="189"/>
    <x v="2"/>
  </r>
  <r>
    <x v="288"/>
    <x v="0"/>
    <n v="1.4"/>
    <x v="1"/>
    <n v="5.6"/>
    <x v="2"/>
    <x v="1"/>
    <x v="0"/>
    <x v="0"/>
    <n v="70"/>
    <x v="190"/>
    <x v="3"/>
  </r>
  <r>
    <x v="289"/>
    <x v="1"/>
    <n v="2.2999999999999998"/>
    <x v="20"/>
    <n v="4.4000000000000004"/>
    <x v="0"/>
    <x v="0"/>
    <x v="1"/>
    <x v="0"/>
    <n v="63.5"/>
    <x v="191"/>
    <x v="3"/>
  </r>
  <r>
    <x v="290"/>
    <x v="0"/>
    <n v="1.8"/>
    <x v="100"/>
    <n v="7.2"/>
    <x v="2"/>
    <x v="0"/>
    <x v="1"/>
    <x v="0"/>
    <n v="93.9"/>
    <x v="192"/>
    <x v="0"/>
  </r>
  <r>
    <x v="291"/>
    <x v="0"/>
    <n v="6.1"/>
    <x v="1"/>
    <n v="4.9000000000000004"/>
    <x v="1"/>
    <x v="0"/>
    <x v="1"/>
    <x v="0"/>
    <n v="92"/>
    <x v="0"/>
    <x v="0"/>
  </r>
  <r>
    <x v="292"/>
    <x v="0"/>
    <n v="4.9000000000000004"/>
    <x v="17"/>
    <n v="6.9"/>
    <x v="3"/>
    <x v="0"/>
    <x v="1"/>
    <x v="1"/>
    <n v="59.6"/>
    <x v="74"/>
    <x v="1"/>
  </r>
  <r>
    <x v="293"/>
    <x v="1"/>
    <n v="5.4"/>
    <x v="163"/>
    <n v="6.5"/>
    <x v="3"/>
    <x v="0"/>
    <x v="0"/>
    <x v="1"/>
    <n v="76.7"/>
    <x v="193"/>
    <x v="0"/>
  </r>
  <r>
    <x v="294"/>
    <x v="1"/>
    <n v="4.5999999999999996"/>
    <x v="48"/>
    <n v="7.6"/>
    <x v="3"/>
    <x v="0"/>
    <x v="1"/>
    <x v="0"/>
    <n v="79"/>
    <x v="0"/>
    <x v="0"/>
  </r>
  <r>
    <x v="295"/>
    <x v="1"/>
    <n v="1.8"/>
    <x v="131"/>
    <n v="6.4"/>
    <x v="2"/>
    <x v="0"/>
    <x v="0"/>
    <x v="0"/>
    <n v="62.8"/>
    <x v="4"/>
    <x v="1"/>
  </r>
  <r>
    <x v="296"/>
    <x v="1"/>
    <n v="2.7"/>
    <x v="193"/>
    <n v="6.4"/>
    <x v="0"/>
    <x v="0"/>
    <x v="0"/>
    <x v="0"/>
    <n v="52.1"/>
    <x v="194"/>
    <x v="3"/>
  </r>
  <r>
    <x v="297"/>
    <x v="0"/>
    <n v="4.2"/>
    <x v="108"/>
    <n v="7.7"/>
    <x v="1"/>
    <x v="0"/>
    <x v="0"/>
    <x v="0"/>
    <n v="69.900000000000006"/>
    <x v="195"/>
    <x v="1"/>
  </r>
  <r>
    <x v="298"/>
    <x v="0"/>
    <n v="1.7"/>
    <x v="194"/>
    <n v="7.2"/>
    <x v="3"/>
    <x v="1"/>
    <x v="0"/>
    <x v="0"/>
    <n v="67.900000000000006"/>
    <x v="115"/>
    <x v="2"/>
  </r>
  <r>
    <x v="299"/>
    <x v="1"/>
    <n v="4.5999999999999996"/>
    <x v="15"/>
    <n v="7.2"/>
    <x v="3"/>
    <x v="0"/>
    <x v="1"/>
    <x v="1"/>
    <n v="64.8"/>
    <x v="196"/>
    <x v="1"/>
  </r>
  <r>
    <x v="300"/>
    <x v="0"/>
    <n v="3.1"/>
    <x v="115"/>
    <n v="7.4"/>
    <x v="0"/>
    <x v="0"/>
    <x v="0"/>
    <x v="1"/>
    <n v="75.3"/>
    <x v="108"/>
    <x v="1"/>
  </r>
  <r>
    <x v="301"/>
    <x v="0"/>
    <n v="2.9"/>
    <x v="147"/>
    <n v="5"/>
    <x v="1"/>
    <x v="0"/>
    <x v="0"/>
    <x v="0"/>
    <n v="61"/>
    <x v="28"/>
    <x v="1"/>
  </r>
  <r>
    <x v="302"/>
    <x v="0"/>
    <n v="4.5999999999999996"/>
    <x v="42"/>
    <n v="7.7"/>
    <x v="0"/>
    <x v="0"/>
    <x v="0"/>
    <x v="0"/>
    <n v="56.2"/>
    <x v="166"/>
    <x v="0"/>
  </r>
  <r>
    <x v="303"/>
    <x v="1"/>
    <n v="4.2"/>
    <x v="195"/>
    <n v="7.5"/>
    <x v="1"/>
    <x v="1"/>
    <x v="1"/>
    <x v="0"/>
    <n v="71.3"/>
    <x v="4"/>
    <x v="1"/>
  </r>
  <r>
    <x v="304"/>
    <x v="1"/>
    <n v="3"/>
    <x v="51"/>
    <n v="5.6"/>
    <x v="0"/>
    <x v="0"/>
    <x v="1"/>
    <x v="1"/>
    <n v="74.599999999999994"/>
    <x v="31"/>
    <x v="1"/>
  </r>
  <r>
    <x v="305"/>
    <x v="0"/>
    <n v="5.2"/>
    <x v="110"/>
    <n v="6.5"/>
    <x v="0"/>
    <x v="0"/>
    <x v="0"/>
    <x v="0"/>
    <n v="55.9"/>
    <x v="197"/>
    <x v="1"/>
  </r>
  <r>
    <x v="306"/>
    <x v="1"/>
    <n v="1.9"/>
    <x v="196"/>
    <n v="6.8"/>
    <x v="3"/>
    <x v="0"/>
    <x v="0"/>
    <x v="1"/>
    <n v="81.099999999999994"/>
    <x v="85"/>
    <x v="1"/>
  </r>
  <r>
    <x v="307"/>
    <x v="1"/>
    <n v="4.4000000000000004"/>
    <x v="9"/>
    <n v="6.6"/>
    <x v="1"/>
    <x v="0"/>
    <x v="0"/>
    <x v="1"/>
    <n v="48.8"/>
    <x v="198"/>
    <x v="3"/>
  </r>
  <r>
    <x v="308"/>
    <x v="1"/>
    <n v="4.4000000000000004"/>
    <x v="197"/>
    <n v="7.2"/>
    <x v="0"/>
    <x v="0"/>
    <x v="1"/>
    <x v="0"/>
    <n v="63.1"/>
    <x v="102"/>
    <x v="1"/>
  </r>
  <r>
    <x v="309"/>
    <x v="1"/>
    <n v="3"/>
    <x v="1"/>
    <n v="8.5"/>
    <x v="1"/>
    <x v="0"/>
    <x v="1"/>
    <x v="1"/>
    <n v="66.900000000000006"/>
    <x v="186"/>
    <x v="1"/>
  </r>
  <r>
    <x v="310"/>
    <x v="1"/>
    <n v="4"/>
    <x v="118"/>
    <n v="8.1"/>
    <x v="1"/>
    <x v="0"/>
    <x v="0"/>
    <x v="0"/>
    <n v="62.4"/>
    <x v="11"/>
    <x v="1"/>
  </r>
  <r>
    <x v="311"/>
    <x v="0"/>
    <n v="1.6"/>
    <x v="5"/>
    <n v="5.2"/>
    <x v="3"/>
    <x v="0"/>
    <x v="1"/>
    <x v="1"/>
    <n v="63.2"/>
    <x v="199"/>
    <x v="2"/>
  </r>
  <r>
    <x v="312"/>
    <x v="1"/>
    <n v="4.9000000000000004"/>
    <x v="28"/>
    <n v="7.5"/>
    <x v="2"/>
    <x v="0"/>
    <x v="0"/>
    <x v="0"/>
    <n v="92.5"/>
    <x v="0"/>
    <x v="0"/>
  </r>
  <r>
    <x v="313"/>
    <x v="0"/>
    <n v="3.2"/>
    <x v="8"/>
    <n v="8.4"/>
    <x v="0"/>
    <x v="0"/>
    <x v="1"/>
    <x v="0"/>
    <n v="59.8"/>
    <x v="200"/>
    <x v="3"/>
  </r>
  <r>
    <x v="314"/>
    <x v="0"/>
    <n v="2.7"/>
    <x v="198"/>
    <n v="7.3"/>
    <x v="3"/>
    <x v="0"/>
    <x v="0"/>
    <x v="0"/>
    <n v="99.3"/>
    <x v="0"/>
    <x v="0"/>
  </r>
  <r>
    <x v="315"/>
    <x v="1"/>
    <n v="5.0999999999999996"/>
    <x v="43"/>
    <n v="8.1"/>
    <x v="4"/>
    <x v="0"/>
    <x v="0"/>
    <x v="0"/>
    <n v="75.2"/>
    <x v="0"/>
    <x v="0"/>
  </r>
  <r>
    <x v="316"/>
    <x v="0"/>
    <n v="2.4"/>
    <x v="98"/>
    <n v="9.1999999999999993"/>
    <x v="3"/>
    <x v="1"/>
    <x v="0"/>
    <x v="1"/>
    <n v="71.099999999999994"/>
    <x v="201"/>
    <x v="3"/>
  </r>
  <r>
    <x v="317"/>
    <x v="0"/>
    <n v="1.4"/>
    <x v="199"/>
    <n v="8"/>
    <x v="1"/>
    <x v="1"/>
    <x v="0"/>
    <x v="0"/>
    <n v="75.7"/>
    <x v="37"/>
    <x v="3"/>
  </r>
  <r>
    <x v="318"/>
    <x v="0"/>
    <n v="1.2"/>
    <x v="200"/>
    <n v="7.1"/>
    <x v="2"/>
    <x v="0"/>
    <x v="1"/>
    <x v="0"/>
    <n v="100"/>
    <x v="26"/>
    <x v="1"/>
  </r>
  <r>
    <x v="319"/>
    <x v="1"/>
    <n v="4.4000000000000004"/>
    <x v="190"/>
    <n v="8.1"/>
    <x v="0"/>
    <x v="0"/>
    <x v="0"/>
    <x v="1"/>
    <n v="58.1"/>
    <x v="197"/>
    <x v="1"/>
  </r>
  <r>
    <x v="320"/>
    <x v="1"/>
    <n v="1.6"/>
    <x v="60"/>
    <n v="7"/>
    <x v="1"/>
    <x v="0"/>
    <x v="1"/>
    <x v="0"/>
    <n v="56.6"/>
    <x v="46"/>
    <x v="1"/>
  </r>
  <r>
    <x v="321"/>
    <x v="0"/>
    <n v="6.1"/>
    <x v="1"/>
    <n v="6.8"/>
    <x v="1"/>
    <x v="0"/>
    <x v="1"/>
    <x v="1"/>
    <n v="60.9"/>
    <x v="202"/>
    <x v="0"/>
  </r>
  <r>
    <x v="322"/>
    <x v="1"/>
    <n v="0.5"/>
    <x v="69"/>
    <n v="6.4"/>
    <x v="0"/>
    <x v="0"/>
    <x v="0"/>
    <x v="0"/>
    <n v="70.400000000000006"/>
    <x v="19"/>
    <x v="3"/>
  </r>
  <r>
    <x v="323"/>
    <x v="1"/>
    <n v="6"/>
    <x v="10"/>
    <n v="8.6999999999999993"/>
    <x v="1"/>
    <x v="0"/>
    <x v="0"/>
    <x v="0"/>
    <n v="49.3"/>
    <x v="203"/>
    <x v="0"/>
  </r>
  <r>
    <x v="324"/>
    <x v="1"/>
    <n v="3.8"/>
    <x v="199"/>
    <n v="5.8"/>
    <x v="1"/>
    <x v="0"/>
    <x v="0"/>
    <x v="1"/>
    <n v="70.3"/>
    <x v="55"/>
    <x v="1"/>
  </r>
  <r>
    <x v="325"/>
    <x v="1"/>
    <n v="3.4"/>
    <x v="73"/>
    <n v="8.6"/>
    <x v="1"/>
    <x v="0"/>
    <x v="1"/>
    <x v="0"/>
    <n v="90.3"/>
    <x v="204"/>
    <x v="1"/>
  </r>
  <r>
    <x v="326"/>
    <x v="0"/>
    <n v="2.7"/>
    <x v="201"/>
    <n v="7.4"/>
    <x v="3"/>
    <x v="1"/>
    <x v="0"/>
    <x v="0"/>
    <n v="71.8"/>
    <x v="120"/>
    <x v="2"/>
  </r>
  <r>
    <x v="327"/>
    <x v="0"/>
    <n v="4.0999999999999996"/>
    <x v="170"/>
    <n v="5.0999999999999996"/>
    <x v="4"/>
    <x v="0"/>
    <x v="0"/>
    <x v="0"/>
    <n v="66.5"/>
    <x v="11"/>
    <x v="1"/>
  </r>
  <r>
    <x v="328"/>
    <x v="1"/>
    <n v="3.4"/>
    <x v="202"/>
    <n v="7.2"/>
    <x v="1"/>
    <x v="0"/>
    <x v="0"/>
    <x v="0"/>
    <n v="62.6"/>
    <x v="120"/>
    <x v="2"/>
  </r>
  <r>
    <x v="329"/>
    <x v="1"/>
    <n v="5.2"/>
    <x v="203"/>
    <n v="4.3"/>
    <x v="4"/>
    <x v="0"/>
    <x v="1"/>
    <x v="0"/>
    <n v="80.8"/>
    <x v="205"/>
    <x v="0"/>
  </r>
  <r>
    <x v="330"/>
    <x v="0"/>
    <n v="3.7"/>
    <x v="178"/>
    <n v="7.6"/>
    <x v="4"/>
    <x v="0"/>
    <x v="0"/>
    <x v="0"/>
    <n v="60.1"/>
    <x v="206"/>
    <x v="0"/>
  </r>
  <r>
    <x v="331"/>
    <x v="0"/>
    <n v="3.7"/>
    <x v="179"/>
    <n v="7.9"/>
    <x v="3"/>
    <x v="1"/>
    <x v="0"/>
    <x v="0"/>
    <n v="92.2"/>
    <x v="12"/>
    <x v="0"/>
  </r>
  <r>
    <x v="332"/>
    <x v="1"/>
    <n v="3"/>
    <x v="204"/>
    <n v="6.1"/>
    <x v="1"/>
    <x v="0"/>
    <x v="0"/>
    <x v="1"/>
    <n v="93.2"/>
    <x v="207"/>
    <x v="1"/>
  </r>
  <r>
    <x v="333"/>
    <x v="0"/>
    <n v="3.4"/>
    <x v="76"/>
    <n v="6.9"/>
    <x v="3"/>
    <x v="0"/>
    <x v="0"/>
    <x v="0"/>
    <n v="73.099999999999994"/>
    <x v="150"/>
    <x v="1"/>
  </r>
  <r>
    <x v="334"/>
    <x v="1"/>
    <n v="4"/>
    <x v="28"/>
    <n v="9.1"/>
    <x v="2"/>
    <x v="0"/>
    <x v="1"/>
    <x v="0"/>
    <n v="69.900000000000006"/>
    <x v="124"/>
    <x v="1"/>
  </r>
  <r>
    <x v="335"/>
    <x v="1"/>
    <n v="0.9"/>
    <x v="195"/>
    <n v="6.2"/>
    <x v="3"/>
    <x v="0"/>
    <x v="0"/>
    <x v="0"/>
    <n v="82.4"/>
    <x v="21"/>
    <x v="3"/>
  </r>
  <r>
    <x v="336"/>
    <x v="0"/>
    <n v="1.5"/>
    <x v="134"/>
    <n v="5.5"/>
    <x v="1"/>
    <x v="0"/>
    <x v="1"/>
    <x v="0"/>
    <n v="83.1"/>
    <x v="104"/>
    <x v="1"/>
  </r>
  <r>
    <x v="337"/>
    <x v="0"/>
    <n v="4.5999999999999996"/>
    <x v="156"/>
    <n v="8.6"/>
    <x v="0"/>
    <x v="0"/>
    <x v="1"/>
    <x v="0"/>
    <n v="60.3"/>
    <x v="192"/>
    <x v="0"/>
  </r>
  <r>
    <x v="338"/>
    <x v="1"/>
    <n v="3.8"/>
    <x v="205"/>
    <n v="9.1999999999999993"/>
    <x v="0"/>
    <x v="0"/>
    <x v="1"/>
    <x v="0"/>
    <n v="63.7"/>
    <x v="208"/>
    <x v="3"/>
  </r>
  <r>
    <x v="339"/>
    <x v="1"/>
    <n v="3.2"/>
    <x v="104"/>
    <n v="6.8"/>
    <x v="0"/>
    <x v="0"/>
    <x v="1"/>
    <x v="0"/>
    <n v="54.1"/>
    <x v="57"/>
    <x v="1"/>
  </r>
  <r>
    <x v="340"/>
    <x v="0"/>
    <n v="3.5"/>
    <x v="202"/>
    <n v="8"/>
    <x v="1"/>
    <x v="0"/>
    <x v="0"/>
    <x v="0"/>
    <n v="74.900000000000006"/>
    <x v="209"/>
    <x v="0"/>
  </r>
  <r>
    <x v="341"/>
    <x v="1"/>
    <n v="4"/>
    <x v="206"/>
    <n v="8.4"/>
    <x v="1"/>
    <x v="0"/>
    <x v="0"/>
    <x v="0"/>
    <n v="78"/>
    <x v="0"/>
    <x v="0"/>
  </r>
  <r>
    <x v="342"/>
    <x v="0"/>
    <n v="2.7"/>
    <x v="126"/>
    <n v="5.9"/>
    <x v="3"/>
    <x v="0"/>
    <x v="1"/>
    <x v="0"/>
    <n v="53.8"/>
    <x v="210"/>
    <x v="0"/>
  </r>
  <r>
    <x v="343"/>
    <x v="1"/>
    <n v="2.2999999999999998"/>
    <x v="1"/>
    <n v="6.2"/>
    <x v="4"/>
    <x v="0"/>
    <x v="0"/>
    <x v="0"/>
    <n v="64.5"/>
    <x v="211"/>
    <x v="3"/>
  </r>
  <r>
    <x v="344"/>
    <x v="0"/>
    <n v="3.8"/>
    <x v="35"/>
    <n v="8.3000000000000007"/>
    <x v="1"/>
    <x v="0"/>
    <x v="1"/>
    <x v="0"/>
    <n v="53.8"/>
    <x v="175"/>
    <x v="0"/>
  </r>
  <r>
    <x v="345"/>
    <x v="0"/>
    <n v="2"/>
    <x v="180"/>
    <n v="8.8000000000000007"/>
    <x v="2"/>
    <x v="0"/>
    <x v="0"/>
    <x v="1"/>
    <n v="59.2"/>
    <x v="212"/>
    <x v="3"/>
  </r>
  <r>
    <x v="346"/>
    <x v="0"/>
    <n v="4.0999999999999996"/>
    <x v="131"/>
    <n v="7.5"/>
    <x v="1"/>
    <x v="0"/>
    <x v="1"/>
    <x v="0"/>
    <n v="76.599999999999994"/>
    <x v="85"/>
    <x v="1"/>
  </r>
  <r>
    <x v="347"/>
    <x v="1"/>
    <n v="0.9"/>
    <x v="182"/>
    <n v="5.7"/>
    <x v="3"/>
    <x v="0"/>
    <x v="1"/>
    <x v="0"/>
    <n v="61.2"/>
    <x v="213"/>
    <x v="2"/>
  </r>
  <r>
    <x v="348"/>
    <x v="1"/>
    <n v="5"/>
    <x v="207"/>
    <n v="9.1999999999999993"/>
    <x v="3"/>
    <x v="0"/>
    <x v="0"/>
    <x v="1"/>
    <n v="66.400000000000006"/>
    <x v="123"/>
    <x v="0"/>
  </r>
  <r>
    <x v="349"/>
    <x v="0"/>
    <n v="4.2"/>
    <x v="143"/>
    <n v="6.2"/>
    <x v="3"/>
    <x v="0"/>
    <x v="0"/>
    <x v="1"/>
    <n v="50.5"/>
    <x v="88"/>
    <x v="3"/>
  </r>
  <r>
    <x v="350"/>
    <x v="1"/>
    <n v="3.9"/>
    <x v="13"/>
    <n v="6.4"/>
    <x v="2"/>
    <x v="0"/>
    <x v="1"/>
    <x v="0"/>
    <n v="72.2"/>
    <x v="35"/>
    <x v="3"/>
  </r>
  <r>
    <x v="351"/>
    <x v="0"/>
    <n v="5"/>
    <x v="151"/>
    <n v="7.2"/>
    <x v="1"/>
    <x v="0"/>
    <x v="1"/>
    <x v="0"/>
    <n v="69.5"/>
    <x v="214"/>
    <x v="1"/>
  </r>
  <r>
    <x v="352"/>
    <x v="0"/>
    <n v="6"/>
    <x v="208"/>
    <n v="8.6999999999999993"/>
    <x v="4"/>
    <x v="0"/>
    <x v="0"/>
    <x v="0"/>
    <n v="61.3"/>
    <x v="0"/>
    <x v="0"/>
  </r>
  <r>
    <x v="353"/>
    <x v="1"/>
    <n v="5"/>
    <x v="1"/>
    <n v="7.8"/>
    <x v="1"/>
    <x v="0"/>
    <x v="1"/>
    <x v="1"/>
    <n v="67.7"/>
    <x v="215"/>
    <x v="0"/>
  </r>
  <r>
    <x v="354"/>
    <x v="1"/>
    <n v="0.7"/>
    <x v="122"/>
    <n v="7.3"/>
    <x v="3"/>
    <x v="0"/>
    <x v="0"/>
    <x v="1"/>
    <n v="72.2"/>
    <x v="216"/>
    <x v="3"/>
  </r>
  <r>
    <x v="355"/>
    <x v="0"/>
    <n v="1.6"/>
    <x v="41"/>
    <n v="7.4"/>
    <x v="3"/>
    <x v="0"/>
    <x v="0"/>
    <x v="0"/>
    <n v="60.2"/>
    <x v="163"/>
    <x v="3"/>
  </r>
  <r>
    <x v="356"/>
    <x v="1"/>
    <n v="2.6"/>
    <x v="135"/>
    <n v="6.9"/>
    <x v="3"/>
    <x v="0"/>
    <x v="1"/>
    <x v="0"/>
    <n v="52.3"/>
    <x v="108"/>
    <x v="1"/>
  </r>
  <r>
    <x v="357"/>
    <x v="1"/>
    <n v="3.5"/>
    <x v="144"/>
    <n v="7.5"/>
    <x v="1"/>
    <x v="0"/>
    <x v="1"/>
    <x v="1"/>
    <n v="91.7"/>
    <x v="46"/>
    <x v="1"/>
  </r>
  <r>
    <x v="358"/>
    <x v="0"/>
    <n v="4.3"/>
    <x v="209"/>
    <n v="3.8"/>
    <x v="4"/>
    <x v="0"/>
    <x v="1"/>
    <x v="0"/>
    <n v="62.4"/>
    <x v="217"/>
    <x v="1"/>
  </r>
  <r>
    <x v="359"/>
    <x v="0"/>
    <n v="2.4"/>
    <x v="54"/>
    <n v="6.4"/>
    <x v="1"/>
    <x v="0"/>
    <x v="1"/>
    <x v="0"/>
    <n v="68.8"/>
    <x v="218"/>
    <x v="3"/>
  </r>
  <r>
    <x v="360"/>
    <x v="1"/>
    <n v="3.8"/>
    <x v="210"/>
    <n v="7.1"/>
    <x v="1"/>
    <x v="0"/>
    <x v="0"/>
    <x v="1"/>
    <n v="82.1"/>
    <x v="215"/>
    <x v="0"/>
  </r>
  <r>
    <x v="361"/>
    <x v="0"/>
    <n v="2.4"/>
    <x v="211"/>
    <n v="5.4"/>
    <x v="3"/>
    <x v="0"/>
    <x v="1"/>
    <x v="1"/>
    <n v="100"/>
    <x v="219"/>
    <x v="0"/>
  </r>
  <r>
    <x v="362"/>
    <x v="0"/>
    <n v="2.6"/>
    <x v="179"/>
    <n v="7.3"/>
    <x v="0"/>
    <x v="0"/>
    <x v="0"/>
    <x v="1"/>
    <n v="55.1"/>
    <x v="220"/>
    <x v="2"/>
  </r>
  <r>
    <x v="363"/>
    <x v="1"/>
    <n v="1.4"/>
    <x v="17"/>
    <n v="6.6"/>
    <x v="3"/>
    <x v="0"/>
    <x v="0"/>
    <x v="0"/>
    <n v="75.400000000000006"/>
    <x v="221"/>
    <x v="3"/>
  </r>
  <r>
    <x v="364"/>
    <x v="0"/>
    <n v="2.1"/>
    <x v="212"/>
    <n v="8.9"/>
    <x v="0"/>
    <x v="0"/>
    <x v="0"/>
    <x v="0"/>
    <n v="61.5"/>
    <x v="222"/>
    <x v="4"/>
  </r>
  <r>
    <x v="365"/>
    <x v="0"/>
    <n v="1.5"/>
    <x v="213"/>
    <n v="8.6999999999999993"/>
    <x v="1"/>
    <x v="0"/>
    <x v="0"/>
    <x v="0"/>
    <n v="63.5"/>
    <x v="223"/>
    <x v="3"/>
  </r>
  <r>
    <x v="366"/>
    <x v="1"/>
    <n v="2"/>
    <x v="49"/>
    <n v="6.2"/>
    <x v="3"/>
    <x v="0"/>
    <x v="0"/>
    <x v="0"/>
    <n v="61.4"/>
    <x v="224"/>
    <x v="1"/>
  </r>
  <r>
    <x v="367"/>
    <x v="1"/>
    <n v="5.0999999999999996"/>
    <x v="214"/>
    <n v="6.6"/>
    <x v="0"/>
    <x v="1"/>
    <x v="0"/>
    <x v="0"/>
    <n v="56.5"/>
    <x v="126"/>
    <x v="3"/>
  </r>
  <r>
    <x v="368"/>
    <x v="0"/>
    <n v="2.1"/>
    <x v="28"/>
    <n v="6.7"/>
    <x v="1"/>
    <x v="1"/>
    <x v="0"/>
    <x v="0"/>
    <n v="69.5"/>
    <x v="56"/>
    <x v="2"/>
  </r>
  <r>
    <x v="369"/>
    <x v="0"/>
    <n v="7.4"/>
    <x v="158"/>
    <n v="6.3"/>
    <x v="3"/>
    <x v="0"/>
    <x v="0"/>
    <x v="0"/>
    <n v="52.3"/>
    <x v="25"/>
    <x v="0"/>
  </r>
  <r>
    <x v="370"/>
    <x v="1"/>
    <n v="4.2"/>
    <x v="61"/>
    <n v="7"/>
    <x v="0"/>
    <x v="0"/>
    <x v="1"/>
    <x v="1"/>
    <n v="81.400000000000006"/>
    <x v="109"/>
    <x v="1"/>
  </r>
  <r>
    <x v="371"/>
    <x v="1"/>
    <n v="3.8"/>
    <x v="208"/>
    <n v="5.9"/>
    <x v="0"/>
    <x v="0"/>
    <x v="0"/>
    <x v="0"/>
    <n v="70.7"/>
    <x v="207"/>
    <x v="1"/>
  </r>
  <r>
    <x v="372"/>
    <x v="1"/>
    <n v="2.2000000000000002"/>
    <x v="1"/>
    <n v="5.4"/>
    <x v="0"/>
    <x v="0"/>
    <x v="0"/>
    <x v="0"/>
    <n v="75.099999999999994"/>
    <x v="53"/>
    <x v="1"/>
  </r>
  <r>
    <x v="373"/>
    <x v="1"/>
    <n v="4.5999999999999996"/>
    <x v="215"/>
    <n v="7.5"/>
    <x v="3"/>
    <x v="0"/>
    <x v="1"/>
    <x v="0"/>
    <n v="64.400000000000006"/>
    <x v="137"/>
    <x v="1"/>
  </r>
  <r>
    <x v="374"/>
    <x v="0"/>
    <n v="2.6"/>
    <x v="1"/>
    <n v="7.6"/>
    <x v="3"/>
    <x v="0"/>
    <x v="1"/>
    <x v="0"/>
    <n v="65.599999999999994"/>
    <x v="225"/>
    <x v="0"/>
  </r>
  <r>
    <x v="375"/>
    <x v="1"/>
    <n v="3.7"/>
    <x v="134"/>
    <n v="5.8"/>
    <x v="3"/>
    <x v="0"/>
    <x v="1"/>
    <x v="1"/>
    <n v="73.5"/>
    <x v="226"/>
    <x v="1"/>
  </r>
  <r>
    <x v="376"/>
    <x v="1"/>
    <n v="7.3"/>
    <x v="216"/>
    <n v="7.9"/>
    <x v="1"/>
    <x v="0"/>
    <x v="0"/>
    <x v="0"/>
    <n v="56"/>
    <x v="71"/>
    <x v="0"/>
  </r>
  <r>
    <x v="377"/>
    <x v="0"/>
    <n v="3.4"/>
    <x v="217"/>
    <n v="6"/>
    <x v="3"/>
    <x v="0"/>
    <x v="1"/>
    <x v="0"/>
    <n v="65.7"/>
    <x v="8"/>
    <x v="3"/>
  </r>
  <r>
    <x v="378"/>
    <x v="1"/>
    <n v="5.2"/>
    <x v="21"/>
    <n v="7.1"/>
    <x v="3"/>
    <x v="0"/>
    <x v="0"/>
    <x v="0"/>
    <n v="59.7"/>
    <x v="12"/>
    <x v="0"/>
  </r>
  <r>
    <x v="379"/>
    <x v="0"/>
    <n v="2.4"/>
    <x v="31"/>
    <n v="7.8"/>
    <x v="3"/>
    <x v="0"/>
    <x v="0"/>
    <x v="0"/>
    <n v="59.3"/>
    <x v="200"/>
    <x v="3"/>
  </r>
  <r>
    <x v="380"/>
    <x v="1"/>
    <n v="3.4"/>
    <x v="1"/>
    <n v="6.8"/>
    <x v="0"/>
    <x v="1"/>
    <x v="0"/>
    <x v="0"/>
    <n v="44.7"/>
    <x v="59"/>
    <x v="3"/>
  </r>
  <r>
    <x v="381"/>
    <x v="1"/>
    <n v="6.2"/>
    <x v="157"/>
    <n v="7.3"/>
    <x v="4"/>
    <x v="0"/>
    <x v="1"/>
    <x v="0"/>
    <n v="86.1"/>
    <x v="0"/>
    <x v="0"/>
  </r>
  <r>
    <x v="382"/>
    <x v="1"/>
    <n v="2.6"/>
    <x v="161"/>
    <n v="6.2"/>
    <x v="3"/>
    <x v="0"/>
    <x v="0"/>
    <x v="0"/>
    <n v="61.8"/>
    <x v="227"/>
    <x v="3"/>
  </r>
  <r>
    <x v="383"/>
    <x v="0"/>
    <n v="6.2"/>
    <x v="189"/>
    <n v="6.6"/>
    <x v="1"/>
    <x v="0"/>
    <x v="0"/>
    <x v="0"/>
    <n v="84"/>
    <x v="0"/>
    <x v="0"/>
  </r>
  <r>
    <x v="384"/>
    <x v="0"/>
    <n v="4.5999999999999996"/>
    <x v="218"/>
    <n v="6.6"/>
    <x v="0"/>
    <x v="1"/>
    <x v="0"/>
    <x v="0"/>
    <n v="82.8"/>
    <x v="42"/>
    <x v="1"/>
  </r>
  <r>
    <x v="385"/>
    <x v="1"/>
    <n v="2.7"/>
    <x v="1"/>
    <n v="5.9"/>
    <x v="4"/>
    <x v="0"/>
    <x v="1"/>
    <x v="0"/>
    <n v="54.6"/>
    <x v="228"/>
    <x v="3"/>
  </r>
  <r>
    <x v="386"/>
    <x v="0"/>
    <n v="4.4000000000000004"/>
    <x v="219"/>
    <n v="6.6"/>
    <x v="1"/>
    <x v="0"/>
    <x v="1"/>
    <x v="0"/>
    <n v="56.9"/>
    <x v="200"/>
    <x v="3"/>
  </r>
  <r>
    <x v="387"/>
    <x v="0"/>
    <n v="5"/>
    <x v="179"/>
    <n v="4.9000000000000004"/>
    <x v="2"/>
    <x v="0"/>
    <x v="0"/>
    <x v="0"/>
    <n v="100"/>
    <x v="0"/>
    <x v="0"/>
  </r>
  <r>
    <x v="388"/>
    <x v="0"/>
    <n v="4.4000000000000004"/>
    <x v="220"/>
    <n v="6.2"/>
    <x v="3"/>
    <x v="0"/>
    <x v="1"/>
    <x v="1"/>
    <n v="91"/>
    <x v="170"/>
    <x v="1"/>
  </r>
  <r>
    <x v="389"/>
    <x v="0"/>
    <n v="1.1000000000000001"/>
    <x v="221"/>
    <n v="6.5"/>
    <x v="0"/>
    <x v="0"/>
    <x v="0"/>
    <x v="1"/>
    <n v="69.599999999999994"/>
    <x v="187"/>
    <x v="2"/>
  </r>
  <r>
    <x v="390"/>
    <x v="0"/>
    <n v="2.4"/>
    <x v="68"/>
    <n v="6.5"/>
    <x v="1"/>
    <x v="0"/>
    <x v="1"/>
    <x v="0"/>
    <n v="73.099999999999994"/>
    <x v="76"/>
    <x v="1"/>
  </r>
  <r>
    <x v="391"/>
    <x v="0"/>
    <n v="3.1"/>
    <x v="142"/>
    <n v="6.5"/>
    <x v="1"/>
    <x v="0"/>
    <x v="0"/>
    <x v="0"/>
    <n v="62.4"/>
    <x v="145"/>
    <x v="1"/>
  </r>
  <r>
    <x v="392"/>
    <x v="1"/>
    <n v="3.4"/>
    <x v="163"/>
    <n v="6.7"/>
    <x v="2"/>
    <x v="1"/>
    <x v="1"/>
    <x v="0"/>
    <n v="75.2"/>
    <x v="229"/>
    <x v="3"/>
  </r>
  <r>
    <x v="393"/>
    <x v="1"/>
    <n v="4.4000000000000004"/>
    <x v="222"/>
    <n v="7.4"/>
    <x v="1"/>
    <x v="0"/>
    <x v="0"/>
    <x v="0"/>
    <n v="61.4"/>
    <x v="230"/>
    <x v="0"/>
  </r>
  <r>
    <x v="394"/>
    <x v="0"/>
    <n v="3.8"/>
    <x v="223"/>
    <n v="7.8"/>
    <x v="3"/>
    <x v="0"/>
    <x v="1"/>
    <x v="1"/>
    <n v="45.6"/>
    <x v="231"/>
    <x v="2"/>
  </r>
  <r>
    <x v="395"/>
    <x v="1"/>
    <n v="1.5"/>
    <x v="97"/>
    <n v="6"/>
    <x v="0"/>
    <x v="0"/>
    <x v="0"/>
    <x v="0"/>
    <n v="54.1"/>
    <x v="91"/>
    <x v="3"/>
  </r>
  <r>
    <x v="396"/>
    <x v="1"/>
    <n v="4.0999999999999996"/>
    <x v="224"/>
    <n v="5.4"/>
    <x v="1"/>
    <x v="0"/>
    <x v="0"/>
    <x v="0"/>
    <n v="70.3"/>
    <x v="208"/>
    <x v="3"/>
  </r>
  <r>
    <x v="397"/>
    <x v="1"/>
    <n v="4.4000000000000004"/>
    <x v="225"/>
    <n v="5.5"/>
    <x v="1"/>
    <x v="1"/>
    <x v="0"/>
    <x v="0"/>
    <n v="56.4"/>
    <x v="150"/>
    <x v="1"/>
  </r>
  <r>
    <x v="398"/>
    <x v="1"/>
    <n v="4.3"/>
    <x v="216"/>
    <n v="6.2"/>
    <x v="0"/>
    <x v="0"/>
    <x v="0"/>
    <x v="0"/>
    <n v="69.2"/>
    <x v="232"/>
    <x v="0"/>
  </r>
  <r>
    <x v="399"/>
    <x v="0"/>
    <n v="5.0999999999999996"/>
    <x v="226"/>
    <n v="6.4"/>
    <x v="2"/>
    <x v="0"/>
    <x v="0"/>
    <x v="0"/>
    <n v="57.1"/>
    <x v="135"/>
    <x v="3"/>
  </r>
  <r>
    <x v="400"/>
    <x v="1"/>
    <n v="4.8"/>
    <x v="227"/>
    <n v="5.9"/>
    <x v="0"/>
    <x v="0"/>
    <x v="1"/>
    <x v="1"/>
    <n v="60.6"/>
    <x v="102"/>
    <x v="1"/>
  </r>
  <r>
    <x v="401"/>
    <x v="1"/>
    <n v="4.2"/>
    <x v="3"/>
    <n v="5.2"/>
    <x v="0"/>
    <x v="0"/>
    <x v="0"/>
    <x v="0"/>
    <n v="80.2"/>
    <x v="233"/>
    <x v="0"/>
  </r>
  <r>
    <x v="402"/>
    <x v="0"/>
    <n v="3.4"/>
    <x v="108"/>
    <n v="6.3"/>
    <x v="1"/>
    <x v="0"/>
    <x v="1"/>
    <x v="1"/>
    <n v="73"/>
    <x v="217"/>
    <x v="1"/>
  </r>
  <r>
    <x v="403"/>
    <x v="0"/>
    <n v="1"/>
    <x v="228"/>
    <n v="7"/>
    <x v="0"/>
    <x v="0"/>
    <x v="1"/>
    <x v="0"/>
    <n v="69.900000000000006"/>
    <x v="214"/>
    <x v="1"/>
  </r>
  <r>
    <x v="404"/>
    <x v="1"/>
    <n v="4.0999999999999996"/>
    <x v="229"/>
    <n v="7.5"/>
    <x v="0"/>
    <x v="0"/>
    <x v="1"/>
    <x v="0"/>
    <n v="80.5"/>
    <x v="116"/>
    <x v="1"/>
  </r>
  <r>
    <x v="405"/>
    <x v="1"/>
    <n v="3.8"/>
    <x v="161"/>
    <n v="6.1"/>
    <x v="4"/>
    <x v="0"/>
    <x v="1"/>
    <x v="0"/>
    <n v="75.8"/>
    <x v="234"/>
    <x v="0"/>
  </r>
  <r>
    <x v="406"/>
    <x v="1"/>
    <n v="3.9"/>
    <x v="230"/>
    <n v="6.3"/>
    <x v="0"/>
    <x v="0"/>
    <x v="1"/>
    <x v="0"/>
    <n v="87.4"/>
    <x v="73"/>
    <x v="3"/>
  </r>
  <r>
    <x v="407"/>
    <x v="1"/>
    <n v="1.6"/>
    <x v="60"/>
    <n v="5.7"/>
    <x v="0"/>
    <x v="0"/>
    <x v="0"/>
    <x v="0"/>
    <n v="64.5"/>
    <x v="232"/>
    <x v="0"/>
  </r>
  <r>
    <x v="408"/>
    <x v="1"/>
    <n v="1.9"/>
    <x v="231"/>
    <n v="6.8"/>
    <x v="1"/>
    <x v="1"/>
    <x v="1"/>
    <x v="0"/>
    <n v="64.8"/>
    <x v="235"/>
    <x v="1"/>
  </r>
  <r>
    <x v="409"/>
    <x v="1"/>
    <n v="5.0999999999999996"/>
    <x v="3"/>
    <n v="5.8"/>
    <x v="2"/>
    <x v="0"/>
    <x v="0"/>
    <x v="1"/>
    <n v="54.4"/>
    <x v="127"/>
    <x v="3"/>
  </r>
  <r>
    <x v="410"/>
    <x v="0"/>
    <n v="3.4"/>
    <x v="20"/>
    <n v="7.5"/>
    <x v="1"/>
    <x v="0"/>
    <x v="1"/>
    <x v="0"/>
    <n v="64.900000000000006"/>
    <x v="236"/>
    <x v="3"/>
  </r>
  <r>
    <x v="411"/>
    <x v="1"/>
    <n v="4.5"/>
    <x v="128"/>
    <n v="4.7"/>
    <x v="1"/>
    <x v="0"/>
    <x v="1"/>
    <x v="0"/>
    <n v="81.599999999999994"/>
    <x v="123"/>
    <x v="0"/>
  </r>
  <r>
    <x v="412"/>
    <x v="1"/>
    <n v="3.5"/>
    <x v="168"/>
    <n v="6.4"/>
    <x v="3"/>
    <x v="0"/>
    <x v="0"/>
    <x v="0"/>
    <n v="85.6"/>
    <x v="214"/>
    <x v="1"/>
  </r>
  <r>
    <x v="413"/>
    <x v="0"/>
    <n v="3.5"/>
    <x v="53"/>
    <n v="7.2"/>
    <x v="0"/>
    <x v="0"/>
    <x v="0"/>
    <x v="0"/>
    <n v="81.5"/>
    <x v="237"/>
    <x v="0"/>
  </r>
  <r>
    <x v="414"/>
    <x v="0"/>
    <n v="4.9000000000000004"/>
    <x v="1"/>
    <n v="7"/>
    <x v="0"/>
    <x v="1"/>
    <x v="0"/>
    <x v="1"/>
    <n v="48.5"/>
    <x v="186"/>
    <x v="1"/>
  </r>
  <r>
    <x v="415"/>
    <x v="0"/>
    <n v="2.7"/>
    <x v="232"/>
    <n v="10"/>
    <x v="0"/>
    <x v="0"/>
    <x v="1"/>
    <x v="1"/>
    <n v="83"/>
    <x v="150"/>
    <x v="1"/>
  </r>
  <r>
    <x v="416"/>
    <x v="0"/>
    <n v="3.6"/>
    <x v="233"/>
    <n v="7.2"/>
    <x v="3"/>
    <x v="1"/>
    <x v="1"/>
    <x v="0"/>
    <n v="47.9"/>
    <x v="23"/>
    <x v="3"/>
  </r>
  <r>
    <x v="417"/>
    <x v="1"/>
    <n v="2.8"/>
    <x v="234"/>
    <n v="5.6"/>
    <x v="1"/>
    <x v="0"/>
    <x v="0"/>
    <x v="0"/>
    <n v="80.8"/>
    <x v="226"/>
    <x v="1"/>
  </r>
  <r>
    <x v="418"/>
    <x v="1"/>
    <n v="2.8"/>
    <x v="235"/>
    <n v="6.7"/>
    <x v="3"/>
    <x v="0"/>
    <x v="1"/>
    <x v="0"/>
    <n v="65.599999999999994"/>
    <x v="37"/>
    <x v="3"/>
  </r>
  <r>
    <x v="419"/>
    <x v="1"/>
    <n v="3"/>
    <x v="236"/>
    <n v="4.7"/>
    <x v="0"/>
    <x v="1"/>
    <x v="1"/>
    <x v="0"/>
    <n v="78.400000000000006"/>
    <x v="198"/>
    <x v="3"/>
  </r>
  <r>
    <x v="420"/>
    <x v="1"/>
    <n v="3.8"/>
    <x v="27"/>
    <n v="6.7"/>
    <x v="0"/>
    <x v="0"/>
    <x v="0"/>
    <x v="1"/>
    <n v="54"/>
    <x v="185"/>
    <x v="2"/>
  </r>
  <r>
    <x v="421"/>
    <x v="1"/>
    <n v="2.8"/>
    <x v="28"/>
    <n v="5.8"/>
    <x v="0"/>
    <x v="1"/>
    <x v="0"/>
    <x v="0"/>
    <n v="84.1"/>
    <x v="195"/>
    <x v="1"/>
  </r>
  <r>
    <x v="422"/>
    <x v="1"/>
    <n v="5.4"/>
    <x v="236"/>
    <n v="7.9"/>
    <x v="1"/>
    <x v="0"/>
    <x v="1"/>
    <x v="1"/>
    <n v="52.4"/>
    <x v="105"/>
    <x v="3"/>
  </r>
  <r>
    <x v="423"/>
    <x v="0"/>
    <n v="2.2000000000000002"/>
    <x v="153"/>
    <n v="6.1"/>
    <x v="3"/>
    <x v="1"/>
    <x v="1"/>
    <x v="0"/>
    <n v="62"/>
    <x v="238"/>
    <x v="2"/>
  </r>
  <r>
    <x v="424"/>
    <x v="1"/>
    <n v="3.2"/>
    <x v="159"/>
    <n v="6.7"/>
    <x v="0"/>
    <x v="0"/>
    <x v="1"/>
    <x v="1"/>
    <n v="58"/>
    <x v="44"/>
    <x v="1"/>
  </r>
  <r>
    <x v="425"/>
    <x v="0"/>
    <n v="2.8"/>
    <x v="237"/>
    <n v="6"/>
    <x v="1"/>
    <x v="0"/>
    <x v="0"/>
    <x v="0"/>
    <n v="48.9"/>
    <x v="239"/>
    <x v="1"/>
  </r>
  <r>
    <x v="426"/>
    <x v="0"/>
    <n v="5.7"/>
    <x v="1"/>
    <n v="8.9"/>
    <x v="0"/>
    <x v="0"/>
    <x v="0"/>
    <x v="1"/>
    <n v="71.099999999999994"/>
    <x v="0"/>
    <x v="0"/>
  </r>
  <r>
    <x v="427"/>
    <x v="1"/>
    <n v="3.8"/>
    <x v="153"/>
    <n v="6.4"/>
    <x v="2"/>
    <x v="0"/>
    <x v="0"/>
    <x v="0"/>
    <n v="91.7"/>
    <x v="0"/>
    <x v="0"/>
  </r>
  <r>
    <x v="428"/>
    <x v="0"/>
    <n v="5"/>
    <x v="130"/>
    <n v="9"/>
    <x v="0"/>
    <x v="0"/>
    <x v="0"/>
    <x v="0"/>
    <n v="100"/>
    <x v="0"/>
    <x v="0"/>
  </r>
  <r>
    <x v="429"/>
    <x v="1"/>
    <n v="1.3"/>
    <x v="75"/>
    <n v="7.8"/>
    <x v="2"/>
    <x v="0"/>
    <x v="0"/>
    <x v="0"/>
    <n v="71.2"/>
    <x v="216"/>
    <x v="3"/>
  </r>
  <r>
    <x v="430"/>
    <x v="0"/>
    <n v="3.9"/>
    <x v="238"/>
    <n v="7.4"/>
    <x v="1"/>
    <x v="0"/>
    <x v="1"/>
    <x v="0"/>
    <n v="83.4"/>
    <x v="150"/>
    <x v="1"/>
  </r>
  <r>
    <x v="431"/>
    <x v="1"/>
    <n v="4.8"/>
    <x v="95"/>
    <n v="7.2"/>
    <x v="1"/>
    <x v="0"/>
    <x v="0"/>
    <x v="0"/>
    <n v="72.8"/>
    <x v="0"/>
    <x v="0"/>
  </r>
  <r>
    <x v="432"/>
    <x v="0"/>
    <n v="3.6"/>
    <x v="63"/>
    <n v="7.3"/>
    <x v="1"/>
    <x v="0"/>
    <x v="1"/>
    <x v="1"/>
    <n v="76"/>
    <x v="173"/>
    <x v="3"/>
  </r>
  <r>
    <x v="433"/>
    <x v="1"/>
    <n v="5.0999999999999996"/>
    <x v="239"/>
    <n v="4.5"/>
    <x v="0"/>
    <x v="0"/>
    <x v="0"/>
    <x v="0"/>
    <n v="65.900000000000006"/>
    <x v="240"/>
    <x v="1"/>
  </r>
  <r>
    <x v="434"/>
    <x v="1"/>
    <n v="2.7"/>
    <x v="69"/>
    <n v="6.5"/>
    <x v="1"/>
    <x v="0"/>
    <x v="1"/>
    <x v="0"/>
    <n v="72.3"/>
    <x v="241"/>
    <x v="3"/>
  </r>
  <r>
    <x v="435"/>
    <x v="1"/>
    <n v="5.6"/>
    <x v="216"/>
    <n v="7.8"/>
    <x v="1"/>
    <x v="0"/>
    <x v="0"/>
    <x v="1"/>
    <n v="76.400000000000006"/>
    <x v="154"/>
    <x v="0"/>
  </r>
  <r>
    <x v="436"/>
    <x v="1"/>
    <n v="6.9"/>
    <x v="35"/>
    <n v="6.7"/>
    <x v="2"/>
    <x v="0"/>
    <x v="0"/>
    <x v="1"/>
    <n v="63.1"/>
    <x v="0"/>
    <x v="0"/>
  </r>
  <r>
    <x v="437"/>
    <x v="1"/>
    <n v="3"/>
    <x v="49"/>
    <n v="5.0999999999999996"/>
    <x v="3"/>
    <x v="0"/>
    <x v="0"/>
    <x v="0"/>
    <n v="69.099999999999994"/>
    <x v="100"/>
    <x v="3"/>
  </r>
  <r>
    <x v="438"/>
    <x v="0"/>
    <n v="2.8"/>
    <x v="183"/>
    <n v="6.7"/>
    <x v="3"/>
    <x v="0"/>
    <x v="1"/>
    <x v="0"/>
    <n v="69.3"/>
    <x v="65"/>
    <x v="3"/>
  </r>
  <r>
    <x v="439"/>
    <x v="0"/>
    <n v="5.7"/>
    <x v="67"/>
    <n v="8.8000000000000007"/>
    <x v="1"/>
    <x v="1"/>
    <x v="1"/>
    <x v="0"/>
    <n v="79.900000000000006"/>
    <x v="0"/>
    <x v="0"/>
  </r>
  <r>
    <x v="440"/>
    <x v="0"/>
    <n v="5.9"/>
    <x v="240"/>
    <n v="8.3000000000000007"/>
    <x v="1"/>
    <x v="0"/>
    <x v="0"/>
    <x v="0"/>
    <n v="57.2"/>
    <x v="242"/>
    <x v="0"/>
  </r>
  <r>
    <x v="441"/>
    <x v="1"/>
    <n v="2.7"/>
    <x v="174"/>
    <n v="6.7"/>
    <x v="1"/>
    <x v="0"/>
    <x v="0"/>
    <x v="1"/>
    <n v="69.400000000000006"/>
    <x v="243"/>
    <x v="1"/>
  </r>
  <r>
    <x v="442"/>
    <x v="0"/>
    <n v="2.9"/>
    <x v="122"/>
    <n v="7.9"/>
    <x v="3"/>
    <x v="0"/>
    <x v="1"/>
    <x v="1"/>
    <n v="92.9"/>
    <x v="102"/>
    <x v="1"/>
  </r>
  <r>
    <x v="443"/>
    <x v="1"/>
    <n v="3.1"/>
    <x v="53"/>
    <n v="6.4"/>
    <x v="2"/>
    <x v="0"/>
    <x v="0"/>
    <x v="0"/>
    <n v="84"/>
    <x v="244"/>
    <x v="1"/>
  </r>
  <r>
    <x v="444"/>
    <x v="1"/>
    <n v="1.5"/>
    <x v="204"/>
    <n v="4.8"/>
    <x v="0"/>
    <x v="0"/>
    <x v="0"/>
    <x v="1"/>
    <n v="86.2"/>
    <x v="197"/>
    <x v="1"/>
  </r>
  <r>
    <x v="445"/>
    <x v="0"/>
    <n v="2.1"/>
    <x v="241"/>
    <n v="5.7"/>
    <x v="1"/>
    <x v="0"/>
    <x v="1"/>
    <x v="0"/>
    <n v="70.3"/>
    <x v="245"/>
    <x v="3"/>
  </r>
  <r>
    <x v="446"/>
    <x v="0"/>
    <n v="2"/>
    <x v="208"/>
    <n v="8.6999999999999993"/>
    <x v="0"/>
    <x v="0"/>
    <x v="1"/>
    <x v="0"/>
    <n v="73.900000000000006"/>
    <x v="228"/>
    <x v="3"/>
  </r>
  <r>
    <x v="447"/>
    <x v="1"/>
    <n v="2.2999999999999998"/>
    <x v="140"/>
    <n v="6.5"/>
    <x v="1"/>
    <x v="0"/>
    <x v="0"/>
    <x v="1"/>
    <n v="82"/>
    <x v="104"/>
    <x v="1"/>
  </r>
  <r>
    <x v="448"/>
    <x v="0"/>
    <n v="3.4"/>
    <x v="68"/>
    <n v="6.5"/>
    <x v="0"/>
    <x v="0"/>
    <x v="0"/>
    <x v="0"/>
    <n v="88.7"/>
    <x v="246"/>
    <x v="0"/>
  </r>
  <r>
    <x v="449"/>
    <x v="1"/>
    <n v="3.9"/>
    <x v="242"/>
    <n v="6.4"/>
    <x v="0"/>
    <x v="0"/>
    <x v="1"/>
    <x v="1"/>
    <n v="46.6"/>
    <x v="238"/>
    <x v="2"/>
  </r>
  <r>
    <x v="450"/>
    <x v="1"/>
    <n v="5.8"/>
    <x v="93"/>
    <n v="9.1"/>
    <x v="3"/>
    <x v="1"/>
    <x v="0"/>
    <x v="0"/>
    <n v="54.2"/>
    <x v="247"/>
    <x v="3"/>
  </r>
  <r>
    <x v="451"/>
    <x v="1"/>
    <n v="2"/>
    <x v="164"/>
    <n v="8.8000000000000007"/>
    <x v="1"/>
    <x v="0"/>
    <x v="0"/>
    <x v="1"/>
    <n v="85.7"/>
    <x v="112"/>
    <x v="1"/>
  </r>
  <r>
    <x v="452"/>
    <x v="1"/>
    <n v="5"/>
    <x v="114"/>
    <n v="9.5"/>
    <x v="1"/>
    <x v="0"/>
    <x v="1"/>
    <x v="0"/>
    <n v="66.7"/>
    <x v="18"/>
    <x v="0"/>
  </r>
  <r>
    <x v="453"/>
    <x v="1"/>
    <n v="3.2"/>
    <x v="63"/>
    <n v="6.6"/>
    <x v="2"/>
    <x v="1"/>
    <x v="1"/>
    <x v="0"/>
    <n v="61.9"/>
    <x v="248"/>
    <x v="1"/>
  </r>
  <r>
    <x v="454"/>
    <x v="0"/>
    <n v="3.4"/>
    <x v="69"/>
    <n v="7.2"/>
    <x v="1"/>
    <x v="0"/>
    <x v="0"/>
    <x v="0"/>
    <n v="55"/>
    <x v="197"/>
    <x v="1"/>
  </r>
  <r>
    <x v="455"/>
    <x v="0"/>
    <n v="4.5"/>
    <x v="229"/>
    <n v="5"/>
    <x v="1"/>
    <x v="0"/>
    <x v="1"/>
    <x v="0"/>
    <n v="63.3"/>
    <x v="91"/>
    <x v="3"/>
  </r>
  <r>
    <x v="456"/>
    <x v="1"/>
    <n v="1.8"/>
    <x v="81"/>
    <n v="8.6"/>
    <x v="1"/>
    <x v="0"/>
    <x v="1"/>
    <x v="1"/>
    <n v="53.2"/>
    <x v="249"/>
    <x v="2"/>
  </r>
  <r>
    <x v="457"/>
    <x v="1"/>
    <n v="4.0999999999999996"/>
    <x v="91"/>
    <n v="5.4"/>
    <x v="1"/>
    <x v="1"/>
    <x v="0"/>
    <x v="0"/>
    <n v="95.1"/>
    <x v="156"/>
    <x v="1"/>
  </r>
  <r>
    <x v="458"/>
    <x v="0"/>
    <n v="3.7"/>
    <x v="243"/>
    <n v="7.1"/>
    <x v="0"/>
    <x v="1"/>
    <x v="1"/>
    <x v="0"/>
    <n v="69.7"/>
    <x v="186"/>
    <x v="1"/>
  </r>
  <r>
    <x v="459"/>
    <x v="0"/>
    <n v="4.2"/>
    <x v="244"/>
    <n v="5.5"/>
    <x v="3"/>
    <x v="0"/>
    <x v="0"/>
    <x v="0"/>
    <n v="69.3"/>
    <x v="111"/>
    <x v="1"/>
  </r>
  <r>
    <x v="460"/>
    <x v="1"/>
    <n v="3.9"/>
    <x v="245"/>
    <n v="6.1"/>
    <x v="1"/>
    <x v="0"/>
    <x v="0"/>
    <x v="1"/>
    <n v="77.099999999999994"/>
    <x v="250"/>
    <x v="0"/>
  </r>
  <r>
    <x v="461"/>
    <x v="0"/>
    <n v="7.2"/>
    <x v="246"/>
    <n v="5.8"/>
    <x v="0"/>
    <x v="0"/>
    <x v="1"/>
    <x v="0"/>
    <n v="81.5"/>
    <x v="0"/>
    <x v="0"/>
  </r>
  <r>
    <x v="462"/>
    <x v="1"/>
    <n v="2.5"/>
    <x v="247"/>
    <n v="6.1"/>
    <x v="3"/>
    <x v="0"/>
    <x v="0"/>
    <x v="1"/>
    <n v="81.400000000000006"/>
    <x v="219"/>
    <x v="0"/>
  </r>
  <r>
    <x v="463"/>
    <x v="0"/>
    <n v="2.7"/>
    <x v="149"/>
    <n v="6.2"/>
    <x v="0"/>
    <x v="0"/>
    <x v="0"/>
    <x v="0"/>
    <n v="82.9"/>
    <x v="237"/>
    <x v="0"/>
  </r>
  <r>
    <x v="464"/>
    <x v="1"/>
    <n v="2.6"/>
    <x v="49"/>
    <n v="6.1"/>
    <x v="4"/>
    <x v="1"/>
    <x v="0"/>
    <x v="1"/>
    <n v="62.4"/>
    <x v="251"/>
    <x v="2"/>
  </r>
  <r>
    <x v="465"/>
    <x v="0"/>
    <n v="2.7"/>
    <x v="1"/>
    <n v="7.8"/>
    <x v="4"/>
    <x v="0"/>
    <x v="0"/>
    <x v="0"/>
    <n v="66.400000000000006"/>
    <x v="0"/>
    <x v="0"/>
  </r>
  <r>
    <x v="466"/>
    <x v="1"/>
    <n v="2.5"/>
    <x v="248"/>
    <n v="5.5"/>
    <x v="1"/>
    <x v="0"/>
    <x v="1"/>
    <x v="1"/>
    <n v="79.2"/>
    <x v="134"/>
    <x v="3"/>
  </r>
  <r>
    <x v="467"/>
    <x v="0"/>
    <n v="5.3"/>
    <x v="166"/>
    <n v="7.1"/>
    <x v="3"/>
    <x v="0"/>
    <x v="1"/>
    <x v="0"/>
    <n v="63.7"/>
    <x v="252"/>
    <x v="1"/>
  </r>
  <r>
    <x v="468"/>
    <x v="0"/>
    <n v="5.6"/>
    <x v="17"/>
    <n v="8.3000000000000007"/>
    <x v="0"/>
    <x v="0"/>
    <x v="1"/>
    <x v="0"/>
    <n v="69.900000000000006"/>
    <x v="0"/>
    <x v="0"/>
  </r>
  <r>
    <x v="469"/>
    <x v="1"/>
    <n v="2.6"/>
    <x v="167"/>
    <n v="6.2"/>
    <x v="2"/>
    <x v="0"/>
    <x v="0"/>
    <x v="1"/>
    <n v="74.8"/>
    <x v="156"/>
    <x v="1"/>
  </r>
  <r>
    <x v="470"/>
    <x v="0"/>
    <n v="2.2999999999999998"/>
    <x v="249"/>
    <n v="5.9"/>
    <x v="0"/>
    <x v="0"/>
    <x v="0"/>
    <x v="0"/>
    <n v="79.400000000000006"/>
    <x v="118"/>
    <x v="1"/>
  </r>
  <r>
    <x v="471"/>
    <x v="1"/>
    <n v="4.2"/>
    <x v="21"/>
    <n v="6.5"/>
    <x v="2"/>
    <x v="1"/>
    <x v="0"/>
    <x v="1"/>
    <n v="48.7"/>
    <x v="40"/>
    <x v="2"/>
  </r>
  <r>
    <x v="472"/>
    <x v="0"/>
    <n v="2.7"/>
    <x v="140"/>
    <n v="8.1999999999999993"/>
    <x v="3"/>
    <x v="1"/>
    <x v="0"/>
    <x v="0"/>
    <n v="78.599999999999994"/>
    <x v="158"/>
    <x v="1"/>
  </r>
  <r>
    <x v="473"/>
    <x v="1"/>
    <n v="4.4000000000000004"/>
    <x v="250"/>
    <n v="7"/>
    <x v="1"/>
    <x v="0"/>
    <x v="0"/>
    <x v="0"/>
    <n v="67.2"/>
    <x v="183"/>
    <x v="0"/>
  </r>
  <r>
    <x v="474"/>
    <x v="0"/>
    <n v="3.8"/>
    <x v="69"/>
    <n v="6.2"/>
    <x v="0"/>
    <x v="1"/>
    <x v="1"/>
    <x v="0"/>
    <n v="78.5"/>
    <x v="147"/>
    <x v="0"/>
  </r>
  <r>
    <x v="475"/>
    <x v="1"/>
    <n v="1.2"/>
    <x v="206"/>
    <n v="7.4"/>
    <x v="2"/>
    <x v="0"/>
    <x v="1"/>
    <x v="0"/>
    <n v="79.3"/>
    <x v="253"/>
    <x v="1"/>
  </r>
  <r>
    <x v="476"/>
    <x v="0"/>
    <n v="5.8"/>
    <x v="138"/>
    <n v="5.5"/>
    <x v="4"/>
    <x v="0"/>
    <x v="1"/>
    <x v="1"/>
    <n v="89.3"/>
    <x v="0"/>
    <x v="0"/>
  </r>
  <r>
    <x v="477"/>
    <x v="1"/>
    <n v="6.2"/>
    <x v="251"/>
    <n v="7.6"/>
    <x v="1"/>
    <x v="0"/>
    <x v="0"/>
    <x v="0"/>
    <n v="86.2"/>
    <x v="0"/>
    <x v="0"/>
  </r>
  <r>
    <x v="478"/>
    <x v="0"/>
    <n v="2.6"/>
    <x v="0"/>
    <n v="7.3"/>
    <x v="3"/>
    <x v="0"/>
    <x v="1"/>
    <x v="1"/>
    <n v="86.2"/>
    <x v="67"/>
    <x v="1"/>
  </r>
  <r>
    <x v="479"/>
    <x v="1"/>
    <n v="2.9"/>
    <x v="252"/>
    <n v="6.4"/>
    <x v="1"/>
    <x v="1"/>
    <x v="0"/>
    <x v="0"/>
    <n v="87.3"/>
    <x v="14"/>
    <x v="1"/>
  </r>
  <r>
    <x v="480"/>
    <x v="1"/>
    <n v="3.9"/>
    <x v="172"/>
    <n v="5.8"/>
    <x v="1"/>
    <x v="0"/>
    <x v="0"/>
    <x v="0"/>
    <n v="73.5"/>
    <x v="33"/>
    <x v="1"/>
  </r>
  <r>
    <x v="481"/>
    <x v="1"/>
    <n v="4"/>
    <x v="253"/>
    <n v="5.7"/>
    <x v="0"/>
    <x v="0"/>
    <x v="1"/>
    <x v="0"/>
    <n v="70.400000000000006"/>
    <x v="230"/>
    <x v="0"/>
  </r>
  <r>
    <x v="482"/>
    <x v="0"/>
    <n v="4.5"/>
    <x v="240"/>
    <n v="7.4"/>
    <x v="1"/>
    <x v="0"/>
    <x v="1"/>
    <x v="1"/>
    <n v="80.5"/>
    <x v="254"/>
    <x v="1"/>
  </r>
  <r>
    <x v="483"/>
    <x v="1"/>
    <n v="6.5"/>
    <x v="254"/>
    <n v="8.3000000000000007"/>
    <x v="3"/>
    <x v="0"/>
    <x v="0"/>
    <x v="0"/>
    <n v="78.8"/>
    <x v="0"/>
    <x v="0"/>
  </r>
  <r>
    <x v="484"/>
    <x v="0"/>
    <n v="3.2"/>
    <x v="255"/>
    <n v="6"/>
    <x v="1"/>
    <x v="0"/>
    <x v="0"/>
    <x v="0"/>
    <n v="66.3"/>
    <x v="87"/>
    <x v="3"/>
  </r>
  <r>
    <x v="485"/>
    <x v="1"/>
    <n v="2.2999999999999998"/>
    <x v="63"/>
    <n v="7.4"/>
    <x v="3"/>
    <x v="0"/>
    <x v="0"/>
    <x v="1"/>
    <n v="74.900000000000006"/>
    <x v="145"/>
    <x v="1"/>
  </r>
  <r>
    <x v="486"/>
    <x v="0"/>
    <n v="1.4"/>
    <x v="227"/>
    <n v="4.3"/>
    <x v="1"/>
    <x v="0"/>
    <x v="1"/>
    <x v="0"/>
    <n v="69.599999999999994"/>
    <x v="255"/>
    <x v="2"/>
  </r>
  <r>
    <x v="487"/>
    <x v="1"/>
    <n v="2.4"/>
    <x v="85"/>
    <n v="6.1"/>
    <x v="1"/>
    <x v="0"/>
    <x v="0"/>
    <x v="0"/>
    <n v="59.8"/>
    <x v="191"/>
    <x v="3"/>
  </r>
  <r>
    <x v="488"/>
    <x v="0"/>
    <n v="3.5"/>
    <x v="215"/>
    <n v="6.8"/>
    <x v="1"/>
    <x v="0"/>
    <x v="1"/>
    <x v="0"/>
    <n v="85.5"/>
    <x v="0"/>
    <x v="0"/>
  </r>
  <r>
    <x v="489"/>
    <x v="0"/>
    <n v="6.2"/>
    <x v="256"/>
    <n v="5.7"/>
    <x v="1"/>
    <x v="0"/>
    <x v="0"/>
    <x v="0"/>
    <n v="70.7"/>
    <x v="0"/>
    <x v="0"/>
  </r>
  <r>
    <x v="490"/>
    <x v="1"/>
    <n v="2.7"/>
    <x v="82"/>
    <n v="5.7"/>
    <x v="1"/>
    <x v="0"/>
    <x v="0"/>
    <x v="0"/>
    <n v="94.6"/>
    <x v="8"/>
    <x v="3"/>
  </r>
  <r>
    <x v="491"/>
    <x v="0"/>
    <n v="3.8"/>
    <x v="63"/>
    <n v="6"/>
    <x v="1"/>
    <x v="0"/>
    <x v="0"/>
    <x v="1"/>
    <n v="50.5"/>
    <x v="52"/>
    <x v="3"/>
  </r>
  <r>
    <x v="492"/>
    <x v="0"/>
    <n v="3.5"/>
    <x v="257"/>
    <n v="7.2"/>
    <x v="0"/>
    <x v="0"/>
    <x v="0"/>
    <x v="0"/>
    <n v="63.3"/>
    <x v="220"/>
    <x v="2"/>
  </r>
  <r>
    <x v="493"/>
    <x v="1"/>
    <n v="5.3"/>
    <x v="146"/>
    <n v="6.6"/>
    <x v="1"/>
    <x v="0"/>
    <x v="0"/>
    <x v="1"/>
    <n v="70.400000000000006"/>
    <x v="125"/>
    <x v="1"/>
  </r>
  <r>
    <x v="494"/>
    <x v="0"/>
    <n v="7.3"/>
    <x v="90"/>
    <n v="4.0999999999999996"/>
    <x v="0"/>
    <x v="0"/>
    <x v="1"/>
    <x v="0"/>
    <n v="83.6"/>
    <x v="81"/>
    <x v="1"/>
  </r>
  <r>
    <x v="495"/>
    <x v="0"/>
    <n v="2.7"/>
    <x v="1"/>
    <n v="4.3"/>
    <x v="0"/>
    <x v="1"/>
    <x v="1"/>
    <x v="0"/>
    <n v="74.8"/>
    <x v="200"/>
    <x v="3"/>
  </r>
  <r>
    <x v="496"/>
    <x v="0"/>
    <n v="2.8"/>
    <x v="258"/>
    <n v="6.1"/>
    <x v="4"/>
    <x v="0"/>
    <x v="1"/>
    <x v="0"/>
    <n v="73.7"/>
    <x v="256"/>
    <x v="3"/>
  </r>
  <r>
    <x v="497"/>
    <x v="1"/>
    <n v="5.0999999999999996"/>
    <x v="259"/>
    <n v="7.3"/>
    <x v="2"/>
    <x v="0"/>
    <x v="1"/>
    <x v="0"/>
    <n v="56.5"/>
    <x v="248"/>
    <x v="1"/>
  </r>
  <r>
    <x v="498"/>
    <x v="0"/>
    <n v="4.5"/>
    <x v="114"/>
    <n v="3.5"/>
    <x v="0"/>
    <x v="1"/>
    <x v="1"/>
    <x v="1"/>
    <n v="56.1"/>
    <x v="39"/>
    <x v="2"/>
  </r>
  <r>
    <x v="499"/>
    <x v="1"/>
    <n v="6.3"/>
    <x v="42"/>
    <n v="6.2"/>
    <x v="1"/>
    <x v="0"/>
    <x v="1"/>
    <x v="0"/>
    <n v="73.900000000000006"/>
    <x v="79"/>
    <x v="0"/>
  </r>
  <r>
    <x v="500"/>
    <x v="0"/>
    <n v="4.4000000000000004"/>
    <x v="146"/>
    <n v="6.2"/>
    <x v="1"/>
    <x v="0"/>
    <x v="1"/>
    <x v="0"/>
    <n v="53.6"/>
    <x v="208"/>
    <x v="3"/>
  </r>
  <r>
    <x v="501"/>
    <x v="0"/>
    <n v="3"/>
    <x v="74"/>
    <n v="8.5"/>
    <x v="2"/>
    <x v="0"/>
    <x v="0"/>
    <x v="1"/>
    <n v="63.6"/>
    <x v="232"/>
    <x v="0"/>
  </r>
  <r>
    <x v="502"/>
    <x v="0"/>
    <n v="4.4000000000000004"/>
    <x v="110"/>
    <n v="6.3"/>
    <x v="1"/>
    <x v="1"/>
    <x v="0"/>
    <x v="0"/>
    <n v="76"/>
    <x v="12"/>
    <x v="0"/>
  </r>
  <r>
    <x v="503"/>
    <x v="1"/>
    <n v="5.2"/>
    <x v="260"/>
    <n v="7.3"/>
    <x v="1"/>
    <x v="1"/>
    <x v="0"/>
    <x v="0"/>
    <n v="58.2"/>
    <x v="204"/>
    <x v="1"/>
  </r>
  <r>
    <x v="504"/>
    <x v="0"/>
    <n v="4.7"/>
    <x v="189"/>
    <n v="7"/>
    <x v="1"/>
    <x v="0"/>
    <x v="0"/>
    <x v="0"/>
    <n v="89.3"/>
    <x v="257"/>
    <x v="0"/>
  </r>
  <r>
    <x v="505"/>
    <x v="0"/>
    <n v="4.3"/>
    <x v="70"/>
    <n v="4.2"/>
    <x v="1"/>
    <x v="0"/>
    <x v="0"/>
    <x v="1"/>
    <n v="84.7"/>
    <x v="0"/>
    <x v="0"/>
  </r>
  <r>
    <x v="506"/>
    <x v="1"/>
    <n v="5.0999999999999996"/>
    <x v="76"/>
    <n v="7.7"/>
    <x v="1"/>
    <x v="0"/>
    <x v="1"/>
    <x v="0"/>
    <n v="51.1"/>
    <x v="50"/>
    <x v="3"/>
  </r>
  <r>
    <x v="507"/>
    <x v="0"/>
    <n v="5.3"/>
    <x v="261"/>
    <n v="7.1"/>
    <x v="3"/>
    <x v="1"/>
    <x v="0"/>
    <x v="1"/>
    <n v="58.8"/>
    <x v="198"/>
    <x v="3"/>
  </r>
  <r>
    <x v="508"/>
    <x v="1"/>
    <n v="5.6"/>
    <x v="203"/>
    <n v="7.4"/>
    <x v="1"/>
    <x v="1"/>
    <x v="0"/>
    <x v="1"/>
    <n v="42.6"/>
    <x v="208"/>
    <x v="3"/>
  </r>
  <r>
    <x v="509"/>
    <x v="1"/>
    <n v="4.5"/>
    <x v="7"/>
    <n v="10"/>
    <x v="0"/>
    <x v="0"/>
    <x v="0"/>
    <x v="1"/>
    <n v="60.6"/>
    <x v="258"/>
    <x v="0"/>
  </r>
  <r>
    <x v="510"/>
    <x v="0"/>
    <n v="3.2"/>
    <x v="195"/>
    <n v="4.3"/>
    <x v="1"/>
    <x v="0"/>
    <x v="0"/>
    <x v="1"/>
    <n v="79.2"/>
    <x v="245"/>
    <x v="3"/>
  </r>
  <r>
    <x v="511"/>
    <x v="1"/>
    <n v="3.7"/>
    <x v="1"/>
    <n v="8.9"/>
    <x v="1"/>
    <x v="0"/>
    <x v="0"/>
    <x v="1"/>
    <n v="65"/>
    <x v="259"/>
    <x v="1"/>
  </r>
  <r>
    <x v="512"/>
    <x v="0"/>
    <n v="5.3"/>
    <x v="23"/>
    <n v="6.5"/>
    <x v="2"/>
    <x v="0"/>
    <x v="0"/>
    <x v="0"/>
    <n v="75.5"/>
    <x v="204"/>
    <x v="1"/>
  </r>
  <r>
    <x v="513"/>
    <x v="1"/>
    <n v="2.2999999999999998"/>
    <x v="182"/>
    <n v="7.1"/>
    <x v="1"/>
    <x v="0"/>
    <x v="0"/>
    <x v="0"/>
    <n v="51.7"/>
    <x v="247"/>
    <x v="3"/>
  </r>
  <r>
    <x v="514"/>
    <x v="1"/>
    <n v="4.0999999999999996"/>
    <x v="89"/>
    <n v="6.7"/>
    <x v="3"/>
    <x v="0"/>
    <x v="0"/>
    <x v="1"/>
    <n v="79.599999999999994"/>
    <x v="22"/>
    <x v="0"/>
  </r>
  <r>
    <x v="515"/>
    <x v="0"/>
    <n v="2.9"/>
    <x v="173"/>
    <n v="6.3"/>
    <x v="0"/>
    <x v="0"/>
    <x v="1"/>
    <x v="1"/>
    <n v="63.3"/>
    <x v="65"/>
    <x v="3"/>
  </r>
  <r>
    <x v="516"/>
    <x v="1"/>
    <n v="3.5"/>
    <x v="46"/>
    <n v="6.1"/>
    <x v="1"/>
    <x v="0"/>
    <x v="1"/>
    <x v="0"/>
    <n v="70.099999999999994"/>
    <x v="26"/>
    <x v="1"/>
  </r>
  <r>
    <x v="517"/>
    <x v="1"/>
    <n v="5.4"/>
    <x v="126"/>
    <n v="7.2"/>
    <x v="2"/>
    <x v="1"/>
    <x v="0"/>
    <x v="0"/>
    <n v="68.900000000000006"/>
    <x v="76"/>
    <x v="1"/>
  </r>
  <r>
    <x v="518"/>
    <x v="1"/>
    <n v="3.8"/>
    <x v="261"/>
    <n v="5"/>
    <x v="1"/>
    <x v="0"/>
    <x v="0"/>
    <x v="1"/>
    <n v="54.7"/>
    <x v="231"/>
    <x v="2"/>
  </r>
  <r>
    <x v="519"/>
    <x v="1"/>
    <n v="3.6"/>
    <x v="175"/>
    <n v="7.7"/>
    <x v="4"/>
    <x v="0"/>
    <x v="0"/>
    <x v="1"/>
    <n v="56.2"/>
    <x v="197"/>
    <x v="1"/>
  </r>
  <r>
    <x v="520"/>
    <x v="1"/>
    <n v="1.5"/>
    <x v="262"/>
    <n v="6.3"/>
    <x v="1"/>
    <x v="0"/>
    <x v="1"/>
    <x v="1"/>
    <n v="81.599999999999994"/>
    <x v="178"/>
    <x v="2"/>
  </r>
  <r>
    <x v="521"/>
    <x v="0"/>
    <n v="4.5999999999999996"/>
    <x v="263"/>
    <n v="5.4"/>
    <x v="4"/>
    <x v="1"/>
    <x v="0"/>
    <x v="1"/>
    <n v="74.8"/>
    <x v="128"/>
    <x v="3"/>
  </r>
  <r>
    <x v="522"/>
    <x v="1"/>
    <n v="4.5"/>
    <x v="248"/>
    <n v="6.3"/>
    <x v="1"/>
    <x v="0"/>
    <x v="0"/>
    <x v="1"/>
    <n v="82.6"/>
    <x v="226"/>
    <x v="1"/>
  </r>
  <r>
    <x v="523"/>
    <x v="0"/>
    <n v="6.7"/>
    <x v="6"/>
    <n v="8.3000000000000007"/>
    <x v="0"/>
    <x v="0"/>
    <x v="1"/>
    <x v="0"/>
    <n v="73.900000000000006"/>
    <x v="0"/>
    <x v="0"/>
  </r>
  <r>
    <x v="524"/>
    <x v="1"/>
    <n v="3"/>
    <x v="1"/>
    <n v="6.2"/>
    <x v="3"/>
    <x v="0"/>
    <x v="0"/>
    <x v="1"/>
    <n v="71.7"/>
    <x v="28"/>
    <x v="1"/>
  </r>
  <r>
    <x v="525"/>
    <x v="0"/>
    <n v="3.8"/>
    <x v="1"/>
    <n v="7.2"/>
    <x v="2"/>
    <x v="0"/>
    <x v="0"/>
    <x v="0"/>
    <n v="49.3"/>
    <x v="145"/>
    <x v="1"/>
  </r>
  <r>
    <x v="526"/>
    <x v="0"/>
    <n v="3.9"/>
    <x v="264"/>
    <n v="5.9"/>
    <x v="2"/>
    <x v="0"/>
    <x v="0"/>
    <x v="1"/>
    <n v="66.8"/>
    <x v="14"/>
    <x v="1"/>
  </r>
  <r>
    <x v="527"/>
    <x v="1"/>
    <n v="5.9"/>
    <x v="211"/>
    <n v="7.7"/>
    <x v="3"/>
    <x v="0"/>
    <x v="1"/>
    <x v="0"/>
    <n v="69.7"/>
    <x v="233"/>
    <x v="0"/>
  </r>
  <r>
    <x v="528"/>
    <x v="1"/>
    <n v="3.4"/>
    <x v="235"/>
    <n v="7.6"/>
    <x v="4"/>
    <x v="1"/>
    <x v="1"/>
    <x v="0"/>
    <n v="93.4"/>
    <x v="48"/>
    <x v="1"/>
  </r>
  <r>
    <x v="529"/>
    <x v="1"/>
    <n v="3.9"/>
    <x v="202"/>
    <n v="9"/>
    <x v="1"/>
    <x v="0"/>
    <x v="1"/>
    <x v="0"/>
    <n v="78.2"/>
    <x v="74"/>
    <x v="1"/>
  </r>
  <r>
    <x v="530"/>
    <x v="0"/>
    <n v="4.4000000000000004"/>
    <x v="265"/>
    <n v="6.6"/>
    <x v="1"/>
    <x v="0"/>
    <x v="0"/>
    <x v="0"/>
    <n v="88.4"/>
    <x v="260"/>
    <x v="0"/>
  </r>
  <r>
    <x v="531"/>
    <x v="1"/>
    <n v="3.8"/>
    <x v="219"/>
    <n v="7.6"/>
    <x v="1"/>
    <x v="0"/>
    <x v="0"/>
    <x v="0"/>
    <n v="77.2"/>
    <x v="195"/>
    <x v="1"/>
  </r>
  <r>
    <x v="532"/>
    <x v="0"/>
    <n v="2.8"/>
    <x v="41"/>
    <n v="6.9"/>
    <x v="0"/>
    <x v="0"/>
    <x v="1"/>
    <x v="0"/>
    <n v="61.5"/>
    <x v="114"/>
    <x v="2"/>
  </r>
  <r>
    <x v="533"/>
    <x v="0"/>
    <n v="3.8"/>
    <x v="110"/>
    <n v="8.4"/>
    <x v="0"/>
    <x v="0"/>
    <x v="1"/>
    <x v="0"/>
    <n v="71.400000000000006"/>
    <x v="18"/>
    <x v="0"/>
  </r>
  <r>
    <x v="534"/>
    <x v="0"/>
    <n v="5.0999999999999996"/>
    <x v="266"/>
    <n v="5.9"/>
    <x v="0"/>
    <x v="0"/>
    <x v="0"/>
    <x v="0"/>
    <n v="72.8"/>
    <x v="197"/>
    <x v="1"/>
  </r>
  <r>
    <x v="535"/>
    <x v="1"/>
    <n v="2"/>
    <x v="57"/>
    <n v="7.7"/>
    <x v="1"/>
    <x v="0"/>
    <x v="1"/>
    <x v="0"/>
    <n v="58.7"/>
    <x v="61"/>
    <x v="3"/>
  </r>
  <r>
    <x v="536"/>
    <x v="1"/>
    <n v="3.7"/>
    <x v="151"/>
    <n v="6.6"/>
    <x v="3"/>
    <x v="0"/>
    <x v="0"/>
    <x v="0"/>
    <n v="65.400000000000006"/>
    <x v="29"/>
    <x v="1"/>
  </r>
  <r>
    <x v="537"/>
    <x v="0"/>
    <n v="2.4"/>
    <x v="54"/>
    <n v="6.7"/>
    <x v="1"/>
    <x v="0"/>
    <x v="0"/>
    <x v="0"/>
    <n v="67.5"/>
    <x v="244"/>
    <x v="1"/>
  </r>
  <r>
    <x v="538"/>
    <x v="0"/>
    <n v="5.3"/>
    <x v="1"/>
    <n v="6.9"/>
    <x v="1"/>
    <x v="0"/>
    <x v="1"/>
    <x v="0"/>
    <n v="89.3"/>
    <x v="0"/>
    <x v="0"/>
  </r>
  <r>
    <x v="539"/>
    <x v="1"/>
    <n v="1.2"/>
    <x v="192"/>
    <n v="7.1"/>
    <x v="0"/>
    <x v="0"/>
    <x v="0"/>
    <x v="1"/>
    <n v="45"/>
    <x v="261"/>
    <x v="4"/>
  </r>
  <r>
    <x v="540"/>
    <x v="0"/>
    <n v="2.7"/>
    <x v="267"/>
    <n v="6.7"/>
    <x v="3"/>
    <x v="1"/>
    <x v="1"/>
    <x v="1"/>
    <n v="84.5"/>
    <x v="221"/>
    <x v="3"/>
  </r>
  <r>
    <x v="541"/>
    <x v="1"/>
    <n v="4.0999999999999996"/>
    <x v="162"/>
    <n v="7.1"/>
    <x v="3"/>
    <x v="0"/>
    <x v="0"/>
    <x v="0"/>
    <n v="58.8"/>
    <x v="145"/>
    <x v="1"/>
  </r>
  <r>
    <x v="542"/>
    <x v="0"/>
    <n v="5.8"/>
    <x v="268"/>
    <n v="8.6999999999999993"/>
    <x v="0"/>
    <x v="0"/>
    <x v="0"/>
    <x v="1"/>
    <n v="53.5"/>
    <x v="252"/>
    <x v="1"/>
  </r>
  <r>
    <x v="543"/>
    <x v="1"/>
    <n v="3.4"/>
    <x v="1"/>
    <n v="8"/>
    <x v="1"/>
    <x v="0"/>
    <x v="1"/>
    <x v="0"/>
    <n v="84.2"/>
    <x v="262"/>
    <x v="0"/>
  </r>
  <r>
    <x v="544"/>
    <x v="0"/>
    <n v="2.7"/>
    <x v="258"/>
    <n v="7.8"/>
    <x v="0"/>
    <x v="0"/>
    <x v="1"/>
    <x v="1"/>
    <n v="78.8"/>
    <x v="263"/>
    <x v="2"/>
  </r>
  <r>
    <x v="545"/>
    <x v="1"/>
    <n v="6.3"/>
    <x v="211"/>
    <n v="6.3"/>
    <x v="1"/>
    <x v="0"/>
    <x v="0"/>
    <x v="0"/>
    <n v="85.1"/>
    <x v="0"/>
    <x v="0"/>
  </r>
  <r>
    <x v="546"/>
    <x v="0"/>
    <n v="1.3"/>
    <x v="110"/>
    <n v="5.7"/>
    <x v="0"/>
    <x v="1"/>
    <x v="0"/>
    <x v="0"/>
    <n v="79.599999999999994"/>
    <x v="52"/>
    <x v="3"/>
  </r>
  <r>
    <x v="547"/>
    <x v="1"/>
    <n v="0.5"/>
    <x v="261"/>
    <n v="7.9"/>
    <x v="0"/>
    <x v="0"/>
    <x v="1"/>
    <x v="0"/>
    <n v="94.7"/>
    <x v="252"/>
    <x v="1"/>
  </r>
  <r>
    <x v="548"/>
    <x v="1"/>
    <n v="4.2"/>
    <x v="1"/>
    <n v="7.9"/>
    <x v="1"/>
    <x v="0"/>
    <x v="0"/>
    <x v="0"/>
    <n v="76.7"/>
    <x v="0"/>
    <x v="0"/>
  </r>
  <r>
    <x v="549"/>
    <x v="0"/>
    <n v="2.7"/>
    <x v="224"/>
    <n v="8.6"/>
    <x v="1"/>
    <x v="0"/>
    <x v="1"/>
    <x v="0"/>
    <n v="68.099999999999994"/>
    <x v="102"/>
    <x v="1"/>
  </r>
  <r>
    <x v="550"/>
    <x v="0"/>
    <n v="2"/>
    <x v="269"/>
    <n v="6.1"/>
    <x v="2"/>
    <x v="0"/>
    <x v="1"/>
    <x v="0"/>
    <n v="74.099999999999994"/>
    <x v="223"/>
    <x v="3"/>
  </r>
  <r>
    <x v="551"/>
    <x v="1"/>
    <n v="4.5999999999999996"/>
    <x v="117"/>
    <n v="6.5"/>
    <x v="2"/>
    <x v="0"/>
    <x v="0"/>
    <x v="0"/>
    <n v="84.9"/>
    <x v="0"/>
    <x v="0"/>
  </r>
  <r>
    <x v="552"/>
    <x v="0"/>
    <n v="3.9"/>
    <x v="104"/>
    <n v="4.8"/>
    <x v="0"/>
    <x v="0"/>
    <x v="0"/>
    <x v="1"/>
    <n v="60.6"/>
    <x v="73"/>
    <x v="3"/>
  </r>
  <r>
    <x v="553"/>
    <x v="1"/>
    <n v="2.7"/>
    <x v="270"/>
    <n v="6.3"/>
    <x v="1"/>
    <x v="0"/>
    <x v="0"/>
    <x v="0"/>
    <n v="62.2"/>
    <x v="264"/>
    <x v="1"/>
  </r>
  <r>
    <x v="554"/>
    <x v="0"/>
    <n v="1.6"/>
    <x v="37"/>
    <n v="8"/>
    <x v="1"/>
    <x v="1"/>
    <x v="1"/>
    <x v="0"/>
    <n v="66.3"/>
    <x v="199"/>
    <x v="2"/>
  </r>
  <r>
    <x v="555"/>
    <x v="1"/>
    <n v="4.8"/>
    <x v="191"/>
    <n v="6.2"/>
    <x v="0"/>
    <x v="0"/>
    <x v="0"/>
    <x v="0"/>
    <n v="44.7"/>
    <x v="197"/>
    <x v="1"/>
  </r>
  <r>
    <x v="556"/>
    <x v="1"/>
    <n v="4.5"/>
    <x v="27"/>
    <n v="7.6"/>
    <x v="2"/>
    <x v="0"/>
    <x v="0"/>
    <x v="0"/>
    <n v="71.7"/>
    <x v="55"/>
    <x v="1"/>
  </r>
  <r>
    <x v="557"/>
    <x v="1"/>
    <n v="3.4"/>
    <x v="271"/>
    <n v="6.6"/>
    <x v="1"/>
    <x v="0"/>
    <x v="0"/>
    <x v="0"/>
    <n v="47.4"/>
    <x v="149"/>
    <x v="3"/>
  </r>
  <r>
    <x v="558"/>
    <x v="1"/>
    <n v="6.3"/>
    <x v="156"/>
    <n v="7.2"/>
    <x v="3"/>
    <x v="0"/>
    <x v="1"/>
    <x v="1"/>
    <n v="70.599999999999994"/>
    <x v="47"/>
    <x v="0"/>
  </r>
  <r>
    <x v="559"/>
    <x v="1"/>
    <n v="1.9"/>
    <x v="7"/>
    <n v="5.4"/>
    <x v="1"/>
    <x v="0"/>
    <x v="0"/>
    <x v="1"/>
    <n v="80.400000000000006"/>
    <x v="19"/>
    <x v="3"/>
  </r>
  <r>
    <x v="560"/>
    <x v="1"/>
    <n v="1.2"/>
    <x v="58"/>
    <n v="6.9"/>
    <x v="2"/>
    <x v="0"/>
    <x v="0"/>
    <x v="0"/>
    <n v="64.3"/>
    <x v="265"/>
    <x v="2"/>
  </r>
  <r>
    <x v="561"/>
    <x v="0"/>
    <n v="2.5"/>
    <x v="114"/>
    <n v="3.2"/>
    <x v="0"/>
    <x v="1"/>
    <x v="1"/>
    <x v="0"/>
    <n v="90.1"/>
    <x v="176"/>
    <x v="1"/>
  </r>
  <r>
    <x v="562"/>
    <x v="0"/>
    <n v="3.4"/>
    <x v="253"/>
    <n v="6.6"/>
    <x v="3"/>
    <x v="1"/>
    <x v="1"/>
    <x v="0"/>
    <n v="52.5"/>
    <x v="35"/>
    <x v="3"/>
  </r>
  <r>
    <x v="563"/>
    <x v="0"/>
    <n v="3.9"/>
    <x v="272"/>
    <n v="4.8"/>
    <x v="1"/>
    <x v="1"/>
    <x v="1"/>
    <x v="1"/>
    <n v="84.3"/>
    <x v="24"/>
    <x v="3"/>
  </r>
  <r>
    <x v="564"/>
    <x v="1"/>
    <n v="3.1"/>
    <x v="107"/>
    <n v="8.1999999999999993"/>
    <x v="0"/>
    <x v="0"/>
    <x v="0"/>
    <x v="0"/>
    <n v="78.099999999999994"/>
    <x v="207"/>
    <x v="1"/>
  </r>
  <r>
    <x v="565"/>
    <x v="1"/>
    <n v="4"/>
    <x v="80"/>
    <n v="7.7"/>
    <x v="1"/>
    <x v="0"/>
    <x v="0"/>
    <x v="0"/>
    <n v="49.4"/>
    <x v="0"/>
    <x v="0"/>
  </r>
  <r>
    <x v="566"/>
    <x v="1"/>
    <n v="1.6"/>
    <x v="273"/>
    <n v="7.4"/>
    <x v="1"/>
    <x v="0"/>
    <x v="1"/>
    <x v="0"/>
    <n v="100"/>
    <x v="266"/>
    <x v="0"/>
  </r>
  <r>
    <x v="567"/>
    <x v="1"/>
    <n v="5.7"/>
    <x v="49"/>
    <n v="8.6"/>
    <x v="2"/>
    <x v="0"/>
    <x v="0"/>
    <x v="1"/>
    <n v="69.2"/>
    <x v="267"/>
    <x v="0"/>
  </r>
  <r>
    <x v="568"/>
    <x v="0"/>
    <n v="3.4"/>
    <x v="116"/>
    <n v="5.7"/>
    <x v="2"/>
    <x v="0"/>
    <x v="1"/>
    <x v="1"/>
    <n v="59.5"/>
    <x v="163"/>
    <x v="3"/>
  </r>
  <r>
    <x v="569"/>
    <x v="0"/>
    <n v="5.2"/>
    <x v="158"/>
    <n v="8.9"/>
    <x v="4"/>
    <x v="0"/>
    <x v="1"/>
    <x v="1"/>
    <n v="53.1"/>
    <x v="147"/>
    <x v="0"/>
  </r>
  <r>
    <x v="570"/>
    <x v="1"/>
    <n v="4"/>
    <x v="274"/>
    <n v="7.9"/>
    <x v="0"/>
    <x v="0"/>
    <x v="0"/>
    <x v="1"/>
    <n v="67.400000000000006"/>
    <x v="268"/>
    <x v="2"/>
  </r>
  <r>
    <x v="571"/>
    <x v="0"/>
    <n v="4.2"/>
    <x v="1"/>
    <n v="6.5"/>
    <x v="3"/>
    <x v="0"/>
    <x v="1"/>
    <x v="1"/>
    <n v="68.5"/>
    <x v="253"/>
    <x v="1"/>
  </r>
  <r>
    <x v="572"/>
    <x v="0"/>
    <n v="4.4000000000000004"/>
    <x v="275"/>
    <n v="8.1999999999999993"/>
    <x v="1"/>
    <x v="0"/>
    <x v="1"/>
    <x v="1"/>
    <n v="71.2"/>
    <x v="124"/>
    <x v="1"/>
  </r>
  <r>
    <x v="573"/>
    <x v="1"/>
    <n v="4.2"/>
    <x v="78"/>
    <n v="5.5"/>
    <x v="1"/>
    <x v="0"/>
    <x v="0"/>
    <x v="0"/>
    <n v="66.400000000000006"/>
    <x v="35"/>
    <x v="3"/>
  </r>
  <r>
    <x v="574"/>
    <x v="0"/>
    <n v="4.5"/>
    <x v="272"/>
    <n v="5.8"/>
    <x v="1"/>
    <x v="0"/>
    <x v="0"/>
    <x v="0"/>
    <n v="77.599999999999994"/>
    <x v="226"/>
    <x v="1"/>
  </r>
  <r>
    <x v="575"/>
    <x v="1"/>
    <n v="5.5"/>
    <x v="140"/>
    <n v="6.1"/>
    <x v="0"/>
    <x v="0"/>
    <x v="0"/>
    <x v="0"/>
    <n v="65.3"/>
    <x v="32"/>
    <x v="1"/>
  </r>
  <r>
    <x v="576"/>
    <x v="0"/>
    <n v="3.8"/>
    <x v="136"/>
    <n v="6.2"/>
    <x v="0"/>
    <x v="0"/>
    <x v="0"/>
    <x v="1"/>
    <n v="46.8"/>
    <x v="221"/>
    <x v="3"/>
  </r>
  <r>
    <x v="577"/>
    <x v="1"/>
    <n v="4.5999999999999996"/>
    <x v="72"/>
    <n v="5.5"/>
    <x v="1"/>
    <x v="0"/>
    <x v="0"/>
    <x v="0"/>
    <n v="68.2"/>
    <x v="269"/>
    <x v="0"/>
  </r>
  <r>
    <x v="578"/>
    <x v="1"/>
    <n v="3.4"/>
    <x v="23"/>
    <n v="8.3000000000000007"/>
    <x v="0"/>
    <x v="0"/>
    <x v="1"/>
    <x v="0"/>
    <n v="41.6"/>
    <x v="186"/>
    <x v="1"/>
  </r>
  <r>
    <x v="579"/>
    <x v="1"/>
    <n v="5.7"/>
    <x v="91"/>
    <n v="6.5"/>
    <x v="3"/>
    <x v="0"/>
    <x v="1"/>
    <x v="1"/>
    <n v="74.2"/>
    <x v="138"/>
    <x v="0"/>
  </r>
  <r>
    <x v="580"/>
    <x v="1"/>
    <n v="2.5"/>
    <x v="123"/>
    <n v="7.2"/>
    <x v="0"/>
    <x v="0"/>
    <x v="0"/>
    <x v="0"/>
    <n v="58.2"/>
    <x v="270"/>
    <x v="3"/>
  </r>
  <r>
    <x v="581"/>
    <x v="0"/>
    <n v="6.2"/>
    <x v="109"/>
    <n v="6.1"/>
    <x v="1"/>
    <x v="0"/>
    <x v="0"/>
    <x v="1"/>
    <n v="72"/>
    <x v="159"/>
    <x v="1"/>
  </r>
  <r>
    <x v="582"/>
    <x v="1"/>
    <n v="3.4"/>
    <x v="94"/>
    <n v="4.5999999999999996"/>
    <x v="1"/>
    <x v="0"/>
    <x v="1"/>
    <x v="0"/>
    <n v="85.8"/>
    <x v="10"/>
    <x v="3"/>
  </r>
  <r>
    <x v="583"/>
    <x v="1"/>
    <n v="1.4"/>
    <x v="253"/>
    <n v="7.1"/>
    <x v="1"/>
    <x v="0"/>
    <x v="0"/>
    <x v="0"/>
    <n v="58.6"/>
    <x v="271"/>
    <x v="2"/>
  </r>
  <r>
    <x v="584"/>
    <x v="1"/>
    <n v="3.7"/>
    <x v="51"/>
    <n v="4.5"/>
    <x v="1"/>
    <x v="0"/>
    <x v="1"/>
    <x v="0"/>
    <n v="82.7"/>
    <x v="141"/>
    <x v="1"/>
  </r>
  <r>
    <x v="585"/>
    <x v="0"/>
    <n v="2.5"/>
    <x v="276"/>
    <n v="6.7"/>
    <x v="0"/>
    <x v="0"/>
    <x v="0"/>
    <x v="0"/>
    <n v="64.8"/>
    <x v="272"/>
    <x v="2"/>
  </r>
  <r>
    <x v="586"/>
    <x v="1"/>
    <n v="4.8"/>
    <x v="45"/>
    <n v="5.2"/>
    <x v="0"/>
    <x v="1"/>
    <x v="0"/>
    <x v="0"/>
    <n v="91"/>
    <x v="130"/>
    <x v="1"/>
  </r>
  <r>
    <x v="587"/>
    <x v="0"/>
    <n v="2.5"/>
    <x v="179"/>
    <n v="9.1999999999999993"/>
    <x v="3"/>
    <x v="0"/>
    <x v="0"/>
    <x v="0"/>
    <n v="65.599999999999994"/>
    <x v="253"/>
    <x v="1"/>
  </r>
  <r>
    <x v="588"/>
    <x v="1"/>
    <n v="2.8"/>
    <x v="131"/>
    <n v="7.9"/>
    <x v="0"/>
    <x v="0"/>
    <x v="1"/>
    <x v="0"/>
    <n v="59.9"/>
    <x v="105"/>
    <x v="3"/>
  </r>
  <r>
    <x v="589"/>
    <x v="0"/>
    <n v="0.7"/>
    <x v="191"/>
    <n v="6.9"/>
    <x v="3"/>
    <x v="0"/>
    <x v="0"/>
    <x v="1"/>
    <n v="78.2"/>
    <x v="273"/>
    <x v="3"/>
  </r>
  <r>
    <x v="590"/>
    <x v="0"/>
    <n v="2.8"/>
    <x v="277"/>
    <n v="8.3000000000000007"/>
    <x v="1"/>
    <x v="0"/>
    <x v="1"/>
    <x v="1"/>
    <n v="64.8"/>
    <x v="274"/>
    <x v="1"/>
  </r>
  <r>
    <x v="591"/>
    <x v="1"/>
    <n v="0.5"/>
    <x v="208"/>
    <n v="5.8"/>
    <x v="0"/>
    <x v="0"/>
    <x v="0"/>
    <x v="0"/>
    <n v="59.9"/>
    <x v="251"/>
    <x v="2"/>
  </r>
  <r>
    <x v="592"/>
    <x v="0"/>
    <n v="1.1000000000000001"/>
    <x v="278"/>
    <n v="7.5"/>
    <x v="3"/>
    <x v="0"/>
    <x v="0"/>
    <x v="0"/>
    <n v="64.3"/>
    <x v="135"/>
    <x v="3"/>
  </r>
  <r>
    <x v="593"/>
    <x v="1"/>
    <n v="4.5999999999999996"/>
    <x v="200"/>
    <n v="7"/>
    <x v="1"/>
    <x v="1"/>
    <x v="0"/>
    <x v="0"/>
    <n v="69.5"/>
    <x v="275"/>
    <x v="1"/>
  </r>
  <r>
    <x v="594"/>
    <x v="1"/>
    <n v="4.7"/>
    <x v="10"/>
    <n v="7.1"/>
    <x v="1"/>
    <x v="0"/>
    <x v="1"/>
    <x v="1"/>
    <n v="86.1"/>
    <x v="81"/>
    <x v="1"/>
  </r>
  <r>
    <x v="595"/>
    <x v="1"/>
    <n v="4.0999999999999996"/>
    <x v="279"/>
    <n v="8.3000000000000007"/>
    <x v="4"/>
    <x v="0"/>
    <x v="1"/>
    <x v="0"/>
    <n v="46.8"/>
    <x v="51"/>
    <x v="1"/>
  </r>
  <r>
    <x v="596"/>
    <x v="0"/>
    <n v="2"/>
    <x v="280"/>
    <n v="7.7"/>
    <x v="1"/>
    <x v="0"/>
    <x v="0"/>
    <x v="1"/>
    <n v="70.3"/>
    <x v="109"/>
    <x v="1"/>
  </r>
  <r>
    <x v="597"/>
    <x v="0"/>
    <n v="3.4"/>
    <x v="39"/>
    <n v="7.1"/>
    <x v="3"/>
    <x v="1"/>
    <x v="0"/>
    <x v="0"/>
    <n v="77.5"/>
    <x v="108"/>
    <x v="1"/>
  </r>
  <r>
    <x v="598"/>
    <x v="1"/>
    <n v="3.5"/>
    <x v="208"/>
    <n v="4.8"/>
    <x v="1"/>
    <x v="0"/>
    <x v="0"/>
    <x v="0"/>
    <n v="72.3"/>
    <x v="276"/>
    <x v="1"/>
  </r>
  <r>
    <x v="599"/>
    <x v="1"/>
    <n v="1.8"/>
    <x v="28"/>
    <n v="5.6"/>
    <x v="3"/>
    <x v="0"/>
    <x v="0"/>
    <x v="0"/>
    <n v="85.7"/>
    <x v="76"/>
    <x v="1"/>
  </r>
  <r>
    <x v="600"/>
    <x v="0"/>
    <n v="5.8"/>
    <x v="44"/>
    <n v="6.7"/>
    <x v="1"/>
    <x v="0"/>
    <x v="0"/>
    <x v="1"/>
    <n v="69.099999999999994"/>
    <x v="154"/>
    <x v="0"/>
  </r>
  <r>
    <x v="601"/>
    <x v="1"/>
    <n v="4.8"/>
    <x v="136"/>
    <n v="6.9"/>
    <x v="1"/>
    <x v="0"/>
    <x v="1"/>
    <x v="0"/>
    <n v="67.8"/>
    <x v="219"/>
    <x v="0"/>
  </r>
  <r>
    <x v="602"/>
    <x v="1"/>
    <n v="3.2"/>
    <x v="24"/>
    <n v="5.4"/>
    <x v="0"/>
    <x v="0"/>
    <x v="1"/>
    <x v="0"/>
    <n v="77.099999999999994"/>
    <x v="176"/>
    <x v="1"/>
  </r>
  <r>
    <x v="603"/>
    <x v="1"/>
    <n v="3.5"/>
    <x v="149"/>
    <n v="9.6999999999999993"/>
    <x v="1"/>
    <x v="0"/>
    <x v="0"/>
    <x v="0"/>
    <n v="71.2"/>
    <x v="0"/>
    <x v="0"/>
  </r>
  <r>
    <x v="604"/>
    <x v="0"/>
    <n v="3.8"/>
    <x v="207"/>
    <n v="8.6"/>
    <x v="0"/>
    <x v="0"/>
    <x v="0"/>
    <x v="0"/>
    <n v="65.3"/>
    <x v="108"/>
    <x v="1"/>
  </r>
  <r>
    <x v="605"/>
    <x v="0"/>
    <n v="0.5"/>
    <x v="57"/>
    <n v="7.5"/>
    <x v="1"/>
    <x v="0"/>
    <x v="1"/>
    <x v="0"/>
    <n v="76.2"/>
    <x v="181"/>
    <x v="3"/>
  </r>
  <r>
    <x v="606"/>
    <x v="0"/>
    <n v="3.1"/>
    <x v="15"/>
    <n v="6.9"/>
    <x v="1"/>
    <x v="1"/>
    <x v="1"/>
    <x v="0"/>
    <n v="62.2"/>
    <x v="277"/>
    <x v="3"/>
  </r>
  <r>
    <x v="607"/>
    <x v="1"/>
    <n v="2.5"/>
    <x v="204"/>
    <n v="6.5"/>
    <x v="1"/>
    <x v="0"/>
    <x v="0"/>
    <x v="0"/>
    <n v="62.7"/>
    <x v="278"/>
    <x v="1"/>
  </r>
  <r>
    <x v="608"/>
    <x v="1"/>
    <n v="2"/>
    <x v="198"/>
    <n v="5.7"/>
    <x v="1"/>
    <x v="1"/>
    <x v="0"/>
    <x v="1"/>
    <n v="63.7"/>
    <x v="279"/>
    <x v="4"/>
  </r>
  <r>
    <x v="609"/>
    <x v="1"/>
    <n v="3.1"/>
    <x v="29"/>
    <n v="6.9"/>
    <x v="2"/>
    <x v="0"/>
    <x v="0"/>
    <x v="0"/>
    <n v="86.2"/>
    <x v="209"/>
    <x v="0"/>
  </r>
  <r>
    <x v="610"/>
    <x v="0"/>
    <n v="6.2"/>
    <x v="114"/>
    <n v="7.1"/>
    <x v="1"/>
    <x v="0"/>
    <x v="0"/>
    <x v="0"/>
    <n v="31.3"/>
    <x v="280"/>
    <x v="3"/>
  </r>
  <r>
    <x v="611"/>
    <x v="1"/>
    <n v="4.5"/>
    <x v="124"/>
    <n v="5.3"/>
    <x v="0"/>
    <x v="0"/>
    <x v="0"/>
    <x v="1"/>
    <n v="74.7"/>
    <x v="143"/>
    <x v="3"/>
  </r>
  <r>
    <x v="612"/>
    <x v="1"/>
    <n v="2.6"/>
    <x v="230"/>
    <n v="7.2"/>
    <x v="1"/>
    <x v="0"/>
    <x v="0"/>
    <x v="1"/>
    <n v="70.400000000000006"/>
    <x v="151"/>
    <x v="3"/>
  </r>
  <r>
    <x v="613"/>
    <x v="1"/>
    <n v="4.4000000000000004"/>
    <x v="220"/>
    <n v="6.6"/>
    <x v="1"/>
    <x v="0"/>
    <x v="1"/>
    <x v="0"/>
    <n v="49.8"/>
    <x v="281"/>
    <x v="3"/>
  </r>
  <r>
    <x v="614"/>
    <x v="1"/>
    <n v="5.6"/>
    <x v="5"/>
    <n v="4.5"/>
    <x v="2"/>
    <x v="0"/>
    <x v="0"/>
    <x v="1"/>
    <n v="73.7"/>
    <x v="282"/>
    <x v="0"/>
  </r>
  <r>
    <x v="615"/>
    <x v="0"/>
    <n v="4.9000000000000004"/>
    <x v="61"/>
    <n v="5.8"/>
    <x v="1"/>
    <x v="0"/>
    <x v="0"/>
    <x v="0"/>
    <n v="75.7"/>
    <x v="283"/>
    <x v="0"/>
  </r>
  <r>
    <x v="616"/>
    <x v="0"/>
    <n v="3.6"/>
    <x v="265"/>
    <n v="6.3"/>
    <x v="2"/>
    <x v="0"/>
    <x v="0"/>
    <x v="1"/>
    <n v="77.099999999999994"/>
    <x v="276"/>
    <x v="1"/>
  </r>
  <r>
    <x v="617"/>
    <x v="1"/>
    <n v="2.5"/>
    <x v="227"/>
    <n v="9.1"/>
    <x v="1"/>
    <x v="0"/>
    <x v="1"/>
    <x v="0"/>
    <n v="38.200000000000003"/>
    <x v="228"/>
    <x v="3"/>
  </r>
  <r>
    <x v="618"/>
    <x v="0"/>
    <n v="4.5"/>
    <x v="281"/>
    <n v="7.5"/>
    <x v="3"/>
    <x v="0"/>
    <x v="1"/>
    <x v="0"/>
    <n v="86.4"/>
    <x v="160"/>
    <x v="0"/>
  </r>
  <r>
    <x v="619"/>
    <x v="0"/>
    <n v="4.0999999999999996"/>
    <x v="231"/>
    <n v="5.2"/>
    <x v="0"/>
    <x v="0"/>
    <x v="0"/>
    <x v="0"/>
    <n v="61.1"/>
    <x v="41"/>
    <x v="1"/>
  </r>
  <r>
    <x v="620"/>
    <x v="1"/>
    <n v="4.8"/>
    <x v="87"/>
    <n v="7.4"/>
    <x v="4"/>
    <x v="0"/>
    <x v="0"/>
    <x v="0"/>
    <n v="78.2"/>
    <x v="77"/>
    <x v="0"/>
  </r>
  <r>
    <x v="621"/>
    <x v="1"/>
    <n v="4.5"/>
    <x v="86"/>
    <n v="4.9000000000000004"/>
    <x v="0"/>
    <x v="1"/>
    <x v="1"/>
    <x v="0"/>
    <n v="78.900000000000006"/>
    <x v="65"/>
    <x v="3"/>
  </r>
  <r>
    <x v="622"/>
    <x v="0"/>
    <n v="5.0999999999999996"/>
    <x v="45"/>
    <n v="8.1"/>
    <x v="0"/>
    <x v="0"/>
    <x v="0"/>
    <x v="0"/>
    <n v="59.5"/>
    <x v="33"/>
    <x v="1"/>
  </r>
  <r>
    <x v="623"/>
    <x v="1"/>
    <n v="2.7"/>
    <x v="282"/>
    <n v="6.2"/>
    <x v="1"/>
    <x v="0"/>
    <x v="0"/>
    <x v="1"/>
    <n v="77.900000000000006"/>
    <x v="87"/>
    <x v="3"/>
  </r>
  <r>
    <x v="624"/>
    <x v="0"/>
    <n v="5.5"/>
    <x v="283"/>
    <n v="6.7"/>
    <x v="1"/>
    <x v="0"/>
    <x v="0"/>
    <x v="1"/>
    <n v="65.400000000000006"/>
    <x v="195"/>
    <x v="1"/>
  </r>
  <r>
    <x v="625"/>
    <x v="1"/>
    <n v="3.8"/>
    <x v="18"/>
    <n v="8.4"/>
    <x v="2"/>
    <x v="0"/>
    <x v="0"/>
    <x v="1"/>
    <n v="45.1"/>
    <x v="256"/>
    <x v="3"/>
  </r>
  <r>
    <x v="626"/>
    <x v="0"/>
    <n v="6.6"/>
    <x v="278"/>
    <n v="5.3"/>
    <x v="1"/>
    <x v="1"/>
    <x v="0"/>
    <x v="0"/>
    <n v="84"/>
    <x v="169"/>
    <x v="0"/>
  </r>
  <r>
    <x v="627"/>
    <x v="1"/>
    <n v="2.5"/>
    <x v="205"/>
    <n v="5.0999999999999996"/>
    <x v="0"/>
    <x v="0"/>
    <x v="1"/>
    <x v="1"/>
    <n v="60.7"/>
    <x v="284"/>
    <x v="2"/>
  </r>
  <r>
    <x v="628"/>
    <x v="0"/>
    <n v="6.1"/>
    <x v="284"/>
    <n v="6.1"/>
    <x v="3"/>
    <x v="0"/>
    <x v="1"/>
    <x v="1"/>
    <n v="59.7"/>
    <x v="285"/>
    <x v="0"/>
  </r>
  <r>
    <x v="629"/>
    <x v="0"/>
    <n v="3.8"/>
    <x v="94"/>
    <n v="8"/>
    <x v="1"/>
    <x v="0"/>
    <x v="0"/>
    <x v="0"/>
    <n v="65.2"/>
    <x v="286"/>
    <x v="1"/>
  </r>
  <r>
    <x v="630"/>
    <x v="0"/>
    <n v="2.5"/>
    <x v="195"/>
    <n v="5"/>
    <x v="2"/>
    <x v="0"/>
    <x v="1"/>
    <x v="0"/>
    <n v="73.3"/>
    <x v="61"/>
    <x v="3"/>
  </r>
  <r>
    <x v="631"/>
    <x v="1"/>
    <n v="2.8"/>
    <x v="285"/>
    <n v="3.4"/>
    <x v="3"/>
    <x v="1"/>
    <x v="0"/>
    <x v="0"/>
    <n v="69.3"/>
    <x v="287"/>
    <x v="3"/>
  </r>
  <r>
    <x v="632"/>
    <x v="0"/>
    <n v="3"/>
    <x v="264"/>
    <n v="6.3"/>
    <x v="0"/>
    <x v="0"/>
    <x v="0"/>
    <x v="1"/>
    <n v="76.599999999999994"/>
    <x v="240"/>
    <x v="1"/>
  </r>
  <r>
    <x v="633"/>
    <x v="0"/>
    <n v="4.0999999999999996"/>
    <x v="286"/>
    <n v="7.5"/>
    <x v="4"/>
    <x v="0"/>
    <x v="1"/>
    <x v="1"/>
    <n v="53.9"/>
    <x v="8"/>
    <x v="3"/>
  </r>
  <r>
    <x v="634"/>
    <x v="1"/>
    <n v="4.3"/>
    <x v="26"/>
    <n v="8.1999999999999993"/>
    <x v="1"/>
    <x v="0"/>
    <x v="1"/>
    <x v="0"/>
    <n v="61.1"/>
    <x v="23"/>
    <x v="3"/>
  </r>
  <r>
    <x v="635"/>
    <x v="1"/>
    <n v="2.6"/>
    <x v="42"/>
    <n v="6.2"/>
    <x v="1"/>
    <x v="0"/>
    <x v="0"/>
    <x v="1"/>
    <n v="68.599999999999994"/>
    <x v="209"/>
    <x v="0"/>
  </r>
  <r>
    <x v="636"/>
    <x v="0"/>
    <n v="3.5"/>
    <x v="287"/>
    <n v="6.3"/>
    <x v="0"/>
    <x v="0"/>
    <x v="0"/>
    <x v="0"/>
    <n v="92.8"/>
    <x v="0"/>
    <x v="0"/>
  </r>
  <r>
    <x v="637"/>
    <x v="0"/>
    <n v="6.7"/>
    <x v="288"/>
    <n v="8.1999999999999993"/>
    <x v="1"/>
    <x v="0"/>
    <x v="1"/>
    <x v="0"/>
    <n v="68.599999999999994"/>
    <x v="62"/>
    <x v="0"/>
  </r>
  <r>
    <x v="638"/>
    <x v="1"/>
    <n v="6.1"/>
    <x v="289"/>
    <n v="4.5999999999999996"/>
    <x v="3"/>
    <x v="0"/>
    <x v="1"/>
    <x v="0"/>
    <n v="83"/>
    <x v="2"/>
    <x v="1"/>
  </r>
  <r>
    <x v="639"/>
    <x v="1"/>
    <n v="4.2"/>
    <x v="8"/>
    <n v="6.3"/>
    <x v="2"/>
    <x v="1"/>
    <x v="1"/>
    <x v="1"/>
    <n v="70.5"/>
    <x v="200"/>
    <x v="3"/>
  </r>
  <r>
    <x v="640"/>
    <x v="1"/>
    <n v="3.6"/>
    <x v="1"/>
    <n v="7"/>
    <x v="0"/>
    <x v="0"/>
    <x v="0"/>
    <x v="0"/>
    <n v="64.2"/>
    <x v="244"/>
    <x v="1"/>
  </r>
  <r>
    <x v="641"/>
    <x v="1"/>
    <n v="3.7"/>
    <x v="52"/>
    <n v="7.3"/>
    <x v="1"/>
    <x v="0"/>
    <x v="0"/>
    <x v="0"/>
    <n v="67"/>
    <x v="288"/>
    <x v="0"/>
  </r>
  <r>
    <x v="642"/>
    <x v="1"/>
    <n v="4.4000000000000004"/>
    <x v="231"/>
    <n v="6.2"/>
    <x v="2"/>
    <x v="0"/>
    <x v="0"/>
    <x v="0"/>
    <n v="68"/>
    <x v="289"/>
    <x v="0"/>
  </r>
  <r>
    <x v="643"/>
    <x v="0"/>
    <n v="2"/>
    <x v="105"/>
    <n v="6.8"/>
    <x v="0"/>
    <x v="1"/>
    <x v="0"/>
    <x v="0"/>
    <n v="77.2"/>
    <x v="270"/>
    <x v="3"/>
  </r>
  <r>
    <x v="644"/>
    <x v="1"/>
    <n v="3.1"/>
    <x v="206"/>
    <n v="3.8"/>
    <x v="0"/>
    <x v="0"/>
    <x v="1"/>
    <x v="1"/>
    <n v="86.5"/>
    <x v="290"/>
    <x v="1"/>
  </r>
  <r>
    <x v="645"/>
    <x v="0"/>
    <n v="1"/>
    <x v="10"/>
    <n v="6"/>
    <x v="0"/>
    <x v="0"/>
    <x v="0"/>
    <x v="1"/>
    <n v="74.3"/>
    <x v="16"/>
    <x v="3"/>
  </r>
  <r>
    <x v="646"/>
    <x v="0"/>
    <n v="4.0999999999999996"/>
    <x v="171"/>
    <n v="7.3"/>
    <x v="2"/>
    <x v="0"/>
    <x v="0"/>
    <x v="0"/>
    <n v="84.2"/>
    <x v="0"/>
    <x v="0"/>
  </r>
  <r>
    <x v="647"/>
    <x v="0"/>
    <n v="4.5"/>
    <x v="28"/>
    <n v="5.6"/>
    <x v="0"/>
    <x v="0"/>
    <x v="1"/>
    <x v="0"/>
    <n v="58.4"/>
    <x v="183"/>
    <x v="0"/>
  </r>
  <r>
    <x v="648"/>
    <x v="1"/>
    <n v="2.8"/>
    <x v="275"/>
    <n v="6.9"/>
    <x v="3"/>
    <x v="0"/>
    <x v="0"/>
    <x v="0"/>
    <n v="65"/>
    <x v="204"/>
    <x v="1"/>
  </r>
  <r>
    <x v="649"/>
    <x v="0"/>
    <n v="5.9"/>
    <x v="1"/>
    <n v="7.3"/>
    <x v="3"/>
    <x v="0"/>
    <x v="0"/>
    <x v="0"/>
    <n v="61.3"/>
    <x v="1"/>
    <x v="0"/>
  </r>
  <r>
    <x v="650"/>
    <x v="0"/>
    <n v="1.7"/>
    <x v="65"/>
    <n v="6.4"/>
    <x v="1"/>
    <x v="0"/>
    <x v="1"/>
    <x v="0"/>
    <n v="73.8"/>
    <x v="291"/>
    <x v="4"/>
  </r>
  <r>
    <x v="651"/>
    <x v="1"/>
    <n v="1.3"/>
    <x v="290"/>
    <n v="7"/>
    <x v="0"/>
    <x v="0"/>
    <x v="1"/>
    <x v="0"/>
    <n v="65.7"/>
    <x v="97"/>
    <x v="3"/>
  </r>
  <r>
    <x v="652"/>
    <x v="0"/>
    <n v="3.8"/>
    <x v="114"/>
    <n v="5.6"/>
    <x v="3"/>
    <x v="0"/>
    <x v="1"/>
    <x v="0"/>
    <n v="78.8"/>
    <x v="6"/>
    <x v="1"/>
  </r>
  <r>
    <x v="653"/>
    <x v="0"/>
    <n v="5.0999999999999996"/>
    <x v="107"/>
    <n v="6.6"/>
    <x v="0"/>
    <x v="1"/>
    <x v="0"/>
    <x v="1"/>
    <n v="58.8"/>
    <x v="80"/>
    <x v="3"/>
  </r>
  <r>
    <x v="654"/>
    <x v="1"/>
    <n v="6"/>
    <x v="222"/>
    <n v="7.5"/>
    <x v="3"/>
    <x v="1"/>
    <x v="1"/>
    <x v="0"/>
    <n v="70.5"/>
    <x v="156"/>
    <x v="1"/>
  </r>
  <r>
    <x v="655"/>
    <x v="0"/>
    <n v="2.8"/>
    <x v="254"/>
    <n v="7"/>
    <x v="2"/>
    <x v="0"/>
    <x v="1"/>
    <x v="1"/>
    <n v="78.2"/>
    <x v="45"/>
    <x v="3"/>
  </r>
  <r>
    <x v="656"/>
    <x v="0"/>
    <n v="5.0999999999999996"/>
    <x v="291"/>
    <n v="6.1"/>
    <x v="0"/>
    <x v="0"/>
    <x v="0"/>
    <x v="0"/>
    <n v="45.2"/>
    <x v="136"/>
    <x v="1"/>
  </r>
  <r>
    <x v="657"/>
    <x v="0"/>
    <n v="3.4"/>
    <x v="237"/>
    <n v="7.1"/>
    <x v="3"/>
    <x v="0"/>
    <x v="0"/>
    <x v="0"/>
    <n v="95.5"/>
    <x v="0"/>
    <x v="0"/>
  </r>
  <r>
    <x v="658"/>
    <x v="1"/>
    <n v="3.2"/>
    <x v="86"/>
    <n v="7.7"/>
    <x v="3"/>
    <x v="0"/>
    <x v="1"/>
    <x v="0"/>
    <n v="66.599999999999994"/>
    <x v="48"/>
    <x v="1"/>
  </r>
  <r>
    <x v="659"/>
    <x v="1"/>
    <n v="4.8"/>
    <x v="277"/>
    <n v="4.3"/>
    <x v="3"/>
    <x v="0"/>
    <x v="0"/>
    <x v="1"/>
    <n v="45.7"/>
    <x v="248"/>
    <x v="1"/>
  </r>
  <r>
    <x v="660"/>
    <x v="1"/>
    <n v="4.5"/>
    <x v="87"/>
    <n v="8.1999999999999993"/>
    <x v="0"/>
    <x v="0"/>
    <x v="1"/>
    <x v="0"/>
    <n v="71.900000000000006"/>
    <x v="292"/>
    <x v="0"/>
  </r>
  <r>
    <x v="661"/>
    <x v="0"/>
    <n v="1.1000000000000001"/>
    <x v="260"/>
    <n v="6.4"/>
    <x v="1"/>
    <x v="0"/>
    <x v="0"/>
    <x v="1"/>
    <n v="70.400000000000006"/>
    <x v="213"/>
    <x v="2"/>
  </r>
  <r>
    <x v="662"/>
    <x v="0"/>
    <n v="5.7"/>
    <x v="173"/>
    <n v="7.3"/>
    <x v="0"/>
    <x v="0"/>
    <x v="0"/>
    <x v="0"/>
    <n v="69"/>
    <x v="293"/>
    <x v="0"/>
  </r>
  <r>
    <x v="663"/>
    <x v="1"/>
    <n v="5.6"/>
    <x v="243"/>
    <n v="8.1999999999999993"/>
    <x v="3"/>
    <x v="0"/>
    <x v="0"/>
    <x v="1"/>
    <n v="81.900000000000006"/>
    <x v="294"/>
    <x v="0"/>
  </r>
  <r>
    <x v="664"/>
    <x v="0"/>
    <n v="2.6"/>
    <x v="284"/>
    <n v="5.2"/>
    <x v="0"/>
    <x v="0"/>
    <x v="1"/>
    <x v="0"/>
    <n v="79"/>
    <x v="137"/>
    <x v="1"/>
  </r>
  <r>
    <x v="665"/>
    <x v="0"/>
    <n v="4.0999999999999996"/>
    <x v="246"/>
    <n v="5.9"/>
    <x v="3"/>
    <x v="0"/>
    <x v="0"/>
    <x v="0"/>
    <n v="73.599999999999994"/>
    <x v="225"/>
    <x v="0"/>
  </r>
  <r>
    <x v="666"/>
    <x v="1"/>
    <n v="4.2"/>
    <x v="12"/>
    <n v="6.5"/>
    <x v="0"/>
    <x v="0"/>
    <x v="0"/>
    <x v="0"/>
    <n v="75.400000000000006"/>
    <x v="144"/>
    <x v="0"/>
  </r>
  <r>
    <x v="667"/>
    <x v="1"/>
    <n v="3.9"/>
    <x v="182"/>
    <n v="5.9"/>
    <x v="0"/>
    <x v="0"/>
    <x v="1"/>
    <x v="0"/>
    <n v="68.7"/>
    <x v="209"/>
    <x v="0"/>
  </r>
  <r>
    <x v="668"/>
    <x v="0"/>
    <n v="2.7"/>
    <x v="9"/>
    <n v="8.9"/>
    <x v="1"/>
    <x v="0"/>
    <x v="1"/>
    <x v="1"/>
    <n v="91.3"/>
    <x v="68"/>
    <x v="0"/>
  </r>
  <r>
    <x v="669"/>
    <x v="0"/>
    <n v="2.5"/>
    <x v="86"/>
    <n v="5.8"/>
    <x v="3"/>
    <x v="0"/>
    <x v="1"/>
    <x v="1"/>
    <n v="52.2"/>
    <x v="295"/>
    <x v="2"/>
  </r>
  <r>
    <x v="670"/>
    <x v="0"/>
    <n v="3.5"/>
    <x v="159"/>
    <n v="6.1"/>
    <x v="0"/>
    <x v="0"/>
    <x v="0"/>
    <x v="0"/>
    <n v="71.7"/>
    <x v="296"/>
    <x v="2"/>
  </r>
  <r>
    <x v="671"/>
    <x v="1"/>
    <n v="5.3"/>
    <x v="196"/>
    <n v="7"/>
    <x v="1"/>
    <x v="1"/>
    <x v="0"/>
    <x v="0"/>
    <n v="70.8"/>
    <x v="47"/>
    <x v="0"/>
  </r>
  <r>
    <x v="672"/>
    <x v="1"/>
    <n v="4.3"/>
    <x v="250"/>
    <n v="5.4"/>
    <x v="1"/>
    <x v="0"/>
    <x v="1"/>
    <x v="1"/>
    <n v="79.8"/>
    <x v="102"/>
    <x v="1"/>
  </r>
  <r>
    <x v="673"/>
    <x v="1"/>
    <n v="2.9"/>
    <x v="179"/>
    <n v="6.3"/>
    <x v="3"/>
    <x v="0"/>
    <x v="1"/>
    <x v="0"/>
    <n v="59.9"/>
    <x v="135"/>
    <x v="3"/>
  </r>
  <r>
    <x v="674"/>
    <x v="1"/>
    <n v="4.7"/>
    <x v="170"/>
    <n v="7.2"/>
    <x v="0"/>
    <x v="0"/>
    <x v="0"/>
    <x v="0"/>
    <n v="49.1"/>
    <x v="2"/>
    <x v="1"/>
  </r>
  <r>
    <x v="675"/>
    <x v="0"/>
    <n v="0.5"/>
    <x v="61"/>
    <n v="6.4"/>
    <x v="1"/>
    <x v="1"/>
    <x v="0"/>
    <x v="1"/>
    <n v="71.900000000000006"/>
    <x v="297"/>
    <x v="2"/>
  </r>
  <r>
    <x v="676"/>
    <x v="1"/>
    <n v="5.2"/>
    <x v="65"/>
    <n v="6.7"/>
    <x v="2"/>
    <x v="1"/>
    <x v="1"/>
    <x v="1"/>
    <n v="73.400000000000006"/>
    <x v="298"/>
    <x v="0"/>
  </r>
  <r>
    <x v="677"/>
    <x v="1"/>
    <n v="0.9"/>
    <x v="122"/>
    <n v="6.2"/>
    <x v="3"/>
    <x v="0"/>
    <x v="0"/>
    <x v="1"/>
    <n v="87.9"/>
    <x v="272"/>
    <x v="2"/>
  </r>
  <r>
    <x v="678"/>
    <x v="1"/>
    <n v="3"/>
    <x v="27"/>
    <n v="5"/>
    <x v="2"/>
    <x v="1"/>
    <x v="1"/>
    <x v="0"/>
    <n v="54.8"/>
    <x v="299"/>
    <x v="2"/>
  </r>
  <r>
    <x v="679"/>
    <x v="1"/>
    <n v="1.8"/>
    <x v="40"/>
    <n v="7.2"/>
    <x v="0"/>
    <x v="0"/>
    <x v="0"/>
    <x v="0"/>
    <n v="83.9"/>
    <x v="300"/>
    <x v="1"/>
  </r>
  <r>
    <x v="680"/>
    <x v="1"/>
    <n v="1.6"/>
    <x v="292"/>
    <n v="8.9"/>
    <x v="0"/>
    <x v="0"/>
    <x v="0"/>
    <x v="0"/>
    <n v="98.4"/>
    <x v="239"/>
    <x v="1"/>
  </r>
  <r>
    <x v="681"/>
    <x v="0"/>
    <n v="5.2"/>
    <x v="69"/>
    <n v="6.8"/>
    <x v="4"/>
    <x v="0"/>
    <x v="1"/>
    <x v="0"/>
    <n v="65.5"/>
    <x v="285"/>
    <x v="0"/>
  </r>
  <r>
    <x v="682"/>
    <x v="0"/>
    <n v="2.8"/>
    <x v="293"/>
    <n v="7.1"/>
    <x v="0"/>
    <x v="0"/>
    <x v="0"/>
    <x v="1"/>
    <n v="54.5"/>
    <x v="13"/>
    <x v="3"/>
  </r>
  <r>
    <x v="683"/>
    <x v="1"/>
    <n v="4"/>
    <x v="25"/>
    <n v="7.6"/>
    <x v="3"/>
    <x v="1"/>
    <x v="0"/>
    <x v="0"/>
    <n v="65.099999999999994"/>
    <x v="65"/>
    <x v="3"/>
  </r>
  <r>
    <x v="684"/>
    <x v="0"/>
    <n v="3.4"/>
    <x v="247"/>
    <n v="5.3"/>
    <x v="1"/>
    <x v="0"/>
    <x v="0"/>
    <x v="0"/>
    <n v="70.2"/>
    <x v="2"/>
    <x v="1"/>
  </r>
  <r>
    <x v="685"/>
    <x v="1"/>
    <n v="4.2"/>
    <x v="52"/>
    <n v="8.8000000000000007"/>
    <x v="0"/>
    <x v="1"/>
    <x v="0"/>
    <x v="1"/>
    <n v="76.8"/>
    <x v="225"/>
    <x v="0"/>
  </r>
  <r>
    <x v="686"/>
    <x v="1"/>
    <n v="3.6"/>
    <x v="91"/>
    <n v="7"/>
    <x v="1"/>
    <x v="0"/>
    <x v="1"/>
    <x v="0"/>
    <n v="62.9"/>
    <x v="225"/>
    <x v="0"/>
  </r>
  <r>
    <x v="687"/>
    <x v="0"/>
    <n v="1.6"/>
    <x v="147"/>
    <n v="8.8000000000000007"/>
    <x v="1"/>
    <x v="0"/>
    <x v="1"/>
    <x v="0"/>
    <n v="88.7"/>
    <x v="180"/>
    <x v="3"/>
  </r>
  <r>
    <x v="688"/>
    <x v="0"/>
    <n v="5"/>
    <x v="219"/>
    <n v="5.9"/>
    <x v="1"/>
    <x v="0"/>
    <x v="1"/>
    <x v="0"/>
    <n v="56.6"/>
    <x v="15"/>
    <x v="1"/>
  </r>
  <r>
    <x v="689"/>
    <x v="1"/>
    <n v="2.8"/>
    <x v="20"/>
    <n v="9"/>
    <x v="1"/>
    <x v="0"/>
    <x v="0"/>
    <x v="0"/>
    <n v="49.1"/>
    <x v="272"/>
    <x v="2"/>
  </r>
  <r>
    <x v="690"/>
    <x v="1"/>
    <n v="1.2"/>
    <x v="156"/>
    <n v="7.7"/>
    <x v="2"/>
    <x v="0"/>
    <x v="0"/>
    <x v="1"/>
    <n v="83.3"/>
    <x v="256"/>
    <x v="3"/>
  </r>
  <r>
    <x v="691"/>
    <x v="1"/>
    <n v="2.9"/>
    <x v="11"/>
    <n v="7.5"/>
    <x v="1"/>
    <x v="0"/>
    <x v="0"/>
    <x v="1"/>
    <n v="42.7"/>
    <x v="245"/>
    <x v="3"/>
  </r>
  <r>
    <x v="692"/>
    <x v="0"/>
    <n v="5.8"/>
    <x v="61"/>
    <n v="7.1"/>
    <x v="3"/>
    <x v="1"/>
    <x v="1"/>
    <x v="0"/>
    <n v="67.599999999999994"/>
    <x v="144"/>
    <x v="0"/>
  </r>
  <r>
    <x v="693"/>
    <x v="1"/>
    <n v="4.8"/>
    <x v="88"/>
    <n v="6.5"/>
    <x v="3"/>
    <x v="0"/>
    <x v="1"/>
    <x v="1"/>
    <n v="100"/>
    <x v="0"/>
    <x v="0"/>
  </r>
  <r>
    <x v="694"/>
    <x v="1"/>
    <n v="3"/>
    <x v="87"/>
    <n v="8.1999999999999993"/>
    <x v="0"/>
    <x v="0"/>
    <x v="1"/>
    <x v="0"/>
    <n v="69.900000000000006"/>
    <x v="195"/>
    <x v="1"/>
  </r>
  <r>
    <x v="695"/>
    <x v="1"/>
    <n v="3"/>
    <x v="294"/>
    <n v="7"/>
    <x v="1"/>
    <x v="0"/>
    <x v="0"/>
    <x v="0"/>
    <n v="56.6"/>
    <x v="301"/>
    <x v="3"/>
  </r>
  <r>
    <x v="696"/>
    <x v="0"/>
    <n v="3"/>
    <x v="165"/>
    <n v="4.4000000000000004"/>
    <x v="3"/>
    <x v="0"/>
    <x v="0"/>
    <x v="0"/>
    <n v="69.3"/>
    <x v="45"/>
    <x v="3"/>
  </r>
  <r>
    <x v="697"/>
    <x v="1"/>
    <n v="6.6"/>
    <x v="295"/>
    <n v="5.5"/>
    <x v="0"/>
    <x v="1"/>
    <x v="0"/>
    <x v="0"/>
    <n v="69.400000000000006"/>
    <x v="288"/>
    <x v="0"/>
  </r>
  <r>
    <x v="698"/>
    <x v="1"/>
    <n v="4.0999999999999996"/>
    <x v="81"/>
    <n v="6.6"/>
    <x v="3"/>
    <x v="0"/>
    <x v="0"/>
    <x v="0"/>
    <n v="71.900000000000006"/>
    <x v="302"/>
    <x v="1"/>
  </r>
  <r>
    <x v="699"/>
    <x v="0"/>
    <n v="4.0999999999999996"/>
    <x v="62"/>
    <n v="7.2"/>
    <x v="3"/>
    <x v="0"/>
    <x v="0"/>
    <x v="0"/>
    <n v="77.900000000000006"/>
    <x v="101"/>
    <x v="0"/>
  </r>
  <r>
    <x v="700"/>
    <x v="1"/>
    <n v="5"/>
    <x v="290"/>
    <n v="6.7"/>
    <x v="2"/>
    <x v="0"/>
    <x v="1"/>
    <x v="0"/>
    <n v="57.5"/>
    <x v="74"/>
    <x v="1"/>
  </r>
  <r>
    <x v="701"/>
    <x v="1"/>
    <n v="3.9"/>
    <x v="109"/>
    <n v="8.3000000000000007"/>
    <x v="0"/>
    <x v="0"/>
    <x v="0"/>
    <x v="1"/>
    <n v="90.3"/>
    <x v="207"/>
    <x v="1"/>
  </r>
  <r>
    <x v="702"/>
    <x v="0"/>
    <n v="3.1"/>
    <x v="88"/>
    <n v="4.5"/>
    <x v="1"/>
    <x v="0"/>
    <x v="0"/>
    <x v="1"/>
    <n v="72.900000000000006"/>
    <x v="303"/>
    <x v="2"/>
  </r>
  <r>
    <x v="703"/>
    <x v="1"/>
    <n v="3.2"/>
    <x v="296"/>
    <n v="7"/>
    <x v="0"/>
    <x v="0"/>
    <x v="0"/>
    <x v="0"/>
    <n v="78.7"/>
    <x v="195"/>
    <x v="1"/>
  </r>
  <r>
    <x v="704"/>
    <x v="0"/>
    <n v="3.4"/>
    <x v="178"/>
    <n v="4.5999999999999996"/>
    <x v="1"/>
    <x v="0"/>
    <x v="1"/>
    <x v="1"/>
    <n v="62.5"/>
    <x v="139"/>
    <x v="1"/>
  </r>
  <r>
    <x v="705"/>
    <x v="0"/>
    <n v="3.4"/>
    <x v="119"/>
    <n v="7.7"/>
    <x v="4"/>
    <x v="0"/>
    <x v="1"/>
    <x v="1"/>
    <n v="85.4"/>
    <x v="293"/>
    <x v="0"/>
  </r>
  <r>
    <x v="706"/>
    <x v="1"/>
    <n v="4.5999999999999996"/>
    <x v="156"/>
    <n v="6.7"/>
    <x v="1"/>
    <x v="0"/>
    <x v="1"/>
    <x v="1"/>
    <n v="66.900000000000006"/>
    <x v="30"/>
    <x v="0"/>
  </r>
  <r>
    <x v="707"/>
    <x v="1"/>
    <n v="3.6"/>
    <x v="93"/>
    <n v="7.3"/>
    <x v="1"/>
    <x v="0"/>
    <x v="1"/>
    <x v="0"/>
    <n v="73.3"/>
    <x v="134"/>
    <x v="3"/>
  </r>
  <r>
    <x v="708"/>
    <x v="1"/>
    <n v="4.5999999999999996"/>
    <x v="297"/>
    <n v="5.8"/>
    <x v="3"/>
    <x v="0"/>
    <x v="0"/>
    <x v="0"/>
    <n v="58.8"/>
    <x v="77"/>
    <x v="0"/>
  </r>
  <r>
    <x v="709"/>
    <x v="1"/>
    <n v="3.4"/>
    <x v="97"/>
    <n v="8.3000000000000007"/>
    <x v="0"/>
    <x v="0"/>
    <x v="1"/>
    <x v="1"/>
    <n v="58"/>
    <x v="229"/>
    <x v="3"/>
  </r>
  <r>
    <x v="710"/>
    <x v="0"/>
    <n v="3.6"/>
    <x v="60"/>
    <n v="8.1"/>
    <x v="0"/>
    <x v="0"/>
    <x v="0"/>
    <x v="0"/>
    <n v="78.3"/>
    <x v="60"/>
    <x v="0"/>
  </r>
  <r>
    <x v="711"/>
    <x v="1"/>
    <n v="0.5"/>
    <x v="151"/>
    <n v="7.5"/>
    <x v="0"/>
    <x v="0"/>
    <x v="0"/>
    <x v="0"/>
    <n v="64.7"/>
    <x v="164"/>
    <x v="2"/>
  </r>
  <r>
    <x v="712"/>
    <x v="0"/>
    <n v="4.9000000000000004"/>
    <x v="298"/>
    <n v="6.6"/>
    <x v="4"/>
    <x v="1"/>
    <x v="1"/>
    <x v="1"/>
    <n v="59.8"/>
    <x v="273"/>
    <x v="3"/>
  </r>
  <r>
    <x v="713"/>
    <x v="1"/>
    <n v="4"/>
    <x v="38"/>
    <n v="7.5"/>
    <x v="1"/>
    <x v="0"/>
    <x v="1"/>
    <x v="0"/>
    <n v="62.3"/>
    <x v="304"/>
    <x v="0"/>
  </r>
  <r>
    <x v="714"/>
    <x v="1"/>
    <n v="5"/>
    <x v="58"/>
    <n v="6"/>
    <x v="4"/>
    <x v="0"/>
    <x v="0"/>
    <x v="0"/>
    <n v="78.400000000000006"/>
    <x v="305"/>
    <x v="0"/>
  </r>
  <r>
    <x v="715"/>
    <x v="1"/>
    <n v="0.5"/>
    <x v="193"/>
    <n v="7.8"/>
    <x v="1"/>
    <x v="1"/>
    <x v="0"/>
    <x v="0"/>
    <n v="62.5"/>
    <x v="306"/>
    <x v="4"/>
  </r>
  <r>
    <x v="716"/>
    <x v="0"/>
    <n v="6.6"/>
    <x v="246"/>
    <n v="8.8000000000000007"/>
    <x v="3"/>
    <x v="0"/>
    <x v="0"/>
    <x v="0"/>
    <n v="68.599999999999994"/>
    <x v="307"/>
    <x v="0"/>
  </r>
  <r>
    <x v="717"/>
    <x v="1"/>
    <n v="3.3"/>
    <x v="253"/>
    <n v="8.1"/>
    <x v="3"/>
    <x v="0"/>
    <x v="0"/>
    <x v="1"/>
    <n v="70.2"/>
    <x v="253"/>
    <x v="1"/>
  </r>
  <r>
    <x v="718"/>
    <x v="1"/>
    <n v="5.2"/>
    <x v="248"/>
    <n v="5.9"/>
    <x v="1"/>
    <x v="0"/>
    <x v="0"/>
    <x v="0"/>
    <n v="47"/>
    <x v="267"/>
    <x v="0"/>
  </r>
  <r>
    <x v="719"/>
    <x v="1"/>
    <n v="1.9"/>
    <x v="1"/>
    <n v="7.2"/>
    <x v="0"/>
    <x v="0"/>
    <x v="0"/>
    <x v="1"/>
    <n v="52.3"/>
    <x v="177"/>
    <x v="3"/>
  </r>
  <r>
    <x v="720"/>
    <x v="1"/>
    <n v="4.4000000000000004"/>
    <x v="193"/>
    <n v="5.2"/>
    <x v="1"/>
    <x v="0"/>
    <x v="0"/>
    <x v="0"/>
    <n v="74"/>
    <x v="2"/>
    <x v="1"/>
  </r>
  <r>
    <x v="721"/>
    <x v="0"/>
    <n v="1.9"/>
    <x v="264"/>
    <n v="7.5"/>
    <x v="3"/>
    <x v="0"/>
    <x v="1"/>
    <x v="0"/>
    <n v="61.2"/>
    <x v="308"/>
    <x v="3"/>
  </r>
  <r>
    <x v="722"/>
    <x v="1"/>
    <n v="2.6"/>
    <x v="173"/>
    <n v="7.3"/>
    <x v="0"/>
    <x v="1"/>
    <x v="0"/>
    <x v="0"/>
    <n v="82.7"/>
    <x v="185"/>
    <x v="2"/>
  </r>
  <r>
    <x v="723"/>
    <x v="0"/>
    <n v="6.4"/>
    <x v="294"/>
    <n v="4.5999999999999996"/>
    <x v="0"/>
    <x v="0"/>
    <x v="0"/>
    <x v="1"/>
    <n v="81.599999999999994"/>
    <x v="193"/>
    <x v="0"/>
  </r>
  <r>
    <x v="724"/>
    <x v="0"/>
    <n v="3.2"/>
    <x v="202"/>
    <n v="5.4"/>
    <x v="1"/>
    <x v="0"/>
    <x v="0"/>
    <x v="0"/>
    <n v="78.599999999999994"/>
    <x v="226"/>
    <x v="1"/>
  </r>
  <r>
    <x v="725"/>
    <x v="0"/>
    <n v="3.8"/>
    <x v="230"/>
    <n v="6.5"/>
    <x v="1"/>
    <x v="0"/>
    <x v="1"/>
    <x v="0"/>
    <n v="91.8"/>
    <x v="0"/>
    <x v="0"/>
  </r>
  <r>
    <x v="726"/>
    <x v="0"/>
    <n v="4.8"/>
    <x v="218"/>
    <n v="6.4"/>
    <x v="1"/>
    <x v="0"/>
    <x v="0"/>
    <x v="0"/>
    <n v="69"/>
    <x v="175"/>
    <x v="0"/>
  </r>
  <r>
    <x v="727"/>
    <x v="0"/>
    <n v="4.2"/>
    <x v="118"/>
    <n v="5.3"/>
    <x v="1"/>
    <x v="0"/>
    <x v="0"/>
    <x v="0"/>
    <n v="77.8"/>
    <x v="6"/>
    <x v="1"/>
  </r>
  <r>
    <x v="728"/>
    <x v="0"/>
    <n v="3.7"/>
    <x v="134"/>
    <n v="7.3"/>
    <x v="0"/>
    <x v="0"/>
    <x v="0"/>
    <x v="0"/>
    <n v="63"/>
    <x v="253"/>
    <x v="1"/>
  </r>
  <r>
    <x v="729"/>
    <x v="1"/>
    <n v="4"/>
    <x v="290"/>
    <n v="7.1"/>
    <x v="4"/>
    <x v="0"/>
    <x v="1"/>
    <x v="0"/>
    <n v="99.4"/>
    <x v="242"/>
    <x v="0"/>
  </r>
  <r>
    <x v="730"/>
    <x v="0"/>
    <n v="7.1"/>
    <x v="102"/>
    <n v="6.6"/>
    <x v="3"/>
    <x v="0"/>
    <x v="1"/>
    <x v="0"/>
    <n v="93.8"/>
    <x v="0"/>
    <x v="0"/>
  </r>
  <r>
    <x v="731"/>
    <x v="0"/>
    <n v="3.4"/>
    <x v="239"/>
    <n v="5.9"/>
    <x v="0"/>
    <x v="1"/>
    <x v="1"/>
    <x v="0"/>
    <n v="70.099999999999994"/>
    <x v="253"/>
    <x v="1"/>
  </r>
  <r>
    <x v="732"/>
    <x v="0"/>
    <n v="3.8"/>
    <x v="299"/>
    <n v="8.1"/>
    <x v="2"/>
    <x v="1"/>
    <x v="1"/>
    <x v="0"/>
    <n v="74.599999999999994"/>
    <x v="8"/>
    <x v="3"/>
  </r>
  <r>
    <x v="733"/>
    <x v="1"/>
    <n v="5.0999999999999996"/>
    <x v="94"/>
    <n v="8.8000000000000007"/>
    <x v="3"/>
    <x v="0"/>
    <x v="1"/>
    <x v="0"/>
    <n v="86.3"/>
    <x v="79"/>
    <x v="0"/>
  </r>
  <r>
    <x v="734"/>
    <x v="1"/>
    <n v="5.2"/>
    <x v="1"/>
    <n v="6.2"/>
    <x v="2"/>
    <x v="0"/>
    <x v="1"/>
    <x v="1"/>
    <n v="68.2"/>
    <x v="143"/>
    <x v="3"/>
  </r>
  <r>
    <x v="735"/>
    <x v="0"/>
    <n v="5.3"/>
    <x v="85"/>
    <n v="6.1"/>
    <x v="0"/>
    <x v="0"/>
    <x v="0"/>
    <x v="0"/>
    <n v="62.1"/>
    <x v="309"/>
    <x v="0"/>
  </r>
  <r>
    <x v="736"/>
    <x v="1"/>
    <n v="4.5"/>
    <x v="131"/>
    <n v="7.4"/>
    <x v="1"/>
    <x v="1"/>
    <x v="0"/>
    <x v="0"/>
    <n v="80.5"/>
    <x v="282"/>
    <x v="0"/>
  </r>
  <r>
    <x v="737"/>
    <x v="0"/>
    <n v="1.8"/>
    <x v="195"/>
    <n v="6.4"/>
    <x v="1"/>
    <x v="0"/>
    <x v="1"/>
    <x v="1"/>
    <n v="70.900000000000006"/>
    <x v="255"/>
    <x v="2"/>
  </r>
  <r>
    <x v="738"/>
    <x v="0"/>
    <n v="6"/>
    <x v="53"/>
    <n v="6.6"/>
    <x v="3"/>
    <x v="0"/>
    <x v="0"/>
    <x v="0"/>
    <n v="72.2"/>
    <x v="202"/>
    <x v="0"/>
  </r>
  <r>
    <x v="739"/>
    <x v="1"/>
    <n v="1.8"/>
    <x v="189"/>
    <n v="7.7"/>
    <x v="1"/>
    <x v="0"/>
    <x v="0"/>
    <x v="0"/>
    <n v="60"/>
    <x v="44"/>
    <x v="1"/>
  </r>
  <r>
    <x v="740"/>
    <x v="0"/>
    <n v="4"/>
    <x v="194"/>
    <n v="4.5"/>
    <x v="1"/>
    <x v="0"/>
    <x v="1"/>
    <x v="0"/>
    <n v="49.4"/>
    <x v="310"/>
    <x v="2"/>
  </r>
  <r>
    <x v="741"/>
    <x v="1"/>
    <n v="2.4"/>
    <x v="199"/>
    <n v="8.4"/>
    <x v="0"/>
    <x v="0"/>
    <x v="0"/>
    <x v="0"/>
    <n v="72.8"/>
    <x v="183"/>
    <x v="0"/>
  </r>
  <r>
    <x v="742"/>
    <x v="1"/>
    <n v="3.4"/>
    <x v="16"/>
    <n v="6.9"/>
    <x v="0"/>
    <x v="0"/>
    <x v="1"/>
    <x v="1"/>
    <n v="80.900000000000006"/>
    <x v="253"/>
    <x v="1"/>
  </r>
  <r>
    <x v="743"/>
    <x v="0"/>
    <n v="4"/>
    <x v="16"/>
    <n v="6.3"/>
    <x v="0"/>
    <x v="0"/>
    <x v="1"/>
    <x v="1"/>
    <n v="67.3"/>
    <x v="28"/>
    <x v="1"/>
  </r>
  <r>
    <x v="744"/>
    <x v="0"/>
    <n v="4"/>
    <x v="67"/>
    <n v="6.7"/>
    <x v="1"/>
    <x v="0"/>
    <x v="0"/>
    <x v="0"/>
    <n v="87.2"/>
    <x v="33"/>
    <x v="1"/>
  </r>
  <r>
    <x v="745"/>
    <x v="1"/>
    <n v="4.0999999999999996"/>
    <x v="53"/>
    <n v="6.8"/>
    <x v="0"/>
    <x v="0"/>
    <x v="1"/>
    <x v="1"/>
    <n v="61.6"/>
    <x v="186"/>
    <x v="1"/>
  </r>
  <r>
    <x v="746"/>
    <x v="0"/>
    <n v="5.9"/>
    <x v="60"/>
    <n v="4.7"/>
    <x v="0"/>
    <x v="0"/>
    <x v="0"/>
    <x v="1"/>
    <n v="57.3"/>
    <x v="0"/>
    <x v="0"/>
  </r>
  <r>
    <x v="747"/>
    <x v="0"/>
    <n v="4.2"/>
    <x v="51"/>
    <n v="8.6"/>
    <x v="2"/>
    <x v="1"/>
    <x v="0"/>
    <x v="0"/>
    <n v="69.2"/>
    <x v="283"/>
    <x v="0"/>
  </r>
  <r>
    <x v="748"/>
    <x v="0"/>
    <n v="3.1"/>
    <x v="180"/>
    <n v="6.8"/>
    <x v="3"/>
    <x v="0"/>
    <x v="0"/>
    <x v="0"/>
    <n v="69"/>
    <x v="311"/>
    <x v="3"/>
  </r>
  <r>
    <x v="749"/>
    <x v="1"/>
    <n v="4.9000000000000004"/>
    <x v="300"/>
    <n v="7.3"/>
    <x v="2"/>
    <x v="1"/>
    <x v="1"/>
    <x v="0"/>
    <n v="79.2"/>
    <x v="219"/>
    <x v="0"/>
  </r>
  <r>
    <x v="750"/>
    <x v="1"/>
    <n v="5.3"/>
    <x v="270"/>
    <n v="7.9"/>
    <x v="3"/>
    <x v="0"/>
    <x v="1"/>
    <x v="0"/>
    <n v="60.7"/>
    <x v="252"/>
    <x v="1"/>
  </r>
  <r>
    <x v="751"/>
    <x v="0"/>
    <n v="1.7"/>
    <x v="1"/>
    <n v="5.6"/>
    <x v="0"/>
    <x v="0"/>
    <x v="0"/>
    <x v="1"/>
    <n v="86.4"/>
    <x v="312"/>
    <x v="0"/>
  </r>
  <r>
    <x v="752"/>
    <x v="1"/>
    <n v="4.4000000000000004"/>
    <x v="286"/>
    <n v="7.4"/>
    <x v="1"/>
    <x v="0"/>
    <x v="1"/>
    <x v="1"/>
    <n v="93.6"/>
    <x v="233"/>
    <x v="0"/>
  </r>
  <r>
    <x v="753"/>
    <x v="1"/>
    <n v="4.5999999999999996"/>
    <x v="301"/>
    <n v="6.5"/>
    <x v="3"/>
    <x v="0"/>
    <x v="0"/>
    <x v="0"/>
    <n v="69.5"/>
    <x v="140"/>
    <x v="2"/>
  </r>
  <r>
    <x v="754"/>
    <x v="1"/>
    <n v="3.1"/>
    <x v="243"/>
    <n v="7.8"/>
    <x v="0"/>
    <x v="0"/>
    <x v="1"/>
    <x v="0"/>
    <n v="85"/>
    <x v="141"/>
    <x v="1"/>
  </r>
  <r>
    <x v="755"/>
    <x v="1"/>
    <n v="5.6"/>
    <x v="302"/>
    <n v="4.2"/>
    <x v="0"/>
    <x v="0"/>
    <x v="0"/>
    <x v="1"/>
    <n v="57.3"/>
    <x v="27"/>
    <x v="1"/>
  </r>
  <r>
    <x v="756"/>
    <x v="1"/>
    <n v="3.3"/>
    <x v="183"/>
    <n v="6.7"/>
    <x v="0"/>
    <x v="0"/>
    <x v="1"/>
    <x v="0"/>
    <n v="82.9"/>
    <x v="313"/>
    <x v="0"/>
  </r>
  <r>
    <x v="757"/>
    <x v="0"/>
    <n v="3.7"/>
    <x v="54"/>
    <n v="6.1"/>
    <x v="0"/>
    <x v="0"/>
    <x v="0"/>
    <x v="1"/>
    <n v="82.6"/>
    <x v="314"/>
    <x v="1"/>
  </r>
  <r>
    <x v="758"/>
    <x v="0"/>
    <n v="3.2"/>
    <x v="35"/>
    <n v="7.3"/>
    <x v="1"/>
    <x v="0"/>
    <x v="0"/>
    <x v="0"/>
    <n v="80.400000000000006"/>
    <x v="74"/>
    <x v="1"/>
  </r>
  <r>
    <x v="759"/>
    <x v="0"/>
    <n v="3.5"/>
    <x v="129"/>
    <n v="7.4"/>
    <x v="0"/>
    <x v="1"/>
    <x v="0"/>
    <x v="1"/>
    <n v="69.8"/>
    <x v="229"/>
    <x v="3"/>
  </r>
  <r>
    <x v="760"/>
    <x v="1"/>
    <n v="1.9"/>
    <x v="217"/>
    <n v="6"/>
    <x v="1"/>
    <x v="0"/>
    <x v="1"/>
    <x v="1"/>
    <n v="34.5"/>
    <x v="315"/>
    <x v="4"/>
  </r>
  <r>
    <x v="761"/>
    <x v="1"/>
    <n v="1.3"/>
    <x v="125"/>
    <n v="5.9"/>
    <x v="3"/>
    <x v="1"/>
    <x v="0"/>
    <x v="1"/>
    <n v="62.3"/>
    <x v="88"/>
    <x v="3"/>
  </r>
  <r>
    <x v="762"/>
    <x v="0"/>
    <n v="5.9"/>
    <x v="122"/>
    <n v="6.7"/>
    <x v="1"/>
    <x v="0"/>
    <x v="1"/>
    <x v="0"/>
    <n v="62.5"/>
    <x v="169"/>
    <x v="0"/>
  </r>
  <r>
    <x v="763"/>
    <x v="1"/>
    <n v="2.2000000000000002"/>
    <x v="303"/>
    <n v="5.7"/>
    <x v="1"/>
    <x v="0"/>
    <x v="0"/>
    <x v="0"/>
    <n v="58.3"/>
    <x v="150"/>
    <x v="1"/>
  </r>
  <r>
    <x v="764"/>
    <x v="0"/>
    <n v="2"/>
    <x v="157"/>
    <n v="7.8"/>
    <x v="0"/>
    <x v="0"/>
    <x v="0"/>
    <x v="0"/>
    <n v="71.5"/>
    <x v="248"/>
    <x v="1"/>
  </r>
  <r>
    <x v="765"/>
    <x v="0"/>
    <n v="0.5"/>
    <x v="1"/>
    <n v="6.4"/>
    <x v="3"/>
    <x v="0"/>
    <x v="0"/>
    <x v="0"/>
    <n v="65"/>
    <x v="32"/>
    <x v="1"/>
  </r>
  <r>
    <x v="766"/>
    <x v="0"/>
    <n v="2.5"/>
    <x v="53"/>
    <n v="3.3"/>
    <x v="0"/>
    <x v="0"/>
    <x v="1"/>
    <x v="0"/>
    <n v="60.1"/>
    <x v="176"/>
    <x v="1"/>
  </r>
  <r>
    <x v="767"/>
    <x v="1"/>
    <n v="1.5"/>
    <x v="241"/>
    <n v="6.4"/>
    <x v="1"/>
    <x v="0"/>
    <x v="0"/>
    <x v="1"/>
    <n v="57.3"/>
    <x v="21"/>
    <x v="3"/>
  </r>
  <r>
    <x v="768"/>
    <x v="1"/>
    <n v="6"/>
    <x v="304"/>
    <n v="5.6"/>
    <x v="0"/>
    <x v="0"/>
    <x v="1"/>
    <x v="0"/>
    <n v="61.4"/>
    <x v="302"/>
    <x v="1"/>
  </r>
  <r>
    <x v="769"/>
    <x v="0"/>
    <n v="5"/>
    <x v="219"/>
    <n v="4.8"/>
    <x v="1"/>
    <x v="0"/>
    <x v="1"/>
    <x v="0"/>
    <n v="83.5"/>
    <x v="316"/>
    <x v="0"/>
  </r>
  <r>
    <x v="770"/>
    <x v="0"/>
    <n v="2.5"/>
    <x v="305"/>
    <n v="5.3"/>
    <x v="2"/>
    <x v="0"/>
    <x v="1"/>
    <x v="0"/>
    <n v="62.1"/>
    <x v="11"/>
    <x v="1"/>
  </r>
  <r>
    <x v="771"/>
    <x v="0"/>
    <n v="6.9"/>
    <x v="20"/>
    <n v="6.9"/>
    <x v="2"/>
    <x v="0"/>
    <x v="0"/>
    <x v="1"/>
    <n v="63.8"/>
    <x v="34"/>
    <x v="0"/>
  </r>
  <r>
    <x v="772"/>
    <x v="0"/>
    <n v="5"/>
    <x v="169"/>
    <n v="8.4"/>
    <x v="0"/>
    <x v="0"/>
    <x v="1"/>
    <x v="0"/>
    <n v="64.5"/>
    <x v="309"/>
    <x v="0"/>
  </r>
  <r>
    <x v="773"/>
    <x v="1"/>
    <n v="3"/>
    <x v="23"/>
    <n v="7.2"/>
    <x v="1"/>
    <x v="0"/>
    <x v="1"/>
    <x v="1"/>
    <n v="74.099999999999994"/>
    <x v="48"/>
    <x v="1"/>
  </r>
  <r>
    <x v="774"/>
    <x v="1"/>
    <n v="0.5"/>
    <x v="255"/>
    <n v="6.1"/>
    <x v="3"/>
    <x v="0"/>
    <x v="0"/>
    <x v="0"/>
    <n v="75.5"/>
    <x v="92"/>
    <x v="3"/>
  </r>
  <r>
    <x v="775"/>
    <x v="0"/>
    <n v="6.9"/>
    <x v="269"/>
    <n v="7.3"/>
    <x v="1"/>
    <x v="0"/>
    <x v="1"/>
    <x v="1"/>
    <n v="33.5"/>
    <x v="42"/>
    <x v="1"/>
  </r>
  <r>
    <x v="776"/>
    <x v="0"/>
    <n v="1.4"/>
    <x v="211"/>
    <n v="6.2"/>
    <x v="0"/>
    <x v="0"/>
    <x v="0"/>
    <x v="0"/>
    <n v="82.3"/>
    <x v="277"/>
    <x v="3"/>
  </r>
  <r>
    <x v="777"/>
    <x v="1"/>
    <n v="1"/>
    <x v="185"/>
    <n v="6"/>
    <x v="1"/>
    <x v="0"/>
    <x v="0"/>
    <x v="0"/>
    <n v="87.2"/>
    <x v="98"/>
    <x v="0"/>
  </r>
  <r>
    <x v="778"/>
    <x v="1"/>
    <n v="5"/>
    <x v="1"/>
    <n v="5.4"/>
    <x v="2"/>
    <x v="0"/>
    <x v="0"/>
    <x v="0"/>
    <n v="57.4"/>
    <x v="104"/>
    <x v="1"/>
  </r>
  <r>
    <x v="779"/>
    <x v="0"/>
    <n v="7.2"/>
    <x v="99"/>
    <n v="4.7"/>
    <x v="1"/>
    <x v="0"/>
    <x v="0"/>
    <x v="0"/>
    <n v="58.3"/>
    <x v="156"/>
    <x v="1"/>
  </r>
  <r>
    <x v="780"/>
    <x v="0"/>
    <n v="5.6"/>
    <x v="146"/>
    <n v="6.3"/>
    <x v="0"/>
    <x v="1"/>
    <x v="0"/>
    <x v="0"/>
    <n v="64.599999999999994"/>
    <x v="228"/>
    <x v="3"/>
  </r>
  <r>
    <x v="781"/>
    <x v="0"/>
    <n v="4.3"/>
    <x v="304"/>
    <n v="7"/>
    <x v="3"/>
    <x v="0"/>
    <x v="0"/>
    <x v="0"/>
    <n v="60.9"/>
    <x v="68"/>
    <x v="0"/>
  </r>
  <r>
    <x v="782"/>
    <x v="1"/>
    <n v="4.4000000000000004"/>
    <x v="102"/>
    <n v="6.7"/>
    <x v="0"/>
    <x v="0"/>
    <x v="1"/>
    <x v="0"/>
    <n v="72.7"/>
    <x v="313"/>
    <x v="0"/>
  </r>
  <r>
    <x v="783"/>
    <x v="1"/>
    <n v="4.8"/>
    <x v="117"/>
    <n v="6.3"/>
    <x v="1"/>
    <x v="0"/>
    <x v="0"/>
    <x v="0"/>
    <n v="46.6"/>
    <x v="127"/>
    <x v="3"/>
  </r>
  <r>
    <x v="784"/>
    <x v="1"/>
    <n v="4.5999999999999996"/>
    <x v="177"/>
    <n v="5.7"/>
    <x v="2"/>
    <x v="0"/>
    <x v="0"/>
    <x v="0"/>
    <n v="56.6"/>
    <x v="266"/>
    <x v="0"/>
  </r>
  <r>
    <x v="785"/>
    <x v="0"/>
    <n v="3.9"/>
    <x v="97"/>
    <n v="7.5"/>
    <x v="0"/>
    <x v="0"/>
    <x v="0"/>
    <x v="1"/>
    <n v="88.5"/>
    <x v="206"/>
    <x v="0"/>
  </r>
  <r>
    <x v="786"/>
    <x v="0"/>
    <n v="3.7"/>
    <x v="20"/>
    <n v="5.2"/>
    <x v="0"/>
    <x v="0"/>
    <x v="1"/>
    <x v="0"/>
    <n v="58.9"/>
    <x v="311"/>
    <x v="3"/>
  </r>
  <r>
    <x v="787"/>
    <x v="1"/>
    <n v="3.4"/>
    <x v="237"/>
    <n v="7.7"/>
    <x v="1"/>
    <x v="0"/>
    <x v="1"/>
    <x v="0"/>
    <n v="84.9"/>
    <x v="169"/>
    <x v="0"/>
  </r>
  <r>
    <x v="788"/>
    <x v="1"/>
    <n v="2.4"/>
    <x v="31"/>
    <n v="5.6"/>
    <x v="0"/>
    <x v="0"/>
    <x v="1"/>
    <x v="0"/>
    <n v="74.3"/>
    <x v="229"/>
    <x v="3"/>
  </r>
  <r>
    <x v="789"/>
    <x v="0"/>
    <n v="3.1"/>
    <x v="1"/>
    <n v="5.9"/>
    <x v="0"/>
    <x v="0"/>
    <x v="1"/>
    <x v="0"/>
    <n v="48.3"/>
    <x v="223"/>
    <x v="3"/>
  </r>
  <r>
    <x v="790"/>
    <x v="1"/>
    <n v="1"/>
    <x v="283"/>
    <n v="5"/>
    <x v="1"/>
    <x v="0"/>
    <x v="0"/>
    <x v="0"/>
    <n v="77.599999999999994"/>
    <x v="317"/>
    <x v="4"/>
  </r>
  <r>
    <x v="791"/>
    <x v="1"/>
    <n v="3.4"/>
    <x v="8"/>
    <n v="6.2"/>
    <x v="1"/>
    <x v="1"/>
    <x v="1"/>
    <x v="1"/>
    <n v="68.599999999999994"/>
    <x v="231"/>
    <x v="2"/>
  </r>
  <r>
    <x v="792"/>
    <x v="0"/>
    <n v="2"/>
    <x v="1"/>
    <n v="8"/>
    <x v="3"/>
    <x v="0"/>
    <x v="0"/>
    <x v="1"/>
    <n v="64.5"/>
    <x v="153"/>
    <x v="0"/>
  </r>
  <r>
    <x v="793"/>
    <x v="1"/>
    <n v="1.8"/>
    <x v="70"/>
    <n v="7.4"/>
    <x v="1"/>
    <x v="0"/>
    <x v="0"/>
    <x v="1"/>
    <n v="72.900000000000006"/>
    <x v="111"/>
    <x v="1"/>
  </r>
  <r>
    <x v="794"/>
    <x v="0"/>
    <n v="3.8"/>
    <x v="94"/>
    <n v="8"/>
    <x v="1"/>
    <x v="0"/>
    <x v="1"/>
    <x v="0"/>
    <n v="75.7"/>
    <x v="33"/>
    <x v="1"/>
  </r>
  <r>
    <x v="795"/>
    <x v="0"/>
    <n v="5.6"/>
    <x v="30"/>
    <n v="7.4"/>
    <x v="0"/>
    <x v="0"/>
    <x v="0"/>
    <x v="0"/>
    <n v="78.5"/>
    <x v="0"/>
    <x v="0"/>
  </r>
  <r>
    <x v="796"/>
    <x v="0"/>
    <n v="4.9000000000000004"/>
    <x v="157"/>
    <n v="5.5"/>
    <x v="3"/>
    <x v="0"/>
    <x v="1"/>
    <x v="0"/>
    <n v="84.1"/>
    <x v="154"/>
    <x v="0"/>
  </r>
  <r>
    <x v="797"/>
    <x v="0"/>
    <n v="1.1000000000000001"/>
    <x v="158"/>
    <n v="6.4"/>
    <x v="1"/>
    <x v="0"/>
    <x v="1"/>
    <x v="0"/>
    <n v="74.900000000000006"/>
    <x v="24"/>
    <x v="3"/>
  </r>
  <r>
    <x v="798"/>
    <x v="0"/>
    <n v="2"/>
    <x v="306"/>
    <n v="5.9"/>
    <x v="0"/>
    <x v="0"/>
    <x v="0"/>
    <x v="1"/>
    <n v="53.5"/>
    <x v="296"/>
    <x v="2"/>
  </r>
  <r>
    <x v="799"/>
    <x v="0"/>
    <n v="4.9000000000000004"/>
    <x v="1"/>
    <n v="8.4"/>
    <x v="1"/>
    <x v="0"/>
    <x v="0"/>
    <x v="0"/>
    <n v="64.3"/>
    <x v="148"/>
    <x v="0"/>
  </r>
  <r>
    <x v="800"/>
    <x v="0"/>
    <n v="2"/>
    <x v="19"/>
    <n v="5.4"/>
    <x v="1"/>
    <x v="0"/>
    <x v="0"/>
    <x v="0"/>
    <n v="100"/>
    <x v="318"/>
    <x v="1"/>
  </r>
  <r>
    <x v="801"/>
    <x v="1"/>
    <n v="3.2"/>
    <x v="130"/>
    <n v="7.9"/>
    <x v="1"/>
    <x v="0"/>
    <x v="1"/>
    <x v="0"/>
    <n v="78.7"/>
    <x v="183"/>
    <x v="0"/>
  </r>
  <r>
    <x v="802"/>
    <x v="0"/>
    <n v="4.3"/>
    <x v="163"/>
    <n v="7.9"/>
    <x v="3"/>
    <x v="0"/>
    <x v="1"/>
    <x v="0"/>
    <n v="98.4"/>
    <x v="0"/>
    <x v="0"/>
  </r>
  <r>
    <x v="803"/>
    <x v="0"/>
    <n v="2"/>
    <x v="51"/>
    <n v="9"/>
    <x v="1"/>
    <x v="0"/>
    <x v="0"/>
    <x v="0"/>
    <n v="86.7"/>
    <x v="60"/>
    <x v="0"/>
  </r>
  <r>
    <x v="804"/>
    <x v="1"/>
    <n v="3.7"/>
    <x v="217"/>
    <n v="6.3"/>
    <x v="1"/>
    <x v="0"/>
    <x v="0"/>
    <x v="0"/>
    <n v="72.900000000000006"/>
    <x v="29"/>
    <x v="1"/>
  </r>
  <r>
    <x v="805"/>
    <x v="1"/>
    <n v="1.5"/>
    <x v="4"/>
    <n v="7.7"/>
    <x v="0"/>
    <x v="0"/>
    <x v="1"/>
    <x v="0"/>
    <n v="73.599999999999994"/>
    <x v="125"/>
    <x v="1"/>
  </r>
  <r>
    <x v="806"/>
    <x v="1"/>
    <n v="2.6"/>
    <x v="1"/>
    <n v="9.5"/>
    <x v="3"/>
    <x v="0"/>
    <x v="1"/>
    <x v="1"/>
    <n v="69.599999999999994"/>
    <x v="235"/>
    <x v="1"/>
  </r>
  <r>
    <x v="807"/>
    <x v="0"/>
    <n v="4"/>
    <x v="141"/>
    <n v="6.1"/>
    <x v="1"/>
    <x v="1"/>
    <x v="0"/>
    <x v="1"/>
    <n v="49.1"/>
    <x v="319"/>
    <x v="4"/>
  </r>
  <r>
    <x v="808"/>
    <x v="1"/>
    <n v="1.1000000000000001"/>
    <x v="179"/>
    <n v="5"/>
    <x v="0"/>
    <x v="0"/>
    <x v="0"/>
    <x v="0"/>
    <n v="70.2"/>
    <x v="8"/>
    <x v="3"/>
  </r>
  <r>
    <x v="809"/>
    <x v="0"/>
    <n v="4.2"/>
    <x v="12"/>
    <n v="4.5"/>
    <x v="1"/>
    <x v="1"/>
    <x v="1"/>
    <x v="0"/>
    <n v="84.5"/>
    <x v="314"/>
    <x v="1"/>
  </r>
  <r>
    <x v="810"/>
    <x v="0"/>
    <n v="3.5"/>
    <x v="149"/>
    <n v="7.7"/>
    <x v="0"/>
    <x v="0"/>
    <x v="0"/>
    <x v="0"/>
    <n v="62.8"/>
    <x v="320"/>
    <x v="1"/>
  </r>
  <r>
    <x v="811"/>
    <x v="0"/>
    <n v="4.3"/>
    <x v="53"/>
    <n v="4.5"/>
    <x v="0"/>
    <x v="0"/>
    <x v="0"/>
    <x v="0"/>
    <n v="74.900000000000006"/>
    <x v="165"/>
    <x v="1"/>
  </r>
  <r>
    <x v="812"/>
    <x v="0"/>
    <n v="3.8"/>
    <x v="24"/>
    <n v="6.4"/>
    <x v="0"/>
    <x v="0"/>
    <x v="1"/>
    <x v="0"/>
    <n v="80.2"/>
    <x v="0"/>
    <x v="0"/>
  </r>
  <r>
    <x v="813"/>
    <x v="1"/>
    <n v="5.5"/>
    <x v="43"/>
    <n v="7.3"/>
    <x v="1"/>
    <x v="1"/>
    <x v="1"/>
    <x v="1"/>
    <n v="59.1"/>
    <x v="221"/>
    <x v="3"/>
  </r>
  <r>
    <x v="814"/>
    <x v="1"/>
    <n v="3.7"/>
    <x v="1"/>
    <n v="7"/>
    <x v="1"/>
    <x v="0"/>
    <x v="0"/>
    <x v="0"/>
    <n v="64.599999999999994"/>
    <x v="218"/>
    <x v="3"/>
  </r>
  <r>
    <x v="815"/>
    <x v="0"/>
    <n v="2.9"/>
    <x v="94"/>
    <n v="7.3"/>
    <x v="1"/>
    <x v="0"/>
    <x v="0"/>
    <x v="0"/>
    <n v="57.8"/>
    <x v="321"/>
    <x v="1"/>
  </r>
  <r>
    <x v="816"/>
    <x v="0"/>
    <n v="3.7"/>
    <x v="16"/>
    <n v="7.1"/>
    <x v="0"/>
    <x v="0"/>
    <x v="0"/>
    <x v="1"/>
    <n v="60.1"/>
    <x v="109"/>
    <x v="1"/>
  </r>
  <r>
    <x v="817"/>
    <x v="0"/>
    <n v="4.3"/>
    <x v="307"/>
    <n v="8.3000000000000007"/>
    <x v="1"/>
    <x v="0"/>
    <x v="0"/>
    <x v="0"/>
    <n v="54.5"/>
    <x v="158"/>
    <x v="1"/>
  </r>
  <r>
    <x v="818"/>
    <x v="1"/>
    <n v="3.6"/>
    <x v="103"/>
    <n v="5.7"/>
    <x v="3"/>
    <x v="0"/>
    <x v="1"/>
    <x v="0"/>
    <n v="59.2"/>
    <x v="58"/>
    <x v="3"/>
  </r>
  <r>
    <x v="819"/>
    <x v="0"/>
    <n v="3.6"/>
    <x v="117"/>
    <n v="6"/>
    <x v="2"/>
    <x v="1"/>
    <x v="0"/>
    <x v="0"/>
    <n v="87"/>
    <x v="209"/>
    <x v="0"/>
  </r>
  <r>
    <x v="820"/>
    <x v="0"/>
    <n v="2.4"/>
    <x v="92"/>
    <n v="5.9"/>
    <x v="2"/>
    <x v="1"/>
    <x v="1"/>
    <x v="0"/>
    <n v="59"/>
    <x v="303"/>
    <x v="2"/>
  </r>
  <r>
    <x v="821"/>
    <x v="1"/>
    <n v="2.5"/>
    <x v="242"/>
    <n v="7.8"/>
    <x v="4"/>
    <x v="0"/>
    <x v="1"/>
    <x v="0"/>
    <n v="71.5"/>
    <x v="245"/>
    <x v="3"/>
  </r>
  <r>
    <x v="822"/>
    <x v="1"/>
    <n v="1.4"/>
    <x v="227"/>
    <n v="7.9"/>
    <x v="0"/>
    <x v="1"/>
    <x v="0"/>
    <x v="0"/>
    <n v="64"/>
    <x v="322"/>
    <x v="3"/>
  </r>
  <r>
    <x v="823"/>
    <x v="0"/>
    <n v="6.1"/>
    <x v="87"/>
    <n v="7.3"/>
    <x v="3"/>
    <x v="0"/>
    <x v="0"/>
    <x v="0"/>
    <n v="84.1"/>
    <x v="0"/>
    <x v="0"/>
  </r>
  <r>
    <x v="824"/>
    <x v="1"/>
    <n v="1.6"/>
    <x v="139"/>
    <n v="8.1999999999999993"/>
    <x v="1"/>
    <x v="0"/>
    <x v="0"/>
    <x v="0"/>
    <n v="85.7"/>
    <x v="285"/>
    <x v="0"/>
  </r>
  <r>
    <x v="825"/>
    <x v="1"/>
    <n v="2.5"/>
    <x v="294"/>
    <n v="5.4"/>
    <x v="0"/>
    <x v="0"/>
    <x v="1"/>
    <x v="1"/>
    <n v="80.400000000000006"/>
    <x v="243"/>
    <x v="1"/>
  </r>
  <r>
    <x v="826"/>
    <x v="0"/>
    <n v="2.4"/>
    <x v="133"/>
    <n v="8.8000000000000007"/>
    <x v="0"/>
    <x v="0"/>
    <x v="1"/>
    <x v="0"/>
    <n v="73.7"/>
    <x v="76"/>
    <x v="1"/>
  </r>
  <r>
    <x v="827"/>
    <x v="1"/>
    <n v="4.8"/>
    <x v="88"/>
    <n v="8.6"/>
    <x v="0"/>
    <x v="1"/>
    <x v="0"/>
    <x v="1"/>
    <n v="67.2"/>
    <x v="61"/>
    <x v="3"/>
  </r>
  <r>
    <x v="828"/>
    <x v="0"/>
    <n v="3.1"/>
    <x v="110"/>
    <n v="7.7"/>
    <x v="3"/>
    <x v="0"/>
    <x v="1"/>
    <x v="1"/>
    <n v="55.7"/>
    <x v="323"/>
    <x v="3"/>
  </r>
  <r>
    <x v="829"/>
    <x v="1"/>
    <n v="5.4"/>
    <x v="27"/>
    <n v="8.9"/>
    <x v="1"/>
    <x v="0"/>
    <x v="1"/>
    <x v="0"/>
    <n v="93.3"/>
    <x v="0"/>
    <x v="0"/>
  </r>
  <r>
    <x v="830"/>
    <x v="0"/>
    <n v="2.5"/>
    <x v="76"/>
    <n v="4.8"/>
    <x v="1"/>
    <x v="0"/>
    <x v="1"/>
    <x v="1"/>
    <n v="60.9"/>
    <x v="19"/>
    <x v="3"/>
  </r>
  <r>
    <x v="831"/>
    <x v="0"/>
    <n v="3.9"/>
    <x v="308"/>
    <n v="6.2"/>
    <x v="2"/>
    <x v="0"/>
    <x v="0"/>
    <x v="0"/>
    <n v="78"/>
    <x v="153"/>
    <x v="0"/>
  </r>
  <r>
    <x v="832"/>
    <x v="0"/>
    <n v="2.2000000000000002"/>
    <x v="1"/>
    <n v="5.9"/>
    <x v="1"/>
    <x v="0"/>
    <x v="0"/>
    <x v="1"/>
    <n v="82.7"/>
    <x v="127"/>
    <x v="3"/>
  </r>
  <r>
    <x v="833"/>
    <x v="1"/>
    <n v="6.7"/>
    <x v="21"/>
    <n v="7.7"/>
    <x v="0"/>
    <x v="1"/>
    <x v="1"/>
    <x v="0"/>
    <n v="63.3"/>
    <x v="274"/>
    <x v="1"/>
  </r>
  <r>
    <x v="834"/>
    <x v="0"/>
    <n v="1.7"/>
    <x v="30"/>
    <n v="5.5"/>
    <x v="2"/>
    <x v="0"/>
    <x v="0"/>
    <x v="1"/>
    <n v="82.5"/>
    <x v="112"/>
    <x v="1"/>
  </r>
  <r>
    <x v="835"/>
    <x v="1"/>
    <n v="4"/>
    <x v="49"/>
    <n v="7.7"/>
    <x v="0"/>
    <x v="0"/>
    <x v="0"/>
    <x v="1"/>
    <n v="79.2"/>
    <x v="33"/>
    <x v="1"/>
  </r>
  <r>
    <x v="836"/>
    <x v="0"/>
    <n v="4.5"/>
    <x v="134"/>
    <n v="8.4"/>
    <x v="0"/>
    <x v="0"/>
    <x v="0"/>
    <x v="1"/>
    <n v="90.7"/>
    <x v="0"/>
    <x v="0"/>
  </r>
  <r>
    <x v="837"/>
    <x v="0"/>
    <n v="4.0999999999999996"/>
    <x v="157"/>
    <n v="7.6"/>
    <x v="1"/>
    <x v="0"/>
    <x v="0"/>
    <x v="0"/>
    <n v="64.400000000000006"/>
    <x v="124"/>
    <x v="1"/>
  </r>
  <r>
    <x v="838"/>
    <x v="1"/>
    <n v="3.2"/>
    <x v="49"/>
    <n v="7.1"/>
    <x v="1"/>
    <x v="0"/>
    <x v="0"/>
    <x v="0"/>
    <n v="54.6"/>
    <x v="244"/>
    <x v="1"/>
  </r>
  <r>
    <x v="839"/>
    <x v="0"/>
    <n v="3.3"/>
    <x v="184"/>
    <n v="5.6"/>
    <x v="4"/>
    <x v="0"/>
    <x v="1"/>
    <x v="1"/>
    <n v="63.9"/>
    <x v="290"/>
    <x v="1"/>
  </r>
  <r>
    <x v="840"/>
    <x v="0"/>
    <n v="3.6"/>
    <x v="293"/>
    <n v="5.8"/>
    <x v="0"/>
    <x v="0"/>
    <x v="0"/>
    <x v="0"/>
    <n v="72.5"/>
    <x v="42"/>
    <x v="1"/>
  </r>
  <r>
    <x v="841"/>
    <x v="1"/>
    <n v="3.3"/>
    <x v="116"/>
    <n v="8.3000000000000007"/>
    <x v="0"/>
    <x v="0"/>
    <x v="0"/>
    <x v="0"/>
    <n v="70.7"/>
    <x v="37"/>
    <x v="3"/>
  </r>
  <r>
    <x v="842"/>
    <x v="0"/>
    <n v="4.9000000000000004"/>
    <x v="96"/>
    <n v="7.7"/>
    <x v="1"/>
    <x v="0"/>
    <x v="1"/>
    <x v="0"/>
    <n v="65.3"/>
    <x v="57"/>
    <x v="1"/>
  </r>
  <r>
    <x v="843"/>
    <x v="0"/>
    <n v="6.8"/>
    <x v="309"/>
    <n v="6.8"/>
    <x v="1"/>
    <x v="0"/>
    <x v="0"/>
    <x v="0"/>
    <n v="47.1"/>
    <x v="109"/>
    <x v="1"/>
  </r>
  <r>
    <x v="844"/>
    <x v="0"/>
    <n v="2.7"/>
    <x v="5"/>
    <n v="6.3"/>
    <x v="2"/>
    <x v="0"/>
    <x v="0"/>
    <x v="0"/>
    <n v="75.599999999999994"/>
    <x v="109"/>
    <x v="1"/>
  </r>
  <r>
    <x v="845"/>
    <x v="0"/>
    <n v="1.4"/>
    <x v="138"/>
    <n v="4.4000000000000004"/>
    <x v="0"/>
    <x v="0"/>
    <x v="1"/>
    <x v="1"/>
    <n v="93.7"/>
    <x v="41"/>
    <x v="1"/>
  </r>
  <r>
    <x v="846"/>
    <x v="1"/>
    <n v="3.4"/>
    <x v="33"/>
    <n v="5.5"/>
    <x v="0"/>
    <x v="0"/>
    <x v="1"/>
    <x v="0"/>
    <n v="75.599999999999994"/>
    <x v="324"/>
    <x v="2"/>
  </r>
  <r>
    <x v="847"/>
    <x v="1"/>
    <n v="7.4"/>
    <x v="310"/>
    <n v="9.1"/>
    <x v="1"/>
    <x v="1"/>
    <x v="1"/>
    <x v="0"/>
    <n v="77.3"/>
    <x v="0"/>
    <x v="0"/>
  </r>
  <r>
    <x v="848"/>
    <x v="0"/>
    <n v="2.2999999999999998"/>
    <x v="311"/>
    <n v="5.3"/>
    <x v="3"/>
    <x v="0"/>
    <x v="1"/>
    <x v="0"/>
    <n v="76.900000000000006"/>
    <x v="55"/>
    <x v="1"/>
  </r>
  <r>
    <x v="849"/>
    <x v="1"/>
    <n v="6"/>
    <x v="44"/>
    <n v="7"/>
    <x v="2"/>
    <x v="0"/>
    <x v="0"/>
    <x v="1"/>
    <n v="74.8"/>
    <x v="0"/>
    <x v="0"/>
  </r>
  <r>
    <x v="850"/>
    <x v="0"/>
    <n v="6"/>
    <x v="70"/>
    <n v="8"/>
    <x v="0"/>
    <x v="0"/>
    <x v="1"/>
    <x v="1"/>
    <n v="81.2"/>
    <x v="258"/>
    <x v="0"/>
  </r>
  <r>
    <x v="851"/>
    <x v="1"/>
    <n v="2.7"/>
    <x v="160"/>
    <n v="5.3"/>
    <x v="1"/>
    <x v="0"/>
    <x v="0"/>
    <x v="0"/>
    <n v="74.7"/>
    <x v="197"/>
    <x v="1"/>
  </r>
  <r>
    <x v="852"/>
    <x v="0"/>
    <n v="4.4000000000000004"/>
    <x v="254"/>
    <n v="7"/>
    <x v="0"/>
    <x v="0"/>
    <x v="1"/>
    <x v="0"/>
    <n v="66.2"/>
    <x v="254"/>
    <x v="1"/>
  </r>
  <r>
    <x v="853"/>
    <x v="0"/>
    <n v="5.9"/>
    <x v="150"/>
    <n v="7.9"/>
    <x v="3"/>
    <x v="1"/>
    <x v="0"/>
    <x v="0"/>
    <n v="60.4"/>
    <x v="325"/>
    <x v="0"/>
  </r>
  <r>
    <x v="854"/>
    <x v="0"/>
    <n v="2.9"/>
    <x v="164"/>
    <n v="6.8"/>
    <x v="0"/>
    <x v="0"/>
    <x v="1"/>
    <x v="0"/>
    <n v="67"/>
    <x v="217"/>
    <x v="1"/>
  </r>
  <r>
    <x v="855"/>
    <x v="0"/>
    <n v="3.2"/>
    <x v="101"/>
    <n v="10"/>
    <x v="4"/>
    <x v="0"/>
    <x v="1"/>
    <x v="1"/>
    <n v="73.8"/>
    <x v="36"/>
    <x v="3"/>
  </r>
  <r>
    <x v="856"/>
    <x v="0"/>
    <n v="2.6"/>
    <x v="1"/>
    <n v="4.8"/>
    <x v="0"/>
    <x v="0"/>
    <x v="1"/>
    <x v="0"/>
    <n v="66.2"/>
    <x v="225"/>
    <x v="0"/>
  </r>
  <r>
    <x v="857"/>
    <x v="0"/>
    <n v="2"/>
    <x v="137"/>
    <n v="8.1"/>
    <x v="4"/>
    <x v="0"/>
    <x v="0"/>
    <x v="0"/>
    <n v="73.8"/>
    <x v="280"/>
    <x v="3"/>
  </r>
  <r>
    <x v="858"/>
    <x v="1"/>
    <n v="2.5"/>
    <x v="1"/>
    <n v="6.6"/>
    <x v="0"/>
    <x v="0"/>
    <x v="0"/>
    <x v="0"/>
    <n v="75.3"/>
    <x v="14"/>
    <x v="1"/>
  </r>
  <r>
    <x v="859"/>
    <x v="0"/>
    <n v="1.7"/>
    <x v="270"/>
    <n v="7.7"/>
    <x v="1"/>
    <x v="1"/>
    <x v="1"/>
    <x v="1"/>
    <n v="80"/>
    <x v="326"/>
    <x v="2"/>
  </r>
  <r>
    <x v="860"/>
    <x v="1"/>
    <n v="3.6"/>
    <x v="193"/>
    <n v="7.3"/>
    <x v="1"/>
    <x v="0"/>
    <x v="1"/>
    <x v="0"/>
    <n v="85.4"/>
    <x v="174"/>
    <x v="0"/>
  </r>
  <r>
    <x v="861"/>
    <x v="0"/>
    <n v="2.2999999999999998"/>
    <x v="312"/>
    <n v="5.9"/>
    <x v="1"/>
    <x v="0"/>
    <x v="0"/>
    <x v="0"/>
    <n v="70.900000000000006"/>
    <x v="327"/>
    <x v="3"/>
  </r>
  <r>
    <x v="862"/>
    <x v="1"/>
    <n v="3.9"/>
    <x v="94"/>
    <n v="7.1"/>
    <x v="2"/>
    <x v="0"/>
    <x v="1"/>
    <x v="1"/>
    <n v="54.3"/>
    <x v="76"/>
    <x v="1"/>
  </r>
  <r>
    <x v="863"/>
    <x v="1"/>
    <n v="1.2"/>
    <x v="166"/>
    <n v="4.5999999999999996"/>
    <x v="3"/>
    <x v="0"/>
    <x v="1"/>
    <x v="0"/>
    <n v="65.900000000000006"/>
    <x v="21"/>
    <x v="3"/>
  </r>
  <r>
    <x v="864"/>
    <x v="1"/>
    <n v="4"/>
    <x v="69"/>
    <n v="7.5"/>
    <x v="3"/>
    <x v="0"/>
    <x v="0"/>
    <x v="0"/>
    <n v="70.5"/>
    <x v="328"/>
    <x v="1"/>
  </r>
  <r>
    <x v="865"/>
    <x v="0"/>
    <n v="4.8"/>
    <x v="1"/>
    <n v="7.2"/>
    <x v="1"/>
    <x v="0"/>
    <x v="1"/>
    <x v="1"/>
    <n v="48"/>
    <x v="27"/>
    <x v="1"/>
  </r>
  <r>
    <x v="866"/>
    <x v="0"/>
    <n v="0.5"/>
    <x v="313"/>
    <n v="7.6"/>
    <x v="1"/>
    <x v="0"/>
    <x v="0"/>
    <x v="0"/>
    <n v="86.7"/>
    <x v="41"/>
    <x v="1"/>
  </r>
  <r>
    <x v="867"/>
    <x v="1"/>
    <n v="4.0999999999999996"/>
    <x v="260"/>
    <n v="8.1"/>
    <x v="3"/>
    <x v="0"/>
    <x v="0"/>
    <x v="0"/>
    <n v="71.7"/>
    <x v="34"/>
    <x v="0"/>
  </r>
  <r>
    <x v="868"/>
    <x v="0"/>
    <n v="5.3"/>
    <x v="139"/>
    <n v="7.2"/>
    <x v="0"/>
    <x v="0"/>
    <x v="0"/>
    <x v="0"/>
    <n v="74.599999999999994"/>
    <x v="98"/>
    <x v="0"/>
  </r>
  <r>
    <x v="869"/>
    <x v="1"/>
    <n v="1.7"/>
    <x v="242"/>
    <n v="7"/>
    <x v="1"/>
    <x v="0"/>
    <x v="1"/>
    <x v="0"/>
    <n v="86.4"/>
    <x v="7"/>
    <x v="1"/>
  </r>
  <r>
    <x v="870"/>
    <x v="0"/>
    <n v="6"/>
    <x v="310"/>
    <n v="5.7"/>
    <x v="0"/>
    <x v="0"/>
    <x v="1"/>
    <x v="0"/>
    <n v="62.4"/>
    <x v="148"/>
    <x v="0"/>
  </r>
  <r>
    <x v="871"/>
    <x v="1"/>
    <n v="4.0999999999999996"/>
    <x v="314"/>
    <n v="5.9"/>
    <x v="1"/>
    <x v="0"/>
    <x v="0"/>
    <x v="1"/>
    <n v="76.900000000000006"/>
    <x v="266"/>
    <x v="0"/>
  </r>
  <r>
    <x v="872"/>
    <x v="1"/>
    <n v="2.4"/>
    <x v="315"/>
    <n v="8.1999999999999993"/>
    <x v="1"/>
    <x v="0"/>
    <x v="1"/>
    <x v="0"/>
    <n v="68.7"/>
    <x v="16"/>
    <x v="3"/>
  </r>
  <r>
    <x v="873"/>
    <x v="0"/>
    <n v="3.4"/>
    <x v="147"/>
    <n v="8.5"/>
    <x v="0"/>
    <x v="0"/>
    <x v="1"/>
    <x v="0"/>
    <n v="67.8"/>
    <x v="57"/>
    <x v="1"/>
  </r>
  <r>
    <x v="874"/>
    <x v="1"/>
    <n v="4.3"/>
    <x v="67"/>
    <n v="6.5"/>
    <x v="1"/>
    <x v="0"/>
    <x v="1"/>
    <x v="0"/>
    <n v="60.7"/>
    <x v="329"/>
    <x v="0"/>
  </r>
  <r>
    <x v="875"/>
    <x v="0"/>
    <n v="3.6"/>
    <x v="48"/>
    <n v="6.9"/>
    <x v="2"/>
    <x v="0"/>
    <x v="0"/>
    <x v="0"/>
    <n v="90"/>
    <x v="330"/>
    <x v="1"/>
  </r>
  <r>
    <x v="876"/>
    <x v="1"/>
    <n v="4.3"/>
    <x v="52"/>
    <n v="5.7"/>
    <x v="1"/>
    <x v="0"/>
    <x v="1"/>
    <x v="1"/>
    <n v="65.5"/>
    <x v="325"/>
    <x v="0"/>
  </r>
  <r>
    <x v="877"/>
    <x v="1"/>
    <n v="2.1"/>
    <x v="151"/>
    <n v="8.1999999999999993"/>
    <x v="1"/>
    <x v="1"/>
    <x v="0"/>
    <x v="0"/>
    <n v="78.400000000000006"/>
    <x v="303"/>
    <x v="2"/>
  </r>
  <r>
    <x v="878"/>
    <x v="0"/>
    <n v="3.8"/>
    <x v="213"/>
    <n v="7.6"/>
    <x v="1"/>
    <x v="0"/>
    <x v="0"/>
    <x v="0"/>
    <n v="47.5"/>
    <x v="61"/>
    <x v="3"/>
  </r>
  <r>
    <x v="879"/>
    <x v="0"/>
    <n v="1.4"/>
    <x v="15"/>
    <n v="9.1"/>
    <x v="3"/>
    <x v="0"/>
    <x v="0"/>
    <x v="1"/>
    <n v="84.2"/>
    <x v="106"/>
    <x v="1"/>
  </r>
  <r>
    <x v="880"/>
    <x v="0"/>
    <n v="3.3"/>
    <x v="316"/>
    <n v="5.7"/>
    <x v="0"/>
    <x v="0"/>
    <x v="0"/>
    <x v="0"/>
    <n v="82.6"/>
    <x v="330"/>
    <x v="1"/>
  </r>
  <r>
    <x v="881"/>
    <x v="1"/>
    <n v="2.1"/>
    <x v="108"/>
    <n v="6.3"/>
    <x v="0"/>
    <x v="0"/>
    <x v="1"/>
    <x v="0"/>
    <n v="71.2"/>
    <x v="248"/>
    <x v="1"/>
  </r>
  <r>
    <x v="882"/>
    <x v="0"/>
    <n v="2.4"/>
    <x v="187"/>
    <n v="7.1"/>
    <x v="1"/>
    <x v="0"/>
    <x v="0"/>
    <x v="0"/>
    <n v="67.3"/>
    <x v="64"/>
    <x v="3"/>
  </r>
  <r>
    <x v="883"/>
    <x v="1"/>
    <n v="5.4"/>
    <x v="97"/>
    <n v="7.6"/>
    <x v="1"/>
    <x v="0"/>
    <x v="1"/>
    <x v="1"/>
    <n v="74.8"/>
    <x v="331"/>
    <x v="0"/>
  </r>
  <r>
    <x v="884"/>
    <x v="1"/>
    <n v="5.0999999999999996"/>
    <x v="198"/>
    <n v="6.5"/>
    <x v="0"/>
    <x v="0"/>
    <x v="0"/>
    <x v="0"/>
    <n v="97.5"/>
    <x v="0"/>
    <x v="0"/>
  </r>
  <r>
    <x v="885"/>
    <x v="0"/>
    <n v="4.4000000000000004"/>
    <x v="105"/>
    <n v="5.8"/>
    <x v="3"/>
    <x v="0"/>
    <x v="0"/>
    <x v="1"/>
    <n v="48.8"/>
    <x v="134"/>
    <x v="3"/>
  </r>
  <r>
    <x v="886"/>
    <x v="0"/>
    <n v="1.9"/>
    <x v="5"/>
    <n v="7.9"/>
    <x v="4"/>
    <x v="0"/>
    <x v="1"/>
    <x v="1"/>
    <n v="79.400000000000006"/>
    <x v="227"/>
    <x v="3"/>
  </r>
  <r>
    <x v="887"/>
    <x v="1"/>
    <n v="3"/>
    <x v="2"/>
    <n v="7.7"/>
    <x v="1"/>
    <x v="0"/>
    <x v="1"/>
    <x v="0"/>
    <n v="59.1"/>
    <x v="143"/>
    <x v="3"/>
  </r>
  <r>
    <x v="888"/>
    <x v="1"/>
    <n v="5.3"/>
    <x v="240"/>
    <n v="5.7"/>
    <x v="0"/>
    <x v="0"/>
    <x v="0"/>
    <x v="1"/>
    <n v="69.8"/>
    <x v="158"/>
    <x v="1"/>
  </r>
  <r>
    <x v="889"/>
    <x v="0"/>
    <n v="3.7"/>
    <x v="240"/>
    <n v="8.4"/>
    <x v="2"/>
    <x v="0"/>
    <x v="0"/>
    <x v="1"/>
    <n v="67"/>
    <x v="59"/>
    <x v="3"/>
  </r>
  <r>
    <x v="890"/>
    <x v="0"/>
    <n v="7"/>
    <x v="213"/>
    <n v="8.1999999999999993"/>
    <x v="0"/>
    <x v="0"/>
    <x v="0"/>
    <x v="1"/>
    <n v="64.900000000000006"/>
    <x v="0"/>
    <x v="0"/>
  </r>
  <r>
    <x v="891"/>
    <x v="0"/>
    <n v="4.0999999999999996"/>
    <x v="317"/>
    <n v="7"/>
    <x v="3"/>
    <x v="0"/>
    <x v="0"/>
    <x v="1"/>
    <n v="69.900000000000006"/>
    <x v="85"/>
    <x v="1"/>
  </r>
  <r>
    <x v="892"/>
    <x v="0"/>
    <n v="3.8"/>
    <x v="60"/>
    <n v="6.9"/>
    <x v="1"/>
    <x v="0"/>
    <x v="1"/>
    <x v="1"/>
    <n v="56.4"/>
    <x v="181"/>
    <x v="3"/>
  </r>
  <r>
    <x v="893"/>
    <x v="0"/>
    <n v="3"/>
    <x v="4"/>
    <n v="7.5"/>
    <x v="2"/>
    <x v="1"/>
    <x v="1"/>
    <x v="0"/>
    <n v="82.4"/>
    <x v="58"/>
    <x v="3"/>
  </r>
  <r>
    <x v="894"/>
    <x v="1"/>
    <n v="3.7"/>
    <x v="318"/>
    <n v="5.8"/>
    <x v="3"/>
    <x v="0"/>
    <x v="0"/>
    <x v="1"/>
    <n v="48.5"/>
    <x v="287"/>
    <x v="3"/>
  </r>
  <r>
    <x v="895"/>
    <x v="1"/>
    <n v="3.3"/>
    <x v="5"/>
    <n v="6.8"/>
    <x v="2"/>
    <x v="0"/>
    <x v="1"/>
    <x v="1"/>
    <n v="76.5"/>
    <x v="55"/>
    <x v="1"/>
  </r>
  <r>
    <x v="896"/>
    <x v="1"/>
    <n v="4.5999999999999996"/>
    <x v="15"/>
    <n v="4.2"/>
    <x v="3"/>
    <x v="0"/>
    <x v="1"/>
    <x v="1"/>
    <n v="66.099999999999994"/>
    <x v="174"/>
    <x v="0"/>
  </r>
  <r>
    <x v="897"/>
    <x v="1"/>
    <n v="4.9000000000000004"/>
    <x v="319"/>
    <n v="7.9"/>
    <x v="0"/>
    <x v="0"/>
    <x v="0"/>
    <x v="0"/>
    <n v="55.9"/>
    <x v="280"/>
    <x v="3"/>
  </r>
  <r>
    <x v="898"/>
    <x v="0"/>
    <n v="2.2999999999999998"/>
    <x v="115"/>
    <n v="4.9000000000000004"/>
    <x v="2"/>
    <x v="0"/>
    <x v="0"/>
    <x v="0"/>
    <n v="72.400000000000006"/>
    <x v="220"/>
    <x v="2"/>
  </r>
  <r>
    <x v="899"/>
    <x v="0"/>
    <n v="1.5"/>
    <x v="4"/>
    <n v="8.6"/>
    <x v="1"/>
    <x v="0"/>
    <x v="1"/>
    <x v="0"/>
    <n v="51.3"/>
    <x v="249"/>
    <x v="2"/>
  </r>
  <r>
    <x v="900"/>
    <x v="0"/>
    <n v="0.7"/>
    <x v="85"/>
    <n v="6.4"/>
    <x v="1"/>
    <x v="0"/>
    <x v="1"/>
    <x v="0"/>
    <n v="70.5"/>
    <x v="185"/>
    <x v="2"/>
  </r>
  <r>
    <x v="901"/>
    <x v="1"/>
    <n v="4.3"/>
    <x v="21"/>
    <n v="6.5"/>
    <x v="3"/>
    <x v="0"/>
    <x v="0"/>
    <x v="0"/>
    <n v="52.9"/>
    <x v="197"/>
    <x v="1"/>
  </r>
  <r>
    <x v="902"/>
    <x v="1"/>
    <n v="1.8"/>
    <x v="116"/>
    <n v="6"/>
    <x v="3"/>
    <x v="0"/>
    <x v="0"/>
    <x v="0"/>
    <n v="75.5"/>
    <x v="97"/>
    <x v="3"/>
  </r>
  <r>
    <x v="903"/>
    <x v="0"/>
    <n v="0.5"/>
    <x v="293"/>
    <n v="6.5"/>
    <x v="2"/>
    <x v="1"/>
    <x v="0"/>
    <x v="1"/>
    <n v="58.9"/>
    <x v="249"/>
    <x v="2"/>
  </r>
  <r>
    <x v="904"/>
    <x v="0"/>
    <n v="4.0999999999999996"/>
    <x v="1"/>
    <n v="8.5"/>
    <x v="1"/>
    <x v="0"/>
    <x v="1"/>
    <x v="0"/>
    <n v="64.599999999999994"/>
    <x v="203"/>
    <x v="0"/>
  </r>
  <r>
    <x v="905"/>
    <x v="1"/>
    <n v="7.2"/>
    <x v="210"/>
    <n v="3.8"/>
    <x v="3"/>
    <x v="0"/>
    <x v="0"/>
    <x v="0"/>
    <n v="73.5"/>
    <x v="0"/>
    <x v="0"/>
  </r>
  <r>
    <x v="906"/>
    <x v="1"/>
    <n v="3.5"/>
    <x v="91"/>
    <n v="8.3000000000000007"/>
    <x v="3"/>
    <x v="0"/>
    <x v="0"/>
    <x v="0"/>
    <n v="60.7"/>
    <x v="253"/>
    <x v="1"/>
  </r>
  <r>
    <x v="907"/>
    <x v="0"/>
    <n v="4.8"/>
    <x v="146"/>
    <n v="7.2"/>
    <x v="1"/>
    <x v="0"/>
    <x v="1"/>
    <x v="1"/>
    <n v="69.3"/>
    <x v="244"/>
    <x v="1"/>
  </r>
  <r>
    <x v="908"/>
    <x v="0"/>
    <n v="3.6"/>
    <x v="125"/>
    <n v="5.4"/>
    <x v="0"/>
    <x v="0"/>
    <x v="1"/>
    <x v="0"/>
    <n v="51.8"/>
    <x v="149"/>
    <x v="3"/>
  </r>
  <r>
    <x v="909"/>
    <x v="1"/>
    <n v="3.4"/>
    <x v="136"/>
    <n v="5.5"/>
    <x v="1"/>
    <x v="0"/>
    <x v="1"/>
    <x v="1"/>
    <n v="77.599999999999994"/>
    <x v="118"/>
    <x v="1"/>
  </r>
  <r>
    <x v="910"/>
    <x v="0"/>
    <n v="4.9000000000000004"/>
    <x v="74"/>
    <n v="8.8000000000000007"/>
    <x v="1"/>
    <x v="0"/>
    <x v="0"/>
    <x v="1"/>
    <n v="91.2"/>
    <x v="93"/>
    <x v="0"/>
  </r>
  <r>
    <x v="911"/>
    <x v="0"/>
    <n v="3.1"/>
    <x v="256"/>
    <n v="5.7"/>
    <x v="2"/>
    <x v="0"/>
    <x v="0"/>
    <x v="0"/>
    <n v="100"/>
    <x v="0"/>
    <x v="0"/>
  </r>
  <r>
    <x v="912"/>
    <x v="0"/>
    <n v="3.9"/>
    <x v="72"/>
    <n v="5.4"/>
    <x v="0"/>
    <x v="1"/>
    <x v="0"/>
    <x v="0"/>
    <n v="71.099999999999994"/>
    <x v="125"/>
    <x v="1"/>
  </r>
  <r>
    <x v="913"/>
    <x v="1"/>
    <n v="4"/>
    <x v="224"/>
    <n v="8.1999999999999993"/>
    <x v="3"/>
    <x v="0"/>
    <x v="0"/>
    <x v="0"/>
    <n v="79.5"/>
    <x v="41"/>
    <x v="1"/>
  </r>
  <r>
    <x v="914"/>
    <x v="1"/>
    <n v="2.5"/>
    <x v="320"/>
    <n v="7.2"/>
    <x v="2"/>
    <x v="0"/>
    <x v="1"/>
    <x v="0"/>
    <n v="48.6"/>
    <x v="332"/>
    <x v="3"/>
  </r>
  <r>
    <x v="915"/>
    <x v="1"/>
    <n v="5"/>
    <x v="118"/>
    <n v="5.7"/>
    <x v="0"/>
    <x v="1"/>
    <x v="0"/>
    <x v="1"/>
    <n v="88"/>
    <x v="131"/>
    <x v="1"/>
  </r>
  <r>
    <x v="916"/>
    <x v="1"/>
    <n v="3.2"/>
    <x v="305"/>
    <n v="7.1"/>
    <x v="3"/>
    <x v="0"/>
    <x v="0"/>
    <x v="1"/>
    <n v="79.3"/>
    <x v="78"/>
    <x v="1"/>
  </r>
  <r>
    <x v="917"/>
    <x v="1"/>
    <n v="2.4"/>
    <x v="269"/>
    <n v="5.6"/>
    <x v="0"/>
    <x v="0"/>
    <x v="0"/>
    <x v="1"/>
    <n v="64.2"/>
    <x v="78"/>
    <x v="1"/>
  </r>
  <r>
    <x v="918"/>
    <x v="1"/>
    <n v="4.3"/>
    <x v="1"/>
    <n v="8.1"/>
    <x v="4"/>
    <x v="0"/>
    <x v="0"/>
    <x v="0"/>
    <n v="84.8"/>
    <x v="1"/>
    <x v="0"/>
  </r>
  <r>
    <x v="919"/>
    <x v="1"/>
    <n v="2.2000000000000002"/>
    <x v="1"/>
    <n v="8.1"/>
    <x v="1"/>
    <x v="0"/>
    <x v="1"/>
    <x v="1"/>
    <n v="66.900000000000006"/>
    <x v="264"/>
    <x v="1"/>
  </r>
  <r>
    <x v="920"/>
    <x v="0"/>
    <n v="3.5"/>
    <x v="321"/>
    <n v="7.4"/>
    <x v="2"/>
    <x v="0"/>
    <x v="0"/>
    <x v="1"/>
    <n v="64.5"/>
    <x v="198"/>
    <x v="3"/>
  </r>
  <r>
    <x v="921"/>
    <x v="0"/>
    <n v="3.5"/>
    <x v="157"/>
    <n v="7.2"/>
    <x v="1"/>
    <x v="0"/>
    <x v="0"/>
    <x v="0"/>
    <n v="75.7"/>
    <x v="289"/>
    <x v="0"/>
  </r>
  <r>
    <x v="922"/>
    <x v="0"/>
    <n v="5.0999999999999996"/>
    <x v="322"/>
    <n v="8.9"/>
    <x v="1"/>
    <x v="0"/>
    <x v="0"/>
    <x v="1"/>
    <n v="57.2"/>
    <x v="2"/>
    <x v="1"/>
  </r>
  <r>
    <x v="923"/>
    <x v="0"/>
    <n v="4.2"/>
    <x v="310"/>
    <n v="6.8"/>
    <x v="3"/>
    <x v="0"/>
    <x v="0"/>
    <x v="0"/>
    <n v="82.3"/>
    <x v="202"/>
    <x v="0"/>
  </r>
  <r>
    <x v="924"/>
    <x v="0"/>
    <n v="3.5"/>
    <x v="20"/>
    <n v="5.4"/>
    <x v="0"/>
    <x v="0"/>
    <x v="0"/>
    <x v="0"/>
    <n v="57.3"/>
    <x v="21"/>
    <x v="3"/>
  </r>
  <r>
    <x v="925"/>
    <x v="0"/>
    <n v="4.7"/>
    <x v="1"/>
    <n v="7.3"/>
    <x v="0"/>
    <x v="0"/>
    <x v="1"/>
    <x v="0"/>
    <n v="57.4"/>
    <x v="333"/>
    <x v="0"/>
  </r>
  <r>
    <x v="926"/>
    <x v="0"/>
    <n v="5.6"/>
    <x v="241"/>
    <n v="9.3000000000000007"/>
    <x v="0"/>
    <x v="0"/>
    <x v="1"/>
    <x v="0"/>
    <n v="59.1"/>
    <x v="79"/>
    <x v="0"/>
  </r>
  <r>
    <x v="927"/>
    <x v="1"/>
    <n v="4.3"/>
    <x v="211"/>
    <n v="5.6"/>
    <x v="3"/>
    <x v="0"/>
    <x v="1"/>
    <x v="0"/>
    <n v="79.099999999999994"/>
    <x v="283"/>
    <x v="0"/>
  </r>
  <r>
    <x v="928"/>
    <x v="1"/>
    <n v="3.5"/>
    <x v="60"/>
    <n v="6.4"/>
    <x v="1"/>
    <x v="0"/>
    <x v="1"/>
    <x v="1"/>
    <n v="62.6"/>
    <x v="223"/>
    <x v="3"/>
  </r>
  <r>
    <x v="929"/>
    <x v="0"/>
    <n v="1.5"/>
    <x v="74"/>
    <n v="7.3"/>
    <x v="1"/>
    <x v="0"/>
    <x v="1"/>
    <x v="0"/>
    <n v="53.8"/>
    <x v="55"/>
    <x v="1"/>
  </r>
  <r>
    <x v="930"/>
    <x v="0"/>
    <n v="1.9"/>
    <x v="188"/>
    <n v="6.7"/>
    <x v="1"/>
    <x v="0"/>
    <x v="1"/>
    <x v="0"/>
    <n v="62.7"/>
    <x v="201"/>
    <x v="3"/>
  </r>
  <r>
    <x v="931"/>
    <x v="1"/>
    <n v="3"/>
    <x v="219"/>
    <n v="5.6"/>
    <x v="0"/>
    <x v="0"/>
    <x v="0"/>
    <x v="1"/>
    <n v="69.599999999999994"/>
    <x v="120"/>
    <x v="2"/>
  </r>
  <r>
    <x v="932"/>
    <x v="0"/>
    <n v="2.6"/>
    <x v="82"/>
    <n v="8.1"/>
    <x v="1"/>
    <x v="0"/>
    <x v="0"/>
    <x v="1"/>
    <n v="55.8"/>
    <x v="35"/>
    <x v="3"/>
  </r>
  <r>
    <x v="933"/>
    <x v="0"/>
    <n v="3.2"/>
    <x v="34"/>
    <n v="9.6"/>
    <x v="0"/>
    <x v="0"/>
    <x v="0"/>
    <x v="0"/>
    <n v="56.2"/>
    <x v="75"/>
    <x v="3"/>
  </r>
  <r>
    <x v="934"/>
    <x v="1"/>
    <n v="3.6"/>
    <x v="67"/>
    <n v="7"/>
    <x v="0"/>
    <x v="0"/>
    <x v="1"/>
    <x v="0"/>
    <n v="95.3"/>
    <x v="0"/>
    <x v="0"/>
  </r>
  <r>
    <x v="935"/>
    <x v="0"/>
    <n v="4.3"/>
    <x v="85"/>
    <n v="5.7"/>
    <x v="1"/>
    <x v="0"/>
    <x v="1"/>
    <x v="0"/>
    <n v="59.7"/>
    <x v="186"/>
    <x v="1"/>
  </r>
  <r>
    <x v="936"/>
    <x v="1"/>
    <n v="3.4"/>
    <x v="4"/>
    <n v="4.9000000000000004"/>
    <x v="0"/>
    <x v="0"/>
    <x v="1"/>
    <x v="0"/>
    <n v="66.099999999999994"/>
    <x v="106"/>
    <x v="1"/>
  </r>
  <r>
    <x v="937"/>
    <x v="0"/>
    <n v="4.2"/>
    <x v="1"/>
    <n v="7.1"/>
    <x v="4"/>
    <x v="1"/>
    <x v="0"/>
    <x v="1"/>
    <n v="65.599999999999994"/>
    <x v="202"/>
    <x v="0"/>
  </r>
  <r>
    <x v="938"/>
    <x v="1"/>
    <n v="3.6"/>
    <x v="260"/>
    <n v="8.1"/>
    <x v="1"/>
    <x v="0"/>
    <x v="1"/>
    <x v="0"/>
    <n v="64.900000000000006"/>
    <x v="105"/>
    <x v="3"/>
  </r>
  <r>
    <x v="939"/>
    <x v="1"/>
    <n v="0.5"/>
    <x v="60"/>
    <n v="7.4"/>
    <x v="0"/>
    <x v="0"/>
    <x v="0"/>
    <x v="0"/>
    <n v="77.5"/>
    <x v="80"/>
    <x v="3"/>
  </r>
  <r>
    <x v="940"/>
    <x v="1"/>
    <n v="2.1"/>
    <x v="240"/>
    <n v="6.8"/>
    <x v="3"/>
    <x v="0"/>
    <x v="0"/>
    <x v="1"/>
    <n v="81.400000000000006"/>
    <x v="10"/>
    <x v="3"/>
  </r>
  <r>
    <x v="941"/>
    <x v="0"/>
    <n v="3.3"/>
    <x v="191"/>
    <n v="6.1"/>
    <x v="0"/>
    <x v="1"/>
    <x v="0"/>
    <x v="0"/>
    <n v="66.3"/>
    <x v="46"/>
    <x v="1"/>
  </r>
  <r>
    <x v="942"/>
    <x v="1"/>
    <n v="1.7"/>
    <x v="89"/>
    <n v="5.5"/>
    <x v="3"/>
    <x v="0"/>
    <x v="0"/>
    <x v="0"/>
    <n v="55.2"/>
    <x v="114"/>
    <x v="2"/>
  </r>
  <r>
    <x v="943"/>
    <x v="0"/>
    <n v="4.4000000000000004"/>
    <x v="170"/>
    <n v="7.8"/>
    <x v="0"/>
    <x v="0"/>
    <x v="0"/>
    <x v="0"/>
    <n v="85.3"/>
    <x v="233"/>
    <x v="0"/>
  </r>
  <r>
    <x v="944"/>
    <x v="0"/>
    <n v="5.8"/>
    <x v="162"/>
    <n v="7.9"/>
    <x v="0"/>
    <x v="0"/>
    <x v="0"/>
    <x v="1"/>
    <n v="68.900000000000006"/>
    <x v="138"/>
    <x v="0"/>
  </r>
  <r>
    <x v="945"/>
    <x v="0"/>
    <n v="5.3"/>
    <x v="308"/>
    <n v="4.9000000000000004"/>
    <x v="1"/>
    <x v="0"/>
    <x v="0"/>
    <x v="0"/>
    <n v="90.8"/>
    <x v="148"/>
    <x v="0"/>
  </r>
  <r>
    <x v="946"/>
    <x v="0"/>
    <n v="3.2"/>
    <x v="323"/>
    <n v="8.6999999999999993"/>
    <x v="3"/>
    <x v="0"/>
    <x v="1"/>
    <x v="0"/>
    <n v="43.1"/>
    <x v="270"/>
    <x v="3"/>
  </r>
  <r>
    <x v="947"/>
    <x v="1"/>
    <n v="5.7"/>
    <x v="30"/>
    <n v="7.5"/>
    <x v="3"/>
    <x v="0"/>
    <x v="1"/>
    <x v="0"/>
    <n v="72.3"/>
    <x v="137"/>
    <x v="1"/>
  </r>
  <r>
    <x v="948"/>
    <x v="1"/>
    <n v="3.7"/>
    <x v="310"/>
    <n v="8.5"/>
    <x v="1"/>
    <x v="1"/>
    <x v="1"/>
    <x v="0"/>
    <n v="93"/>
    <x v="0"/>
    <x v="0"/>
  </r>
  <r>
    <x v="949"/>
    <x v="0"/>
    <n v="3"/>
    <x v="101"/>
    <n v="5.2"/>
    <x v="0"/>
    <x v="1"/>
    <x v="0"/>
    <x v="1"/>
    <n v="65.8"/>
    <x v="334"/>
    <x v="2"/>
  </r>
  <r>
    <x v="950"/>
    <x v="0"/>
    <n v="2.6"/>
    <x v="211"/>
    <n v="5.2"/>
    <x v="2"/>
    <x v="1"/>
    <x v="1"/>
    <x v="0"/>
    <n v="67.3"/>
    <x v="335"/>
    <x v="3"/>
  </r>
  <r>
    <x v="951"/>
    <x v="1"/>
    <n v="3"/>
    <x v="302"/>
    <n v="6.6"/>
    <x v="0"/>
    <x v="0"/>
    <x v="1"/>
    <x v="0"/>
    <n v="73.5"/>
    <x v="136"/>
    <x v="1"/>
  </r>
  <r>
    <x v="952"/>
    <x v="0"/>
    <n v="2.9"/>
    <x v="70"/>
    <n v="7.4"/>
    <x v="0"/>
    <x v="0"/>
    <x v="0"/>
    <x v="1"/>
    <n v="63.3"/>
    <x v="33"/>
    <x v="1"/>
  </r>
  <r>
    <x v="953"/>
    <x v="1"/>
    <n v="3.8"/>
    <x v="12"/>
    <n v="9"/>
    <x v="2"/>
    <x v="0"/>
    <x v="0"/>
    <x v="0"/>
    <n v="66.3"/>
    <x v="247"/>
    <x v="3"/>
  </r>
  <r>
    <x v="954"/>
    <x v="0"/>
    <n v="3.7"/>
    <x v="89"/>
    <n v="7.6"/>
    <x v="3"/>
    <x v="0"/>
    <x v="0"/>
    <x v="0"/>
    <n v="65.900000000000006"/>
    <x v="0"/>
    <x v="0"/>
  </r>
  <r>
    <x v="955"/>
    <x v="0"/>
    <n v="3.5"/>
    <x v="74"/>
    <n v="6.5"/>
    <x v="0"/>
    <x v="0"/>
    <x v="0"/>
    <x v="0"/>
    <n v="62.5"/>
    <x v="168"/>
    <x v="1"/>
  </r>
  <r>
    <x v="956"/>
    <x v="1"/>
    <n v="4.2"/>
    <x v="43"/>
    <n v="5.6"/>
    <x v="3"/>
    <x v="0"/>
    <x v="1"/>
    <x v="1"/>
    <n v="84.7"/>
    <x v="237"/>
    <x v="0"/>
  </r>
  <r>
    <x v="957"/>
    <x v="0"/>
    <n v="5.3"/>
    <x v="50"/>
    <n v="8.3000000000000007"/>
    <x v="4"/>
    <x v="0"/>
    <x v="1"/>
    <x v="0"/>
    <n v="75.5"/>
    <x v="274"/>
    <x v="1"/>
  </r>
  <r>
    <x v="958"/>
    <x v="1"/>
    <n v="4.9000000000000004"/>
    <x v="238"/>
    <n v="5.6"/>
    <x v="0"/>
    <x v="0"/>
    <x v="0"/>
    <x v="0"/>
    <n v="73"/>
    <x v="118"/>
    <x v="1"/>
  </r>
  <r>
    <x v="959"/>
    <x v="0"/>
    <n v="1.3"/>
    <x v="268"/>
    <n v="8.8000000000000007"/>
    <x v="0"/>
    <x v="0"/>
    <x v="1"/>
    <x v="0"/>
    <n v="79.7"/>
    <x v="224"/>
    <x v="1"/>
  </r>
  <r>
    <x v="960"/>
    <x v="0"/>
    <n v="0.5"/>
    <x v="159"/>
    <n v="6.5"/>
    <x v="0"/>
    <x v="0"/>
    <x v="1"/>
    <x v="0"/>
    <n v="66.8"/>
    <x v="223"/>
    <x v="3"/>
  </r>
  <r>
    <x v="961"/>
    <x v="0"/>
    <n v="4.9000000000000004"/>
    <x v="324"/>
    <n v="8.6999999999999993"/>
    <x v="2"/>
    <x v="0"/>
    <x v="1"/>
    <x v="0"/>
    <n v="60.7"/>
    <x v="197"/>
    <x v="1"/>
  </r>
  <r>
    <x v="962"/>
    <x v="1"/>
    <n v="1.4"/>
    <x v="150"/>
    <n v="7.6"/>
    <x v="3"/>
    <x v="0"/>
    <x v="0"/>
    <x v="1"/>
    <n v="62.8"/>
    <x v="54"/>
    <x v="3"/>
  </r>
  <r>
    <x v="963"/>
    <x v="0"/>
    <n v="3.2"/>
    <x v="191"/>
    <n v="6.6"/>
    <x v="1"/>
    <x v="0"/>
    <x v="1"/>
    <x v="0"/>
    <n v="70"/>
    <x v="336"/>
    <x v="3"/>
  </r>
  <r>
    <x v="964"/>
    <x v="0"/>
    <n v="1.7"/>
    <x v="275"/>
    <n v="6.2"/>
    <x v="4"/>
    <x v="0"/>
    <x v="0"/>
    <x v="0"/>
    <n v="57.3"/>
    <x v="187"/>
    <x v="2"/>
  </r>
  <r>
    <x v="965"/>
    <x v="0"/>
    <n v="0.8"/>
    <x v="156"/>
    <n v="6.4"/>
    <x v="0"/>
    <x v="0"/>
    <x v="1"/>
    <x v="0"/>
    <n v="64"/>
    <x v="163"/>
    <x v="3"/>
  </r>
  <r>
    <x v="966"/>
    <x v="0"/>
    <n v="4.3"/>
    <x v="213"/>
    <n v="7.3"/>
    <x v="1"/>
    <x v="0"/>
    <x v="0"/>
    <x v="1"/>
    <n v="63.8"/>
    <x v="70"/>
    <x v="0"/>
  </r>
  <r>
    <x v="967"/>
    <x v="1"/>
    <n v="4.5999999999999996"/>
    <x v="325"/>
    <n v="6.9"/>
    <x v="0"/>
    <x v="0"/>
    <x v="0"/>
    <x v="0"/>
    <n v="95.5"/>
    <x v="0"/>
    <x v="0"/>
  </r>
  <r>
    <x v="968"/>
    <x v="1"/>
    <n v="2.6"/>
    <x v="83"/>
    <n v="6.1"/>
    <x v="0"/>
    <x v="0"/>
    <x v="1"/>
    <x v="0"/>
    <n v="36.700000000000003"/>
    <x v="337"/>
    <x v="2"/>
  </r>
  <r>
    <x v="969"/>
    <x v="0"/>
    <n v="0.5"/>
    <x v="250"/>
    <n v="6.6"/>
    <x v="4"/>
    <x v="0"/>
    <x v="0"/>
    <x v="0"/>
    <n v="67.8"/>
    <x v="338"/>
    <x v="3"/>
  </r>
  <r>
    <x v="970"/>
    <x v="1"/>
    <n v="2.7"/>
    <x v="7"/>
    <n v="6.9"/>
    <x v="1"/>
    <x v="0"/>
    <x v="0"/>
    <x v="1"/>
    <n v="90.7"/>
    <x v="0"/>
    <x v="0"/>
  </r>
  <r>
    <x v="971"/>
    <x v="0"/>
    <n v="4.0999999999999996"/>
    <x v="6"/>
    <n v="4.2"/>
    <x v="3"/>
    <x v="1"/>
    <x v="0"/>
    <x v="1"/>
    <n v="71.5"/>
    <x v="221"/>
    <x v="3"/>
  </r>
  <r>
    <x v="972"/>
    <x v="0"/>
    <n v="1.3"/>
    <x v="316"/>
    <n v="7.3"/>
    <x v="0"/>
    <x v="0"/>
    <x v="1"/>
    <x v="0"/>
    <n v="79"/>
    <x v="300"/>
    <x v="1"/>
  </r>
  <r>
    <x v="973"/>
    <x v="0"/>
    <n v="3.8"/>
    <x v="200"/>
    <n v="5.6"/>
    <x v="1"/>
    <x v="1"/>
    <x v="0"/>
    <x v="1"/>
    <n v="71.2"/>
    <x v="247"/>
    <x v="3"/>
  </r>
  <r>
    <x v="974"/>
    <x v="1"/>
    <n v="3.5"/>
    <x v="244"/>
    <n v="5.4"/>
    <x v="2"/>
    <x v="0"/>
    <x v="1"/>
    <x v="0"/>
    <n v="62"/>
    <x v="339"/>
    <x v="2"/>
  </r>
  <r>
    <x v="975"/>
    <x v="1"/>
    <n v="4.4000000000000004"/>
    <x v="9"/>
    <n v="4.8"/>
    <x v="0"/>
    <x v="0"/>
    <x v="0"/>
    <x v="1"/>
    <n v="43.1"/>
    <x v="340"/>
    <x v="2"/>
  </r>
  <r>
    <x v="976"/>
    <x v="1"/>
    <n v="3.7"/>
    <x v="323"/>
    <n v="4.5999999999999996"/>
    <x v="1"/>
    <x v="1"/>
    <x v="0"/>
    <x v="0"/>
    <n v="72.5"/>
    <x v="108"/>
    <x v="1"/>
  </r>
  <r>
    <x v="977"/>
    <x v="1"/>
    <n v="2"/>
    <x v="199"/>
    <n v="5.2"/>
    <x v="0"/>
    <x v="0"/>
    <x v="0"/>
    <x v="0"/>
    <n v="60.7"/>
    <x v="229"/>
    <x v="3"/>
  </r>
  <r>
    <x v="978"/>
    <x v="1"/>
    <n v="5.3"/>
    <x v="280"/>
    <n v="5.9"/>
    <x v="4"/>
    <x v="0"/>
    <x v="0"/>
    <x v="0"/>
    <n v="60.4"/>
    <x v="318"/>
    <x v="1"/>
  </r>
  <r>
    <x v="979"/>
    <x v="1"/>
    <n v="3.3"/>
    <x v="1"/>
    <n v="9.1"/>
    <x v="1"/>
    <x v="0"/>
    <x v="0"/>
    <x v="0"/>
    <n v="64"/>
    <x v="285"/>
    <x v="0"/>
  </r>
  <r>
    <x v="980"/>
    <x v="1"/>
    <n v="3.5"/>
    <x v="202"/>
    <n v="6.2"/>
    <x v="1"/>
    <x v="0"/>
    <x v="0"/>
    <x v="0"/>
    <n v="90.9"/>
    <x v="90"/>
    <x v="0"/>
  </r>
  <r>
    <x v="981"/>
    <x v="1"/>
    <n v="2.1"/>
    <x v="326"/>
    <n v="7"/>
    <x v="1"/>
    <x v="1"/>
    <x v="1"/>
    <x v="1"/>
    <n v="98.9"/>
    <x v="173"/>
    <x v="3"/>
  </r>
  <r>
    <x v="982"/>
    <x v="1"/>
    <n v="2.8"/>
    <x v="106"/>
    <n v="7.3"/>
    <x v="1"/>
    <x v="0"/>
    <x v="1"/>
    <x v="1"/>
    <n v="72.599999999999994"/>
    <x v="341"/>
    <x v="3"/>
  </r>
  <r>
    <x v="983"/>
    <x v="0"/>
    <n v="2.2000000000000002"/>
    <x v="52"/>
    <n v="7"/>
    <x v="3"/>
    <x v="0"/>
    <x v="0"/>
    <x v="0"/>
    <n v="64.400000000000006"/>
    <x v="253"/>
    <x v="1"/>
  </r>
  <r>
    <x v="984"/>
    <x v="1"/>
    <n v="3.2"/>
    <x v="230"/>
    <n v="6.7"/>
    <x v="0"/>
    <x v="0"/>
    <x v="0"/>
    <x v="0"/>
    <n v="55.9"/>
    <x v="223"/>
    <x v="3"/>
  </r>
  <r>
    <x v="985"/>
    <x v="1"/>
    <n v="6.1"/>
    <x v="81"/>
    <n v="5.4"/>
    <x v="1"/>
    <x v="0"/>
    <x v="1"/>
    <x v="0"/>
    <n v="75.599999999999994"/>
    <x v="233"/>
    <x v="0"/>
  </r>
  <r>
    <x v="986"/>
    <x v="1"/>
    <n v="1.4"/>
    <x v="243"/>
    <n v="8.5"/>
    <x v="1"/>
    <x v="0"/>
    <x v="0"/>
    <x v="0"/>
    <n v="91.4"/>
    <x v="44"/>
    <x v="1"/>
  </r>
  <r>
    <x v="987"/>
    <x v="1"/>
    <n v="1.1000000000000001"/>
    <x v="211"/>
    <n v="9"/>
    <x v="1"/>
    <x v="0"/>
    <x v="0"/>
    <x v="0"/>
    <n v="67"/>
    <x v="137"/>
    <x v="1"/>
  </r>
  <r>
    <x v="988"/>
    <x v="1"/>
    <n v="5.7"/>
    <x v="277"/>
    <n v="4.8"/>
    <x v="2"/>
    <x v="0"/>
    <x v="1"/>
    <x v="0"/>
    <n v="41.5"/>
    <x v="108"/>
    <x v="1"/>
  </r>
  <r>
    <x v="989"/>
    <x v="1"/>
    <n v="3.2"/>
    <x v="296"/>
    <n v="5.6"/>
    <x v="1"/>
    <x v="0"/>
    <x v="1"/>
    <x v="1"/>
    <n v="78"/>
    <x v="285"/>
    <x v="0"/>
  </r>
  <r>
    <x v="990"/>
    <x v="1"/>
    <n v="2.5"/>
    <x v="30"/>
    <n v="6.5"/>
    <x v="2"/>
    <x v="0"/>
    <x v="1"/>
    <x v="0"/>
    <n v="81.8"/>
    <x v="217"/>
    <x v="1"/>
  </r>
  <r>
    <x v="991"/>
    <x v="1"/>
    <n v="5.0999999999999996"/>
    <x v="312"/>
    <n v="5.6"/>
    <x v="0"/>
    <x v="0"/>
    <x v="0"/>
    <x v="0"/>
    <n v="51"/>
    <x v="51"/>
    <x v="1"/>
  </r>
  <r>
    <x v="992"/>
    <x v="1"/>
    <n v="2.6"/>
    <x v="254"/>
    <n v="7.4"/>
    <x v="1"/>
    <x v="0"/>
    <x v="0"/>
    <x v="0"/>
    <n v="72.099999999999994"/>
    <x v="280"/>
    <x v="3"/>
  </r>
  <r>
    <x v="993"/>
    <x v="1"/>
    <n v="6.2"/>
    <x v="250"/>
    <n v="5.9"/>
    <x v="4"/>
    <x v="0"/>
    <x v="1"/>
    <x v="0"/>
    <n v="75.400000000000006"/>
    <x v="84"/>
    <x v="0"/>
  </r>
  <r>
    <x v="994"/>
    <x v="1"/>
    <n v="4.5"/>
    <x v="103"/>
    <n v="9.4"/>
    <x v="0"/>
    <x v="0"/>
    <x v="0"/>
    <x v="0"/>
    <n v="69.099999999999994"/>
    <x v="228"/>
    <x v="3"/>
  </r>
  <r>
    <x v="995"/>
    <x v="0"/>
    <n v="2.8"/>
    <x v="103"/>
    <n v="8.1999999999999993"/>
    <x v="3"/>
    <x v="0"/>
    <x v="0"/>
    <x v="0"/>
    <n v="60.5"/>
    <x v="308"/>
    <x v="3"/>
  </r>
  <r>
    <x v="996"/>
    <x v="0"/>
    <n v="6.7"/>
    <x v="181"/>
    <n v="7.1"/>
    <x v="2"/>
    <x v="1"/>
    <x v="0"/>
    <x v="0"/>
    <n v="82.2"/>
    <x v="258"/>
    <x v="0"/>
  </r>
  <r>
    <x v="997"/>
    <x v="1"/>
    <n v="2.6"/>
    <x v="272"/>
    <n v="8"/>
    <x v="1"/>
    <x v="0"/>
    <x v="0"/>
    <x v="1"/>
    <n v="65.2"/>
    <x v="37"/>
    <x v="3"/>
  </r>
  <r>
    <x v="998"/>
    <x v="1"/>
    <n v="4.5999999999999996"/>
    <x v="2"/>
    <n v="8.1"/>
    <x v="1"/>
    <x v="1"/>
    <x v="1"/>
    <x v="1"/>
    <n v="52.2"/>
    <x v="158"/>
    <x v="1"/>
  </r>
  <r>
    <x v="999"/>
    <x v="0"/>
    <n v="3.9"/>
    <x v="18"/>
    <n v="6.1"/>
    <x v="3"/>
    <x v="0"/>
    <x v="1"/>
    <x v="0"/>
    <n v="45.4"/>
    <x v="27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8D7EA6-D4B0-46EE-9986-6A079D9AC32C}" name="pvitgend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2:B35" firstHeaderRow="1" firstDataRow="1" firstDataCol="1"/>
  <pivotFields count="12">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s>
  <rowFields count="1">
    <field x="1"/>
  </rowFields>
  <rowItems count="3">
    <i>
      <x/>
    </i>
    <i>
      <x v="1"/>
    </i>
    <i t="grand">
      <x/>
    </i>
  </rowItems>
  <colItems count="1">
    <i/>
  </colItems>
  <dataFields count="1">
    <dataField name="Average of final_exam_score" fld="10" subtotal="average" baseField="1" baseItem="0" numFmtId="165"/>
  </dataFields>
  <formats count="1">
    <format dxfId="0">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9E6C39-755F-48DF-B80B-4D028E4E281E}" name="pivtg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B26" firstHeaderRow="1" firstDataRow="1" firstDataCol="1"/>
  <pivotFields count="12">
    <pivotField showAll="0"/>
    <pivotField showAll="0">
      <items count="3">
        <item x="1"/>
        <item x="0"/>
        <item t="default"/>
      </items>
    </pivotField>
    <pivotField showAll="0"/>
    <pivotField showAll="0"/>
    <pivotField showAll="0"/>
    <pivotField showAll="0"/>
    <pivotField showAll="0">
      <items count="3">
        <item x="1"/>
        <item x="0"/>
        <item t="default"/>
      </items>
    </pivotField>
    <pivotField showAll="0"/>
    <pivotField axis="axisRow" showAll="0">
      <items count="3">
        <item x="0"/>
        <item x="1"/>
        <item t="default"/>
      </items>
    </pivotField>
    <pivotField showAll="0"/>
    <pivotField dataField="1" showAll="0"/>
    <pivotField showAll="0">
      <items count="6">
        <item x="0"/>
        <item x="1"/>
        <item x="3"/>
        <item x="2"/>
        <item x="4"/>
        <item t="default"/>
      </items>
    </pivotField>
  </pivotFields>
  <rowFields count="1">
    <field x="8"/>
  </rowFields>
  <rowItems count="3">
    <i>
      <x/>
    </i>
    <i>
      <x v="1"/>
    </i>
    <i t="grand">
      <x/>
    </i>
  </rowItems>
  <colItems count="1">
    <i/>
  </colItems>
  <dataFields count="1">
    <dataField name="Average of final_exam_score" fld="10" subtotal="average" baseField="8" baseItem="0" numFmtId="165"/>
  </dataFields>
  <formats count="1">
    <format dxfId="1">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EE5CCE-7B26-4896-ABF3-8BC7477E0EE6}" name="pivA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B60" firstHeaderRow="1" firstDataRow="1" firstDataCol="1"/>
  <pivotFields count="12">
    <pivotField dataField="1" showAll="0"/>
    <pivotField showAll="0">
      <items count="3">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axis="axisRow" showAll="0">
      <items count="6">
        <item x="0"/>
        <item x="1"/>
        <item x="3"/>
        <item x="2"/>
        <item x="4"/>
        <item t="default"/>
      </items>
    </pivotField>
  </pivotFields>
  <rowFields count="1">
    <field x="11"/>
  </rowFields>
  <rowItems count="6">
    <i>
      <x/>
    </i>
    <i>
      <x v="1"/>
    </i>
    <i>
      <x v="2"/>
    </i>
    <i>
      <x v="3"/>
    </i>
    <i>
      <x v="4"/>
    </i>
    <i t="grand">
      <x/>
    </i>
  </rowItems>
  <colItems count="1">
    <i/>
  </colItems>
  <dataFields count="1">
    <dataField name="Count of student_id" fld="0" subtotal="count" baseField="11"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599A80-8BC2-47BA-A9F1-556591F14E21}" name="PT_KPI_TotalStud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A48" firstHeaderRow="1" firstDataRow="1" firstDataCol="0"/>
  <pivotFields count="12">
    <pivotField dataField="1" showAll="0"/>
    <pivotField showAll="0">
      <items count="3">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0"/>
        <item x="1"/>
        <item x="3"/>
        <item x="2"/>
        <item x="4"/>
        <item t="default"/>
      </items>
    </pivotField>
  </pivotFields>
  <rowItems count="1">
    <i/>
  </rowItems>
  <colItems count="1">
    <i/>
  </colItems>
  <dataFields count="1">
    <dataField name="Count of student_id" fld="0"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236399-458B-4616-A6C5-9F182209C1CC}" name="pivtstud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1" colPageCount="1"/>
  <pivotFields count="12">
    <pivotField dataField="1" showAll="0" sumSubtotal="1">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sum"/>
      </items>
    </pivotField>
    <pivotField showAll="0">
      <items count="3">
        <item x="1"/>
        <item x="0"/>
        <item t="default"/>
      </items>
    </pivotField>
    <pivotField showAll="0"/>
    <pivotField showAll="0"/>
    <pivotField showAll="0"/>
    <pivotField showAll="0"/>
    <pivotField showAll="0"/>
    <pivotField showAll="0"/>
    <pivotField showAll="0"/>
    <pivotField showAll="0"/>
    <pivotField axis="axisPage" multipleItemSelectionAllowed="1" showAll="0">
      <items count="343">
        <item h="1" x="113"/>
        <item h="1" x="315"/>
        <item h="1" x="306"/>
        <item h="1" x="261"/>
        <item h="1" x="222"/>
        <item h="1" x="317"/>
        <item h="1" x="319"/>
        <item h="1" x="279"/>
        <item h="1" x="184"/>
        <item h="1" x="95"/>
        <item h="1" x="291"/>
        <item h="1" x="107"/>
        <item h="1" x="337"/>
        <item h="1" x="296"/>
        <item h="1" x="146"/>
        <item h="1" x="297"/>
        <item h="1" x="189"/>
        <item h="1" x="89"/>
        <item h="1" x="39"/>
        <item h="1" x="284"/>
        <item h="1" x="310"/>
        <item h="1" x="103"/>
        <item h="1" x="251"/>
        <item h="1" x="268"/>
        <item h="1" x="199"/>
        <item h="1" x="299"/>
        <item h="1" x="120"/>
        <item h="1" x="72"/>
        <item h="1" x="69"/>
        <item h="1" x="63"/>
        <item h="1" x="238"/>
        <item h="1" x="178"/>
        <item h="1" x="82"/>
        <item h="1" x="303"/>
        <item h="1" x="334"/>
        <item h="1" x="263"/>
        <item h="1" x="83"/>
        <item h="1" x="295"/>
        <item h="1" x="326"/>
        <item h="1" x="255"/>
        <item h="1" x="220"/>
        <item h="1" x="340"/>
        <item h="1" x="164"/>
        <item h="1" x="140"/>
        <item h="1" x="157"/>
        <item h="1" x="231"/>
        <item h="1" x="272"/>
        <item h="1" x="56"/>
        <item h="1" x="339"/>
        <item h="1" x="40"/>
        <item h="1" x="265"/>
        <item h="1" x="3"/>
        <item h="1" x="271"/>
        <item h="1" x="188"/>
        <item h="1" x="114"/>
        <item h="1" x="249"/>
        <item h="1" x="9"/>
        <item h="1" x="213"/>
        <item h="1" x="115"/>
        <item h="1" x="43"/>
        <item h="1" x="187"/>
        <item h="1" x="5"/>
        <item h="1" x="324"/>
        <item h="1" x="185"/>
        <item h="1" x="151"/>
        <item h="1" x="236"/>
        <item h="1" x="323"/>
        <item h="1" x="270"/>
        <item h="1" x="155"/>
        <item h="1" x="212"/>
        <item h="1" x="308"/>
        <item h="1" x="38"/>
        <item h="1" x="194"/>
        <item h="1" x="256"/>
        <item h="1" x="52"/>
        <item h="1" x="21"/>
        <item h="1" x="172"/>
        <item h="1" x="287"/>
        <item h="1" x="49"/>
        <item h="1" x="322"/>
        <item h="1" x="75"/>
        <item h="1" x="128"/>
        <item h="1" x="64"/>
        <item h="1" x="216"/>
        <item h="1" x="229"/>
        <item h="1" x="273"/>
        <item h="1" x="190"/>
        <item h="1" x="335"/>
        <item h="1" x="45"/>
        <item h="1" x="91"/>
        <item h="1" x="198"/>
        <item h="1" x="201"/>
        <item h="1" x="54"/>
        <item h="1" x="149"/>
        <item h="1" x="135"/>
        <item h="1" x="97"/>
        <item h="1" x="20"/>
        <item h="1" x="19"/>
        <item h="1" x="277"/>
        <item h="1" x="133"/>
        <item h="1" x="13"/>
        <item h="1" x="88"/>
        <item h="1" x="191"/>
        <item h="1" x="327"/>
        <item h="1" x="8"/>
        <item h="1" x="180"/>
        <item h="1" x="50"/>
        <item h="1" x="92"/>
        <item h="1" x="152"/>
        <item h="1" x="80"/>
        <item h="1" x="66"/>
        <item h="1" x="281"/>
        <item h="1" x="126"/>
        <item h="1" x="142"/>
        <item h="1" x="35"/>
        <item h="1" x="223"/>
        <item h="1" x="16"/>
        <item h="1" x="221"/>
        <item h="1" x="87"/>
        <item h="1" x="167"/>
        <item h="1" x="110"/>
        <item h="1" x="23"/>
        <item h="1" x="208"/>
        <item h="1" x="163"/>
        <item h="1" x="182"/>
        <item h="1" x="181"/>
        <item h="1" x="100"/>
        <item h="1" x="122"/>
        <item h="1" x="10"/>
        <item h="1" x="227"/>
        <item h="1" x="332"/>
        <item h="1" x="311"/>
        <item h="1" x="134"/>
        <item h="1" x="211"/>
        <item h="1" x="105"/>
        <item h="1" x="59"/>
        <item h="1" x="301"/>
        <item h="1" x="61"/>
        <item h="1" x="341"/>
        <item h="1" x="241"/>
        <item h="1" x="247"/>
        <item h="1" x="218"/>
        <item h="1" x="127"/>
        <item h="1" x="177"/>
        <item h="1" x="338"/>
        <item h="1" x="336"/>
        <item h="1" x="129"/>
        <item h="1" x="24"/>
        <item h="1" x="280"/>
        <item h="1" x="73"/>
        <item h="1" x="36"/>
        <item h="1" x="228"/>
        <item h="1" x="37"/>
        <item h="1" x="65"/>
        <item h="1" x="200"/>
        <item h="1" x="58"/>
        <item h="1" x="173"/>
        <item h="1" x="143"/>
        <item h="1" x="245"/>
        <item h="1" x="321"/>
        <item h="1" x="235"/>
        <item h="1" x="109"/>
        <item h="1" x="41"/>
        <item h="1" x="51"/>
        <item h="1" x="224"/>
        <item h="1" x="162"/>
        <item h="1" x="197"/>
        <item h="1" x="55"/>
        <item h="1" x="108"/>
        <item h="1" x="99"/>
        <item h="1" x="32"/>
        <item h="1" x="150"/>
        <item h="1" x="286"/>
        <item h="1" x="330"/>
        <item h="1" x="15"/>
        <item h="1" x="4"/>
        <item h="1" x="131"/>
        <item h="1" x="44"/>
        <item h="1" x="217"/>
        <item h="1" x="112"/>
        <item h="1" x="125"/>
        <item h="1" x="158"/>
        <item h="1" x="196"/>
        <item h="1" x="28"/>
        <item h="1" x="314"/>
        <item h="1" x="11"/>
        <item h="1" x="159"/>
        <item h="1" x="207"/>
        <item h="1" x="290"/>
        <item h="1" x="318"/>
        <item h="1" x="139"/>
        <item h="1" x="31"/>
        <item h="1" x="186"/>
        <item h="1" x="264"/>
        <item h="1" x="328"/>
        <item h="1" x="136"/>
        <item h="1" x="2"/>
        <item h="1" x="176"/>
        <item h="1" x="278"/>
        <item h="1" x="300"/>
        <item h="1" x="26"/>
        <item h="1" x="48"/>
        <item h="1" x="7"/>
        <item h="1" x="74"/>
        <item h="1" x="141"/>
        <item h="1" x="116"/>
        <item h="1" x="14"/>
        <item h="1" x="226"/>
        <item h="1" x="253"/>
        <item h="1" x="57"/>
        <item h="1" x="102"/>
        <item h="1" x="46"/>
        <item h="1" x="248"/>
        <item h="1" x="302"/>
        <item h="1" x="106"/>
        <item h="1" x="161"/>
        <item h="1" x="137"/>
        <item h="1" x="320"/>
        <item h="1" x="244"/>
        <item h="1" x="239"/>
        <item h="1" x="76"/>
        <item h="1" x="276"/>
        <item h="1" x="214"/>
        <item h="1" x="254"/>
        <item h="1" x="170"/>
        <item h="1" x="111"/>
        <item h="1" x="275"/>
        <item h="1" x="104"/>
        <item h="1" x="85"/>
        <item h="1" x="145"/>
        <item h="1" x="67"/>
        <item h="1" x="243"/>
        <item h="1" x="118"/>
        <item h="1" x="29"/>
        <item h="1" x="53"/>
        <item h="1" x="121"/>
        <item h="1" x="6"/>
        <item h="1" x="78"/>
        <item h="1" x="259"/>
        <item h="1" x="168"/>
        <item h="1" x="165"/>
        <item h="1" x="81"/>
        <item h="1" x="42"/>
        <item h="1" x="124"/>
        <item h="1" x="252"/>
        <item h="1" x="204"/>
        <item h="1" x="274"/>
        <item h="1" x="130"/>
        <item h="1" x="119"/>
        <item h="1" x="240"/>
        <item h="1" x="33"/>
        <item h="1" x="195"/>
        <item h="1" x="17"/>
        <item h="1" x="27"/>
        <item h="1" x="156"/>
        <item h="1" x="70"/>
        <item h="1" x="123"/>
        <item h="1" x="313"/>
        <item h="1" x="232"/>
        <item h="1" x="289"/>
        <item h="1" x="298"/>
        <item h="1" x="246"/>
        <item h="1" x="203"/>
        <item h="1" x="147"/>
        <item h="1" x="166"/>
        <item h="1" x="174"/>
        <item h="1" x="153"/>
        <item h="1" x="309"/>
        <item h="1" x="90"/>
        <item h="1" x="160"/>
        <item h="1" x="34"/>
        <item h="1" x="225"/>
        <item h="1" x="262"/>
        <item h="1" x="305"/>
        <item h="1" x="210"/>
        <item h="1" x="101"/>
        <item h="1" x="144"/>
        <item h="1" x="230"/>
        <item h="1" x="283"/>
        <item h="1" x="86"/>
        <item h="1" x="266"/>
        <item h="1" x="84"/>
        <item h="1" x="18"/>
        <item h="1" x="30"/>
        <item h="1" x="234"/>
        <item h="1" x="202"/>
        <item h="1" x="312"/>
        <item h="1" x="12"/>
        <item h="1" x="154"/>
        <item h="1" x="237"/>
        <item h="1" x="215"/>
        <item h="1" x="193"/>
        <item h="1" x="329"/>
        <item h="1" x="285"/>
        <item h="1" x="183"/>
        <item h="1" x="293"/>
        <item h="1" x="171"/>
        <item h="1" x="331"/>
        <item h="1" x="94"/>
        <item h="1" x="60"/>
        <item h="1" x="260"/>
        <item h="1" x="192"/>
        <item h="1" x="282"/>
        <item h="1" x="219"/>
        <item h="1" x="292"/>
        <item h="1" x="333"/>
        <item h="1" x="117"/>
        <item h="1" x="269"/>
        <item h="1" x="304"/>
        <item h="1" x="138"/>
        <item h="1" x="98"/>
        <item h="1" x="148"/>
        <item h="1" x="96"/>
        <item h="1" x="209"/>
        <item h="1" x="233"/>
        <item h="1" x="93"/>
        <item h="1" x="205"/>
        <item h="1" x="132"/>
        <item h="1" x="169"/>
        <item h="1" x="206"/>
        <item h="1" x="22"/>
        <item h="1" x="1"/>
        <item h="1" x="25"/>
        <item h="1" x="175"/>
        <item h="1" x="68"/>
        <item h="1" x="179"/>
        <item h="1" x="288"/>
        <item h="1" x="250"/>
        <item h="1" x="77"/>
        <item h="1" x="316"/>
        <item h="1" x="307"/>
        <item h="1" x="325"/>
        <item h="1" x="242"/>
        <item h="1" x="257"/>
        <item h="1" x="267"/>
        <item h="1" x="71"/>
        <item h="1" x="258"/>
        <item h="1" x="79"/>
        <item h="1" x="294"/>
        <item h="1" x="47"/>
        <item h="1" x="62"/>
        <item x="0"/>
        <item t="default"/>
      </items>
    </pivotField>
    <pivotField showAll="0">
      <items count="6">
        <item x="0"/>
        <item x="1"/>
        <item x="3"/>
        <item x="2"/>
        <item x="4"/>
        <item t="default"/>
      </items>
    </pivotField>
  </pivotFields>
  <rowItems count="1">
    <i/>
  </rowItems>
  <colItems count="1">
    <i/>
  </colItems>
  <pageFields count="1">
    <pageField fld="10" hier="-1"/>
  </pageFields>
  <dataFields count="1">
    <dataField name="Count of student_id" fld="0" subtotal="count" baseField="0" baseItem="1"/>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D5F246-042B-4CEB-A3F4-FA77070E8A98}" name="Piinter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B11" firstHeaderRow="1" firstDataRow="1" firstDataCol="1"/>
  <pivotFields count="12">
    <pivotField showAll="0"/>
    <pivotField showAll="0">
      <items count="3">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dataField="1" showAll="0">
      <items count="343">
        <item x="113"/>
        <item x="315"/>
        <item x="306"/>
        <item x="261"/>
        <item x="222"/>
        <item x="317"/>
        <item x="319"/>
        <item x="279"/>
        <item x="184"/>
        <item x="95"/>
        <item x="291"/>
        <item x="107"/>
        <item x="337"/>
        <item x="296"/>
        <item x="146"/>
        <item x="297"/>
        <item x="189"/>
        <item x="89"/>
        <item x="39"/>
        <item x="284"/>
        <item x="310"/>
        <item x="103"/>
        <item x="251"/>
        <item x="268"/>
        <item x="199"/>
        <item x="299"/>
        <item x="120"/>
        <item x="72"/>
        <item x="69"/>
        <item x="63"/>
        <item x="238"/>
        <item x="178"/>
        <item x="82"/>
        <item x="303"/>
        <item x="334"/>
        <item x="263"/>
        <item x="83"/>
        <item x="295"/>
        <item x="326"/>
        <item x="255"/>
        <item x="220"/>
        <item x="340"/>
        <item x="164"/>
        <item x="140"/>
        <item x="157"/>
        <item x="231"/>
        <item x="272"/>
        <item x="56"/>
        <item x="339"/>
        <item x="40"/>
        <item x="265"/>
        <item x="3"/>
        <item x="271"/>
        <item x="188"/>
        <item x="114"/>
        <item x="249"/>
        <item x="9"/>
        <item x="213"/>
        <item x="115"/>
        <item x="43"/>
        <item x="187"/>
        <item x="5"/>
        <item x="324"/>
        <item x="185"/>
        <item x="151"/>
        <item x="236"/>
        <item x="323"/>
        <item x="270"/>
        <item x="155"/>
        <item x="212"/>
        <item x="308"/>
        <item x="38"/>
        <item x="194"/>
        <item x="256"/>
        <item x="52"/>
        <item x="21"/>
        <item x="172"/>
        <item x="287"/>
        <item x="49"/>
        <item x="322"/>
        <item x="75"/>
        <item x="128"/>
        <item x="64"/>
        <item x="216"/>
        <item x="229"/>
        <item x="273"/>
        <item x="190"/>
        <item x="335"/>
        <item x="45"/>
        <item x="91"/>
        <item x="198"/>
        <item x="201"/>
        <item x="54"/>
        <item x="149"/>
        <item x="135"/>
        <item x="97"/>
        <item x="20"/>
        <item x="19"/>
        <item x="277"/>
        <item x="133"/>
        <item x="13"/>
        <item x="88"/>
        <item x="191"/>
        <item x="327"/>
        <item x="8"/>
        <item x="180"/>
        <item x="50"/>
        <item x="92"/>
        <item x="152"/>
        <item x="80"/>
        <item x="66"/>
        <item x="281"/>
        <item x="126"/>
        <item x="142"/>
        <item x="35"/>
        <item x="223"/>
        <item x="16"/>
        <item x="221"/>
        <item x="87"/>
        <item x="167"/>
        <item x="110"/>
        <item x="23"/>
        <item x="208"/>
        <item x="163"/>
        <item x="182"/>
        <item x="181"/>
        <item x="100"/>
        <item x="122"/>
        <item x="10"/>
        <item x="227"/>
        <item x="332"/>
        <item x="311"/>
        <item x="134"/>
        <item x="211"/>
        <item x="105"/>
        <item x="59"/>
        <item x="301"/>
        <item x="61"/>
        <item x="341"/>
        <item x="241"/>
        <item x="247"/>
        <item x="218"/>
        <item x="127"/>
        <item x="177"/>
        <item x="338"/>
        <item x="336"/>
        <item x="129"/>
        <item x="24"/>
        <item x="280"/>
        <item x="73"/>
        <item x="36"/>
        <item x="228"/>
        <item x="37"/>
        <item x="65"/>
        <item x="200"/>
        <item x="58"/>
        <item x="173"/>
        <item x="143"/>
        <item x="245"/>
        <item x="321"/>
        <item x="235"/>
        <item x="109"/>
        <item x="41"/>
        <item x="51"/>
        <item x="224"/>
        <item x="162"/>
        <item x="197"/>
        <item x="55"/>
        <item x="108"/>
        <item x="99"/>
        <item x="32"/>
        <item x="150"/>
        <item x="286"/>
        <item x="330"/>
        <item x="15"/>
        <item x="4"/>
        <item x="131"/>
        <item x="44"/>
        <item x="217"/>
        <item x="112"/>
        <item x="125"/>
        <item x="158"/>
        <item x="196"/>
        <item x="28"/>
        <item x="314"/>
        <item x="11"/>
        <item x="159"/>
        <item x="207"/>
        <item x="290"/>
        <item x="318"/>
        <item x="139"/>
        <item x="31"/>
        <item x="186"/>
        <item x="264"/>
        <item x="328"/>
        <item x="136"/>
        <item x="2"/>
        <item x="176"/>
        <item x="278"/>
        <item x="300"/>
        <item x="26"/>
        <item x="48"/>
        <item x="7"/>
        <item x="74"/>
        <item x="141"/>
        <item x="116"/>
        <item x="14"/>
        <item x="226"/>
        <item x="253"/>
        <item x="57"/>
        <item x="102"/>
        <item x="46"/>
        <item x="248"/>
        <item x="302"/>
        <item x="106"/>
        <item x="161"/>
        <item x="137"/>
        <item x="320"/>
        <item x="244"/>
        <item x="239"/>
        <item x="76"/>
        <item x="276"/>
        <item x="214"/>
        <item x="254"/>
        <item x="170"/>
        <item x="111"/>
        <item x="275"/>
        <item x="104"/>
        <item x="85"/>
        <item x="145"/>
        <item x="67"/>
        <item x="243"/>
        <item x="118"/>
        <item x="29"/>
        <item x="53"/>
        <item x="121"/>
        <item x="6"/>
        <item x="78"/>
        <item x="259"/>
        <item x="168"/>
        <item x="165"/>
        <item x="81"/>
        <item x="42"/>
        <item x="124"/>
        <item x="252"/>
        <item x="204"/>
        <item x="274"/>
        <item x="130"/>
        <item x="119"/>
        <item x="240"/>
        <item x="33"/>
        <item x="195"/>
        <item x="17"/>
        <item x="27"/>
        <item x="156"/>
        <item x="70"/>
        <item x="123"/>
        <item x="313"/>
        <item x="232"/>
        <item x="289"/>
        <item x="298"/>
        <item x="246"/>
        <item x="203"/>
        <item x="147"/>
        <item x="166"/>
        <item x="174"/>
        <item x="153"/>
        <item x="309"/>
        <item x="90"/>
        <item x="160"/>
        <item x="34"/>
        <item x="225"/>
        <item x="262"/>
        <item x="305"/>
        <item x="210"/>
        <item x="101"/>
        <item x="144"/>
        <item x="230"/>
        <item x="283"/>
        <item x="86"/>
        <item x="266"/>
        <item x="84"/>
        <item x="18"/>
        <item x="30"/>
        <item x="234"/>
        <item x="202"/>
        <item x="312"/>
        <item x="12"/>
        <item x="154"/>
        <item x="237"/>
        <item x="215"/>
        <item x="193"/>
        <item x="329"/>
        <item x="285"/>
        <item x="183"/>
        <item x="293"/>
        <item x="171"/>
        <item x="331"/>
        <item x="94"/>
        <item x="60"/>
        <item x="260"/>
        <item x="192"/>
        <item x="282"/>
        <item x="219"/>
        <item x="292"/>
        <item x="333"/>
        <item x="117"/>
        <item x="269"/>
        <item x="304"/>
        <item x="138"/>
        <item x="98"/>
        <item x="148"/>
        <item x="96"/>
        <item x="209"/>
        <item x="233"/>
        <item x="93"/>
        <item x="205"/>
        <item x="132"/>
        <item x="169"/>
        <item x="206"/>
        <item x="22"/>
        <item x="1"/>
        <item x="25"/>
        <item x="175"/>
        <item x="68"/>
        <item x="179"/>
        <item x="288"/>
        <item x="250"/>
        <item x="77"/>
        <item x="316"/>
        <item x="307"/>
        <item x="325"/>
        <item x="242"/>
        <item x="257"/>
        <item x="267"/>
        <item x="71"/>
        <item x="258"/>
        <item x="79"/>
        <item x="294"/>
        <item x="47"/>
        <item x="62"/>
        <item x="0"/>
        <item t="default"/>
      </items>
    </pivotField>
    <pivotField showAll="0">
      <items count="6">
        <item x="0"/>
        <item x="1"/>
        <item x="3"/>
        <item x="2"/>
        <item x="4"/>
        <item t="default"/>
      </items>
    </pivotField>
  </pivotFields>
  <rowFields count="1">
    <field x="6"/>
  </rowFields>
  <rowItems count="3">
    <i>
      <x/>
    </i>
    <i>
      <x v="1"/>
    </i>
    <i t="grand">
      <x/>
    </i>
  </rowItems>
  <colItems count="1">
    <i/>
  </colItems>
  <dataFields count="1">
    <dataField name="Average of final_exam_score" fld="10" subtotal="average" baseField="0" baseItem="1" numFmtId="2"/>
  </dataFields>
  <chartFormats count="1">
    <chartFormat chart="3" format="1"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19E8E6-64C5-443A-9C17-188E6CC42198}" name="Pivtpareen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4:B70" firstHeaderRow="1" firstDataRow="1" firstDataCol="1"/>
  <pivotFields count="12">
    <pivotField showAll="0"/>
    <pivotField showAll="0"/>
    <pivotField showAll="0"/>
    <pivotField showAll="0"/>
    <pivotField showAll="0"/>
    <pivotField axis="axisRow" showAll="0">
      <items count="6">
        <item x="0"/>
        <item x="1"/>
        <item x="3"/>
        <item x="2"/>
        <item x="4"/>
        <item t="default"/>
      </items>
    </pivotField>
    <pivotField showAll="0"/>
    <pivotField showAll="0"/>
    <pivotField showAll="0"/>
    <pivotField showAll="0"/>
    <pivotField dataField="1" showAll="0"/>
    <pivotField showAll="0"/>
  </pivotFields>
  <rowFields count="1">
    <field x="5"/>
  </rowFields>
  <rowItems count="6">
    <i>
      <x/>
    </i>
    <i>
      <x v="1"/>
    </i>
    <i>
      <x v="2"/>
    </i>
    <i>
      <x v="3"/>
    </i>
    <i>
      <x v="4"/>
    </i>
    <i t="grand">
      <x/>
    </i>
  </rowItems>
  <colItems count="1">
    <i/>
  </colItems>
  <dataFields count="1">
    <dataField name="Average of final_exam_score" fld="10" subtotal="average" baseField="5" baseItem="0"/>
  </dataFields>
  <formats count="3">
    <format dxfId="4">
      <pivotArea grandRow="1" outline="0" collapsedLevelsAreSubtotals="1" fieldPosition="0"/>
    </format>
    <format dxfId="3">
      <pivotArea collapsedLevelsAreSubtotals="1" fieldPosition="0">
        <references count="1">
          <reference field="5" count="4">
            <x v="0"/>
            <x v="1"/>
            <x v="2"/>
            <x v="3"/>
          </reference>
        </references>
      </pivotArea>
    </format>
    <format dxfId="2">
      <pivotArea collapsedLevelsAreSubtotals="1" fieldPosition="0">
        <references count="1">
          <reference field="5" count="1">
            <x v="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F93E6A-F244-4D68-9E60-4A1E31D7AB20}" name="pivtgru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44" firstHeaderRow="1" firstDataRow="1" firstDataCol="1"/>
  <pivotFields count="1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0"/>
        <item x="1"/>
        <item x="3"/>
        <item x="2"/>
        <item x="4"/>
        <item t="default"/>
      </items>
    </pivotField>
  </pivotFields>
  <rowFields count="1">
    <field x="11"/>
  </rowFields>
  <rowItems count="6">
    <i>
      <x/>
    </i>
    <i>
      <x v="1"/>
    </i>
    <i>
      <x v="2"/>
    </i>
    <i>
      <x v="3"/>
    </i>
    <i>
      <x v="4"/>
    </i>
    <i t="grand">
      <x/>
    </i>
  </rowItems>
  <colItems count="1">
    <i/>
  </colItems>
  <dataFields count="1">
    <dataField name="Count of student_id" fld="0" subtotal="count" baseField="11"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D9139E-85B3-4D4A-8655-1E7416DACF34}" name="pvitactiv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4:B17" firstHeaderRow="1" firstDataRow="1" firstDataCol="1"/>
  <pivotFields count="12">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dataField="1" showAll="0"/>
    <pivotField showAll="0"/>
  </pivotFields>
  <rowFields count="1">
    <field x="7"/>
  </rowFields>
  <rowItems count="3">
    <i>
      <x/>
    </i>
    <i>
      <x v="1"/>
    </i>
    <i t="grand">
      <x/>
    </i>
  </rowItems>
  <colItems count="1">
    <i/>
  </colItems>
  <dataFields count="1">
    <dataField name="Average of final_exam_score" fld="10" subtotal="average" baseField="7" baseItem="0" numFmtId="165"/>
  </dataFields>
  <formats count="1">
    <format dxfId="5">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A9E08B-5A6E-45B6-A73E-8C497373E1EA}" name="PT_KPI_Avg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A51" firstHeaderRow="1" firstDataRow="1" firstDataCol="0"/>
  <pivotFields count="12">
    <pivotField showAll="0"/>
    <pivotField showAll="0">
      <items count="3">
        <item x="1"/>
        <item x="0"/>
        <item t="default"/>
      </items>
    </pivotField>
    <pivotField showAll="0"/>
    <pivotField showAll="0"/>
    <pivotField showAll="0"/>
    <pivotField showAll="0"/>
    <pivotField showAll="0">
      <items count="3">
        <item x="1"/>
        <item x="0"/>
        <item t="default"/>
      </items>
    </pivotField>
    <pivotField showAll="0"/>
    <pivotField showAll="0"/>
    <pivotField showAll="0"/>
    <pivotField dataField="1" showAll="0"/>
    <pivotField showAll="0">
      <items count="6">
        <item x="0"/>
        <item x="1"/>
        <item x="3"/>
        <item x="2"/>
        <item x="4"/>
        <item t="default"/>
      </items>
    </pivotField>
  </pivotFields>
  <rowItems count="1">
    <i/>
  </rowItems>
  <colItems count="1">
    <i/>
  </colItems>
  <dataFields count="1">
    <dataField name="Average of final_exam_score" fld="10" subtotal="average" baseField="0" baseItem="0" numFmtId="165"/>
  </dataFields>
  <formats count="1">
    <format dxfId="6">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EA783D-720B-4564-A223-1F726C7FDA70}" autoFormatId="16" applyNumberFormats="0" applyBorderFormats="0" applyFontFormats="0" applyPatternFormats="0" applyAlignmentFormats="0" applyWidthHeightFormats="0">
  <queryTableRefresh nextId="13">
    <queryTableFields count="12">
      <queryTableField id="1" name="student_id" tableColumnId="1"/>
      <queryTableField id="2" name="gender" tableColumnId="2"/>
      <queryTableField id="3" name="study_time_hours" tableColumnId="3"/>
      <queryTableField id="4" name="attendance_percent" tableColumnId="4"/>
      <queryTableField id="5" name="sleep_hours" tableColumnId="5"/>
      <queryTableField id="6" name="parental_education" tableColumnId="6"/>
      <queryTableField id="7" name="internet_access" tableColumnId="7"/>
      <queryTableField id="8" name="extracurricular_activities" tableColumnId="8"/>
      <queryTableField id="9" name="part_time_job" tableColumnId="9"/>
      <queryTableField id="10" name="previous_grade" tableColumnId="10"/>
      <queryTableField id="11" name="final_exam_score" tableColumnId="11"/>
      <queryTableField id="12" name="final_grad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7D206C99-0BD1-4477-8B9A-DDB9A71AB2B0}" autoFormatId="16" applyNumberFormats="0" applyBorderFormats="0" applyFontFormats="0" applyPatternFormats="0" applyAlignmentFormats="0" applyWidthHeightFormats="0">
  <queryTableRefresh nextId="13">
    <queryTableFields count="12">
      <queryTableField id="1" name="student_id" tableColumnId="1"/>
      <queryTableField id="2" name="gender" tableColumnId="2"/>
      <queryTableField id="3" name="study_time_hours" tableColumnId="3"/>
      <queryTableField id="4" name="attendance_percent" tableColumnId="4"/>
      <queryTableField id="5" name="sleep_hours" tableColumnId="5"/>
      <queryTableField id="6" name="parental_education" tableColumnId="6"/>
      <queryTableField id="7" name="internet_access" tableColumnId="7"/>
      <queryTableField id="8" name="extracurricular_activities" tableColumnId="8"/>
      <queryTableField id="9" name="part_time_job" tableColumnId="9"/>
      <queryTableField id="10" name="previous_grade" tableColumnId="10"/>
      <queryTableField id="11" name="final_exam_score" tableColumnId="11"/>
      <queryTableField id="12" name="final_grade" tableColumnId="1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152E490-6121-4F2E-88F5-5B88F127BCA2}" sourceName="gender">
  <pivotTables>
    <pivotTable tabId="5" name="Piinternt"/>
    <pivotTable tabId="5" name="pivtgob"/>
    <pivotTable tabId="5" name="PT_KPI_TotalStudents"/>
    <pivotTable tabId="5" name="PT_KPI_AvgScore"/>
    <pivotTable tabId="5" name="pivAB"/>
  </pivotTables>
  <data>
    <tabular pivotCacheId="124464898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grade" xr10:uid="{55D91463-AE95-423E-AE9B-EBD3D2FC15BF}" sourceName="final_grade">
  <pivotTables>
    <pivotTable tabId="5" name="pivtgrude"/>
    <pivotTable tabId="5" name="Piinternt"/>
    <pivotTable tabId="5" name="pivtgob"/>
    <pivotTable tabId="5" name="PT_KPI_AvgScore"/>
    <pivotTable tabId="5" name="PT_KPI_TotalStudents"/>
  </pivotTables>
  <data>
    <tabular pivotCacheId="1244648983">
      <items count="5">
        <i x="0" s="1"/>
        <i x="1"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access" xr10:uid="{BD247F1C-2280-4853-B7E3-64AFDC802C1D}" sourceName="internet_access">
  <pivotTables>
    <pivotTable tabId="5" name="Piinternt"/>
    <pivotTable tabId="5" name="PT_KPI_AvgScore"/>
    <pivotTable tabId="5" name="PT_KPI_TotalStudents"/>
    <pivotTable tabId="5" name="pivAB"/>
    <pivotTable tabId="5" name="pivtgob"/>
  </pivotTables>
  <data>
    <tabular pivotCacheId="124464898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51A7BD8-69F3-444B-B4F8-578689423F25}" cache="Slicer_gender" caption="gender" style="SlicerStyleOther1" rowHeight="251883"/>
  <slicer name="final_grade 1" xr10:uid="{A09EC647-8B7B-4FA0-8A55-AB3B4869D396}" cache="Slicer_final_grade" caption="final_grade" style="SlicerStyleOther1" rowHeight="251883"/>
  <slicer name="internet_access 1" xr10:uid="{A0E441D3-CA8D-4CD7-A45F-1690B8470745}" cache="Slicer_internet_access" caption="internet_access"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4FFB0F-8B48-450E-9F81-F09437660203}" name="student_performance_dataset" displayName="student_performance_dataset" ref="A1:L1001" tableType="queryTable" totalsRowShown="0">
  <autoFilter ref="A1:L1001" xr:uid="{FE4FFB0F-8B48-450E-9F81-F09437660203}"/>
  <tableColumns count="12">
    <tableColumn id="1" xr3:uid="{9A4C9FFD-3553-43C7-A040-04A4F35E14C2}" uniqueName="1" name="student_id" queryTableFieldId="1"/>
    <tableColumn id="2" xr3:uid="{19642D4D-9C06-43BA-96EE-385445AD3300}" uniqueName="2" name="gender" queryTableFieldId="2"/>
    <tableColumn id="3" xr3:uid="{C1928275-1E77-4F20-A69C-E50E1210F346}" uniqueName="3" name="study_time_hours" queryTableFieldId="3"/>
    <tableColumn id="4" xr3:uid="{FB2CD86D-8C5D-48F6-AC9A-E66292BC3D3F}" uniqueName="4" name="attendance_percent" queryTableFieldId="4"/>
    <tableColumn id="5" xr3:uid="{73108A81-8A05-4F6A-888C-167CFFAE4F25}" uniqueName="5" name="sleep_hours" queryTableFieldId="5"/>
    <tableColumn id="6" xr3:uid="{06D291FC-31FA-43A3-8A0F-0C1C9C7E3CD3}" uniqueName="6" name="parental_education" queryTableFieldId="6"/>
    <tableColumn id="7" xr3:uid="{45DC8AD7-3023-4510-AEEB-375A19E47DA2}" uniqueName="7" name="internet_access" queryTableFieldId="7"/>
    <tableColumn id="8" xr3:uid="{09114797-8682-41B1-AA48-76F3FD114ACC}" uniqueName="8" name="extracurricular_activities" queryTableFieldId="8"/>
    <tableColumn id="9" xr3:uid="{65343CB4-D638-48BD-8327-637A7D94F80E}" uniqueName="9" name="part_time_job" queryTableFieldId="9"/>
    <tableColumn id="10" xr3:uid="{A3DC00DF-B858-4495-858B-2DF1808E9E0B}" uniqueName="10" name="previous_grade" queryTableFieldId="10"/>
    <tableColumn id="11" xr3:uid="{5BC07C12-6C9C-4537-9298-28BACD3D09DA}" uniqueName="11" name="final_exam_score" queryTableFieldId="11"/>
    <tableColumn id="12" xr3:uid="{6BCBFA74-592F-4529-9FF7-376F4686FBCD}" uniqueName="12" name="final_grade" queryTableField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9D27C4-929F-40AE-8618-B7E5BD5785F1}" name="student_performance_dataset__2" displayName="student_performance_dataset__2" ref="A1:L1001" tableType="queryTable" totalsRowShown="0">
  <autoFilter ref="A1:L1001" xr:uid="{C19D27C4-929F-40AE-8618-B7E5BD5785F1}"/>
  <tableColumns count="12">
    <tableColumn id="1" xr3:uid="{6F94E4CA-FC2D-4E3F-BC7E-17E455C58A7B}" uniqueName="1" name="student_id" queryTableFieldId="1"/>
    <tableColumn id="2" xr3:uid="{70FA4F76-CD3D-4A8B-A7DF-430E338CA42F}" uniqueName="2" name="gender" queryTableFieldId="2"/>
    <tableColumn id="3" xr3:uid="{1826981D-035B-4DE3-9476-6BE783BF78D5}" uniqueName="3" name="study_time_hours" queryTableFieldId="3"/>
    <tableColumn id="4" xr3:uid="{E6B2199A-093C-4003-A97F-CFB117588626}" uniqueName="4" name="attendance_percent" queryTableFieldId="4"/>
    <tableColumn id="5" xr3:uid="{EF3ED9EB-E34D-4D1A-AFCA-ACF933EDADCA}" uniqueName="5" name="sleep_hours" queryTableFieldId="5"/>
    <tableColumn id="6" xr3:uid="{7BF9AF7B-6DE2-4C87-93FE-401B44B92E3D}" uniqueName="6" name="parental_education" queryTableFieldId="6"/>
    <tableColumn id="7" xr3:uid="{93B22AFD-2BA9-4FAF-8463-8AF237335CA3}" uniqueName="7" name="internet_access" queryTableFieldId="7"/>
    <tableColumn id="8" xr3:uid="{BC072A3D-0669-420D-81DE-388F29F23B37}" uniqueName="8" name="extracurricular_activities" queryTableFieldId="8"/>
    <tableColumn id="9" xr3:uid="{369FF280-6A52-450A-B981-A1A5C191760B}" uniqueName="9" name="part_time_job" queryTableFieldId="9"/>
    <tableColumn id="10" xr3:uid="{8029A38C-389A-43EF-811F-79D00136AC01}" uniqueName="10" name="previous_grade" queryTableFieldId="10"/>
    <tableColumn id="11" xr3:uid="{38F3A76C-7B14-411E-B6A8-29A06B16F839}" uniqueName="11" name="final_exam_score" queryTableFieldId="11"/>
    <tableColumn id="12" xr3:uid="{EE4845BA-AA31-454D-AB46-8C3D666CF1E8}" uniqueName="12" name="final_grade" queryTableFieldId="1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3.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10A84-5642-4EAE-B41C-802D1FE1BE59}">
  <sheetPr codeName="Sheet1"/>
  <dimension ref="A1:L1001"/>
  <sheetViews>
    <sheetView tabSelected="1" zoomScale="64" workbookViewId="0">
      <selection activeCell="I22" sqref="I22"/>
    </sheetView>
  </sheetViews>
  <sheetFormatPr defaultRowHeight="14.5" x14ac:dyDescent="0.35"/>
  <cols>
    <col min="1" max="1" width="12" bestFit="1" customWidth="1"/>
    <col min="2" max="2" width="8.81640625" bestFit="1" customWidth="1"/>
    <col min="3" max="3" width="18" bestFit="1" customWidth="1"/>
    <col min="4" max="4" width="20.08984375" bestFit="1" customWidth="1"/>
    <col min="5" max="5" width="13.1796875" bestFit="1" customWidth="1"/>
    <col min="6" max="6" width="19.54296875" bestFit="1" customWidth="1"/>
    <col min="7" max="7" width="16.453125" bestFit="1" customWidth="1"/>
    <col min="8" max="8" width="24.26953125" bestFit="1" customWidth="1"/>
    <col min="9" max="9" width="14.54296875" bestFit="1" customWidth="1"/>
    <col min="10" max="10" width="15.81640625" bestFit="1" customWidth="1"/>
    <col min="11" max="11" width="17.7265625" bestFit="1" customWidth="1"/>
    <col min="12" max="12" width="12.3632812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1</v>
      </c>
      <c r="B2" t="s">
        <v>12</v>
      </c>
      <c r="C2">
        <v>4</v>
      </c>
      <c r="D2">
        <v>98</v>
      </c>
      <c r="E2">
        <v>6.5</v>
      </c>
      <c r="F2" t="s">
        <v>13</v>
      </c>
      <c r="G2" t="s">
        <v>14</v>
      </c>
      <c r="H2" t="s">
        <v>14</v>
      </c>
      <c r="I2" t="s">
        <v>15</v>
      </c>
      <c r="J2">
        <v>76.900000000000006</v>
      </c>
      <c r="K2">
        <v>100</v>
      </c>
      <c r="L2" t="s">
        <v>16</v>
      </c>
    </row>
    <row r="3" spans="1:12" x14ac:dyDescent="0.35">
      <c r="A3">
        <v>2</v>
      </c>
      <c r="B3" t="s">
        <v>17</v>
      </c>
      <c r="C3">
        <v>6.3</v>
      </c>
      <c r="D3">
        <v>100</v>
      </c>
      <c r="E3">
        <v>5.7</v>
      </c>
      <c r="F3" t="s">
        <v>18</v>
      </c>
      <c r="G3" t="s">
        <v>14</v>
      </c>
      <c r="H3" t="s">
        <v>14</v>
      </c>
      <c r="I3" t="s">
        <v>14</v>
      </c>
      <c r="J3">
        <v>75.5</v>
      </c>
      <c r="K3">
        <v>100</v>
      </c>
      <c r="L3" t="s">
        <v>16</v>
      </c>
    </row>
    <row r="4" spans="1:12" x14ac:dyDescent="0.35">
      <c r="A4">
        <v>3</v>
      </c>
      <c r="B4" t="s">
        <v>12</v>
      </c>
      <c r="C4">
        <v>4.9000000000000004</v>
      </c>
      <c r="D4">
        <v>85.3</v>
      </c>
      <c r="E4">
        <v>7.9</v>
      </c>
      <c r="F4" t="s">
        <v>13</v>
      </c>
      <c r="G4" t="s">
        <v>14</v>
      </c>
      <c r="H4" t="s">
        <v>15</v>
      </c>
      <c r="I4" t="s">
        <v>14</v>
      </c>
      <c r="J4">
        <v>88.5</v>
      </c>
      <c r="K4">
        <v>97.3</v>
      </c>
      <c r="L4" t="s">
        <v>16</v>
      </c>
    </row>
    <row r="5" spans="1:12" x14ac:dyDescent="0.35">
      <c r="A5">
        <v>4</v>
      </c>
      <c r="B5" t="s">
        <v>12</v>
      </c>
      <c r="C5">
        <v>2.6</v>
      </c>
      <c r="D5">
        <v>77.5</v>
      </c>
      <c r="E5">
        <v>8</v>
      </c>
      <c r="F5" t="s">
        <v>19</v>
      </c>
      <c r="G5" t="s">
        <v>14</v>
      </c>
      <c r="H5" t="s">
        <v>14</v>
      </c>
      <c r="I5" t="s">
        <v>15</v>
      </c>
      <c r="J5">
        <v>85.1</v>
      </c>
      <c r="K5">
        <v>83.8</v>
      </c>
      <c r="L5" t="s">
        <v>20</v>
      </c>
    </row>
    <row r="6" spans="1:12" x14ac:dyDescent="0.35">
      <c r="A6">
        <v>5</v>
      </c>
      <c r="B6" t="s">
        <v>12</v>
      </c>
      <c r="C6">
        <v>2.2000000000000002</v>
      </c>
      <c r="D6">
        <v>89.6</v>
      </c>
      <c r="E6">
        <v>4.5999999999999996</v>
      </c>
      <c r="F6" t="s">
        <v>13</v>
      </c>
      <c r="G6" t="s">
        <v>14</v>
      </c>
      <c r="H6" t="s">
        <v>15</v>
      </c>
      <c r="I6" t="s">
        <v>14</v>
      </c>
      <c r="J6">
        <v>61.8</v>
      </c>
      <c r="K6">
        <v>68.3</v>
      </c>
      <c r="L6" t="s">
        <v>21</v>
      </c>
    </row>
    <row r="7" spans="1:12" x14ac:dyDescent="0.35">
      <c r="A7">
        <v>6</v>
      </c>
      <c r="B7" t="s">
        <v>17</v>
      </c>
      <c r="C7">
        <v>4.2</v>
      </c>
      <c r="D7">
        <v>78.2</v>
      </c>
      <c r="E7">
        <v>5.7</v>
      </c>
      <c r="F7" t="s">
        <v>18</v>
      </c>
      <c r="G7" t="s">
        <v>14</v>
      </c>
      <c r="H7" t="s">
        <v>15</v>
      </c>
      <c r="I7" t="s">
        <v>15</v>
      </c>
      <c r="J7">
        <v>79.8</v>
      </c>
      <c r="K7">
        <v>81.599999999999994</v>
      </c>
      <c r="L7" t="s">
        <v>20</v>
      </c>
    </row>
    <row r="8" spans="1:12" x14ac:dyDescent="0.35">
      <c r="A8">
        <v>7</v>
      </c>
      <c r="B8" t="s">
        <v>12</v>
      </c>
      <c r="C8">
        <v>1.5</v>
      </c>
      <c r="D8">
        <v>100</v>
      </c>
      <c r="E8">
        <v>5</v>
      </c>
      <c r="F8" t="s">
        <v>18</v>
      </c>
      <c r="G8" t="s">
        <v>14</v>
      </c>
      <c r="H8" t="s">
        <v>14</v>
      </c>
      <c r="I8" t="s">
        <v>14</v>
      </c>
      <c r="J8">
        <v>58.6</v>
      </c>
      <c r="K8">
        <v>69.599999999999994</v>
      </c>
      <c r="L8" t="s">
        <v>21</v>
      </c>
    </row>
    <row r="9" spans="1:12" x14ac:dyDescent="0.35">
      <c r="A9">
        <v>8</v>
      </c>
      <c r="B9" t="s">
        <v>12</v>
      </c>
      <c r="C9">
        <v>6.2</v>
      </c>
      <c r="D9">
        <v>86.4</v>
      </c>
      <c r="E9">
        <v>6</v>
      </c>
      <c r="F9" t="s">
        <v>18</v>
      </c>
      <c r="G9" t="s">
        <v>14</v>
      </c>
      <c r="H9" t="s">
        <v>14</v>
      </c>
      <c r="I9" t="s">
        <v>15</v>
      </c>
      <c r="J9">
        <v>78.400000000000006</v>
      </c>
      <c r="K9">
        <v>88</v>
      </c>
      <c r="L9" t="s">
        <v>20</v>
      </c>
    </row>
    <row r="10" spans="1:12" x14ac:dyDescent="0.35">
      <c r="A10">
        <v>9</v>
      </c>
      <c r="B10" t="s">
        <v>12</v>
      </c>
      <c r="C10">
        <v>5.3</v>
      </c>
      <c r="D10">
        <v>81.3</v>
      </c>
      <c r="E10">
        <v>6.7</v>
      </c>
      <c r="F10" t="s">
        <v>13</v>
      </c>
      <c r="G10" t="s">
        <v>14</v>
      </c>
      <c r="H10" t="s">
        <v>15</v>
      </c>
      <c r="I10" t="s">
        <v>15</v>
      </c>
      <c r="J10">
        <v>63.8</v>
      </c>
      <c r="K10">
        <v>84.4</v>
      </c>
      <c r="L10" t="s">
        <v>20</v>
      </c>
    </row>
    <row r="11" spans="1:12" x14ac:dyDescent="0.35">
      <c r="A11">
        <v>10</v>
      </c>
      <c r="B11" t="s">
        <v>17</v>
      </c>
      <c r="C11">
        <v>2.8</v>
      </c>
      <c r="D11">
        <v>86.8</v>
      </c>
      <c r="E11">
        <v>5.0999999999999996</v>
      </c>
      <c r="F11" t="s">
        <v>13</v>
      </c>
      <c r="G11" t="s">
        <v>14</v>
      </c>
      <c r="H11" t="s">
        <v>14</v>
      </c>
      <c r="I11" t="s">
        <v>15</v>
      </c>
      <c r="J11">
        <v>57.7</v>
      </c>
      <c r="K11">
        <v>74.3</v>
      </c>
      <c r="L11" t="s">
        <v>22</v>
      </c>
    </row>
    <row r="12" spans="1:12" x14ac:dyDescent="0.35">
      <c r="A12">
        <v>11</v>
      </c>
      <c r="B12" t="s">
        <v>12</v>
      </c>
      <c r="C12">
        <v>0.9</v>
      </c>
      <c r="D12">
        <v>71.5</v>
      </c>
      <c r="E12">
        <v>5.7</v>
      </c>
      <c r="F12" t="s">
        <v>18</v>
      </c>
      <c r="G12" t="s">
        <v>14</v>
      </c>
      <c r="H12" t="s">
        <v>15</v>
      </c>
      <c r="I12" t="s">
        <v>14</v>
      </c>
      <c r="J12">
        <v>73.400000000000006</v>
      </c>
      <c r="K12">
        <v>68.900000000000006</v>
      </c>
      <c r="L12" t="s">
        <v>21</v>
      </c>
    </row>
    <row r="13" spans="1:12" x14ac:dyDescent="0.35">
      <c r="A13">
        <v>12</v>
      </c>
      <c r="B13" t="s">
        <v>12</v>
      </c>
      <c r="C13">
        <v>5.5</v>
      </c>
      <c r="D13">
        <v>75.3</v>
      </c>
      <c r="E13">
        <v>5.6</v>
      </c>
      <c r="F13" t="s">
        <v>19</v>
      </c>
      <c r="G13" t="s">
        <v>14</v>
      </c>
      <c r="H13" t="s">
        <v>14</v>
      </c>
      <c r="I13" t="s">
        <v>15</v>
      </c>
      <c r="J13">
        <v>37.9</v>
      </c>
      <c r="K13">
        <v>76.7</v>
      </c>
      <c r="L13" t="s">
        <v>22</v>
      </c>
    </row>
    <row r="14" spans="1:12" x14ac:dyDescent="0.35">
      <c r="A14">
        <v>13</v>
      </c>
      <c r="B14" t="s">
        <v>12</v>
      </c>
      <c r="C14">
        <v>3.3</v>
      </c>
      <c r="D14">
        <v>97</v>
      </c>
      <c r="E14">
        <v>7</v>
      </c>
      <c r="F14" t="s">
        <v>23</v>
      </c>
      <c r="G14" t="s">
        <v>14</v>
      </c>
      <c r="H14" t="s">
        <v>14</v>
      </c>
      <c r="I14" t="s">
        <v>14</v>
      </c>
      <c r="J14">
        <v>49</v>
      </c>
      <c r="K14">
        <v>82.6</v>
      </c>
      <c r="L14" t="s">
        <v>20</v>
      </c>
    </row>
    <row r="15" spans="1:12" x14ac:dyDescent="0.35">
      <c r="A15">
        <v>14</v>
      </c>
      <c r="B15" t="s">
        <v>12</v>
      </c>
      <c r="C15">
        <v>5.4</v>
      </c>
      <c r="D15">
        <v>78.400000000000006</v>
      </c>
      <c r="E15">
        <v>6.9</v>
      </c>
      <c r="F15" t="s">
        <v>13</v>
      </c>
      <c r="G15" t="s">
        <v>15</v>
      </c>
      <c r="H15" t="s">
        <v>15</v>
      </c>
      <c r="I15" t="s">
        <v>15</v>
      </c>
      <c r="J15">
        <v>67.900000000000006</v>
      </c>
      <c r="K15">
        <v>93.3</v>
      </c>
      <c r="L15" t="s">
        <v>16</v>
      </c>
    </row>
    <row r="16" spans="1:12" x14ac:dyDescent="0.35">
      <c r="A16">
        <v>15</v>
      </c>
      <c r="B16" t="s">
        <v>17</v>
      </c>
      <c r="C16">
        <v>1.1000000000000001</v>
      </c>
      <c r="D16">
        <v>74.5</v>
      </c>
      <c r="E16">
        <v>5.9</v>
      </c>
      <c r="F16" t="s">
        <v>23</v>
      </c>
      <c r="G16" t="s">
        <v>14</v>
      </c>
      <c r="H16" t="s">
        <v>14</v>
      </c>
      <c r="I16" t="s">
        <v>14</v>
      </c>
      <c r="J16">
        <v>71</v>
      </c>
      <c r="K16">
        <v>73.900000000000006</v>
      </c>
      <c r="L16" t="s">
        <v>22</v>
      </c>
    </row>
    <row r="17" spans="1:12" x14ac:dyDescent="0.35">
      <c r="A17">
        <v>16</v>
      </c>
      <c r="B17" t="s">
        <v>12</v>
      </c>
      <c r="C17">
        <v>2.6</v>
      </c>
      <c r="D17">
        <v>90.4</v>
      </c>
      <c r="E17">
        <v>7</v>
      </c>
      <c r="F17" t="s">
        <v>18</v>
      </c>
      <c r="G17" t="s">
        <v>14</v>
      </c>
      <c r="H17" t="s">
        <v>14</v>
      </c>
      <c r="I17" t="s">
        <v>15</v>
      </c>
      <c r="J17">
        <v>65.599999999999994</v>
      </c>
      <c r="K17">
        <v>84.8</v>
      </c>
      <c r="L17" t="s">
        <v>20</v>
      </c>
    </row>
    <row r="18" spans="1:12" x14ac:dyDescent="0.35">
      <c r="A18">
        <v>17</v>
      </c>
      <c r="B18" t="s">
        <v>17</v>
      </c>
      <c r="C18">
        <v>3.5</v>
      </c>
      <c r="D18">
        <v>96.9</v>
      </c>
      <c r="E18">
        <v>6.1</v>
      </c>
      <c r="F18" t="s">
        <v>13</v>
      </c>
      <c r="G18" t="s">
        <v>14</v>
      </c>
      <c r="H18" t="s">
        <v>14</v>
      </c>
      <c r="I18" t="s">
        <v>15</v>
      </c>
      <c r="J18">
        <v>51</v>
      </c>
      <c r="K18">
        <v>81.5</v>
      </c>
      <c r="L18" t="s">
        <v>20</v>
      </c>
    </row>
    <row r="19" spans="1:12" x14ac:dyDescent="0.35">
      <c r="A19">
        <v>18</v>
      </c>
      <c r="B19" t="s">
        <v>17</v>
      </c>
      <c r="C19">
        <v>3.6</v>
      </c>
      <c r="D19">
        <v>92.2</v>
      </c>
      <c r="E19">
        <v>6.5</v>
      </c>
      <c r="F19" t="s">
        <v>13</v>
      </c>
      <c r="G19" t="s">
        <v>14</v>
      </c>
      <c r="H19" t="s">
        <v>14</v>
      </c>
      <c r="I19" t="s">
        <v>14</v>
      </c>
      <c r="J19">
        <v>60.2</v>
      </c>
      <c r="K19">
        <v>75.5</v>
      </c>
      <c r="L19" t="s">
        <v>22</v>
      </c>
    </row>
    <row r="20" spans="1:12" x14ac:dyDescent="0.35">
      <c r="A20">
        <v>19</v>
      </c>
      <c r="B20" t="s">
        <v>17</v>
      </c>
      <c r="C20">
        <v>2.8</v>
      </c>
      <c r="D20">
        <v>95</v>
      </c>
      <c r="E20">
        <v>8.8000000000000007</v>
      </c>
      <c r="F20" t="s">
        <v>23</v>
      </c>
      <c r="G20" t="s">
        <v>15</v>
      </c>
      <c r="H20" t="s">
        <v>14</v>
      </c>
      <c r="I20" t="s">
        <v>15</v>
      </c>
      <c r="J20">
        <v>74.7</v>
      </c>
      <c r="K20">
        <v>89.7</v>
      </c>
      <c r="L20" t="s">
        <v>20</v>
      </c>
    </row>
    <row r="21" spans="1:12" x14ac:dyDescent="0.35">
      <c r="A21">
        <v>20</v>
      </c>
      <c r="B21" t="s">
        <v>12</v>
      </c>
      <c r="C21">
        <v>4.4000000000000004</v>
      </c>
      <c r="D21">
        <v>77.400000000000006</v>
      </c>
      <c r="E21">
        <v>8.4</v>
      </c>
      <c r="F21" t="s">
        <v>23</v>
      </c>
      <c r="G21" t="s">
        <v>15</v>
      </c>
      <c r="H21" t="s">
        <v>15</v>
      </c>
      <c r="I21" t="s">
        <v>14</v>
      </c>
      <c r="J21">
        <v>77</v>
      </c>
      <c r="K21">
        <v>92.8</v>
      </c>
      <c r="L21" t="s">
        <v>16</v>
      </c>
    </row>
    <row r="22" spans="1:12" x14ac:dyDescent="0.35">
      <c r="A22">
        <v>21</v>
      </c>
      <c r="B22" t="s">
        <v>17</v>
      </c>
      <c r="C22">
        <v>1.9</v>
      </c>
      <c r="D22">
        <v>70.8</v>
      </c>
      <c r="E22">
        <v>5.2</v>
      </c>
      <c r="F22" t="s">
        <v>18</v>
      </c>
      <c r="G22" t="s">
        <v>14</v>
      </c>
      <c r="H22" t="s">
        <v>14</v>
      </c>
      <c r="I22" t="s">
        <v>15</v>
      </c>
      <c r="J22">
        <v>69.8</v>
      </c>
      <c r="K22">
        <v>73.5</v>
      </c>
      <c r="L22" t="s">
        <v>22</v>
      </c>
    </row>
    <row r="23" spans="1:12" x14ac:dyDescent="0.35">
      <c r="A23">
        <v>22</v>
      </c>
      <c r="B23" t="s">
        <v>12</v>
      </c>
      <c r="C23">
        <v>3.3</v>
      </c>
      <c r="D23">
        <v>100</v>
      </c>
      <c r="E23">
        <v>7.8</v>
      </c>
      <c r="F23" t="s">
        <v>19</v>
      </c>
      <c r="G23" t="s">
        <v>14</v>
      </c>
      <c r="H23" t="s">
        <v>14</v>
      </c>
      <c r="I23" t="s">
        <v>15</v>
      </c>
      <c r="J23">
        <v>83.9</v>
      </c>
      <c r="K23">
        <v>100</v>
      </c>
      <c r="L23" t="s">
        <v>16</v>
      </c>
    </row>
    <row r="24" spans="1:12" x14ac:dyDescent="0.35">
      <c r="A24">
        <v>23</v>
      </c>
      <c r="B24" t="s">
        <v>17</v>
      </c>
      <c r="C24">
        <v>3.7</v>
      </c>
      <c r="D24">
        <v>81.8</v>
      </c>
      <c r="E24">
        <v>7.8</v>
      </c>
      <c r="F24" t="s">
        <v>18</v>
      </c>
      <c r="G24" t="s">
        <v>15</v>
      </c>
      <c r="H24" t="s">
        <v>15</v>
      </c>
      <c r="I24" t="s">
        <v>15</v>
      </c>
      <c r="J24">
        <v>74.8</v>
      </c>
      <c r="K24">
        <v>73.400000000000006</v>
      </c>
      <c r="L24" t="s">
        <v>22</v>
      </c>
    </row>
    <row r="25" spans="1:12" x14ac:dyDescent="0.35">
      <c r="A25">
        <v>24</v>
      </c>
      <c r="B25" t="s">
        <v>17</v>
      </c>
      <c r="C25">
        <v>4.3</v>
      </c>
      <c r="D25">
        <v>82.5</v>
      </c>
      <c r="E25">
        <v>5.4</v>
      </c>
      <c r="F25" t="s">
        <v>24</v>
      </c>
      <c r="G25" t="s">
        <v>15</v>
      </c>
      <c r="H25" t="s">
        <v>14</v>
      </c>
      <c r="I25" t="s">
        <v>15</v>
      </c>
      <c r="J25">
        <v>61</v>
      </c>
      <c r="K25">
        <v>71.2</v>
      </c>
      <c r="L25" t="s">
        <v>22</v>
      </c>
    </row>
    <row r="26" spans="1:12" x14ac:dyDescent="0.35">
      <c r="A26">
        <v>25</v>
      </c>
      <c r="B26" t="s">
        <v>17</v>
      </c>
      <c r="C26">
        <v>4.5999999999999996</v>
      </c>
      <c r="D26">
        <v>98.3</v>
      </c>
      <c r="E26">
        <v>7.8</v>
      </c>
      <c r="F26" t="s">
        <v>19</v>
      </c>
      <c r="G26" t="s">
        <v>14</v>
      </c>
      <c r="H26" t="s">
        <v>14</v>
      </c>
      <c r="I26" t="s">
        <v>14</v>
      </c>
      <c r="J26">
        <v>66.599999999999994</v>
      </c>
      <c r="K26">
        <v>97.2</v>
      </c>
      <c r="L26" t="s">
        <v>16</v>
      </c>
    </row>
    <row r="27" spans="1:12" x14ac:dyDescent="0.35">
      <c r="A27">
        <v>26</v>
      </c>
      <c r="B27" t="s">
        <v>17</v>
      </c>
      <c r="C27">
        <v>1.8</v>
      </c>
      <c r="D27">
        <v>90.6</v>
      </c>
      <c r="E27">
        <v>8.6</v>
      </c>
      <c r="F27" t="s">
        <v>18</v>
      </c>
      <c r="G27" t="s">
        <v>14</v>
      </c>
      <c r="H27" t="s">
        <v>15</v>
      </c>
      <c r="I27" t="s">
        <v>15</v>
      </c>
      <c r="J27">
        <v>53.2</v>
      </c>
      <c r="K27">
        <v>76</v>
      </c>
      <c r="L27" t="s">
        <v>22</v>
      </c>
    </row>
    <row r="28" spans="1:12" x14ac:dyDescent="0.35">
      <c r="A28">
        <v>27</v>
      </c>
      <c r="B28" t="s">
        <v>17</v>
      </c>
      <c r="C28">
        <v>1.2</v>
      </c>
      <c r="D28">
        <v>89.6</v>
      </c>
      <c r="E28">
        <v>5.5</v>
      </c>
      <c r="F28" t="s">
        <v>23</v>
      </c>
      <c r="G28" t="s">
        <v>14</v>
      </c>
      <c r="H28" t="s">
        <v>15</v>
      </c>
      <c r="I28" t="s">
        <v>14</v>
      </c>
      <c r="J28">
        <v>68.7</v>
      </c>
      <c r="K28">
        <v>78.7</v>
      </c>
      <c r="L28" t="s">
        <v>22</v>
      </c>
    </row>
    <row r="29" spans="1:12" x14ac:dyDescent="0.35">
      <c r="A29">
        <v>28</v>
      </c>
      <c r="B29" t="s">
        <v>17</v>
      </c>
      <c r="C29">
        <v>5.4</v>
      </c>
      <c r="D29">
        <v>100</v>
      </c>
      <c r="E29">
        <v>5.7</v>
      </c>
      <c r="F29" t="s">
        <v>18</v>
      </c>
      <c r="G29" t="s">
        <v>15</v>
      </c>
      <c r="H29" t="s">
        <v>15</v>
      </c>
      <c r="I29" t="s">
        <v>15</v>
      </c>
      <c r="J29">
        <v>83.3</v>
      </c>
      <c r="K29">
        <v>97.4</v>
      </c>
      <c r="L29" t="s">
        <v>16</v>
      </c>
    </row>
    <row r="30" spans="1:12" x14ac:dyDescent="0.35">
      <c r="A30">
        <v>29</v>
      </c>
      <c r="B30" t="s">
        <v>17</v>
      </c>
      <c r="C30">
        <v>4</v>
      </c>
      <c r="D30">
        <v>78.599999999999994</v>
      </c>
      <c r="E30">
        <v>8</v>
      </c>
      <c r="F30" t="s">
        <v>13</v>
      </c>
      <c r="G30" t="s">
        <v>14</v>
      </c>
      <c r="H30" t="s">
        <v>15</v>
      </c>
      <c r="I30" t="s">
        <v>15</v>
      </c>
      <c r="J30">
        <v>78.2</v>
      </c>
      <c r="K30">
        <v>84.2</v>
      </c>
      <c r="L30" t="s">
        <v>20</v>
      </c>
    </row>
    <row r="31" spans="1:12" x14ac:dyDescent="0.35">
      <c r="A31">
        <v>30</v>
      </c>
      <c r="B31" t="s">
        <v>17</v>
      </c>
      <c r="C31">
        <v>2.4</v>
      </c>
      <c r="D31">
        <v>94.3</v>
      </c>
      <c r="E31">
        <v>7.1</v>
      </c>
      <c r="F31" t="s">
        <v>13</v>
      </c>
      <c r="G31" t="s">
        <v>14</v>
      </c>
      <c r="H31" t="s">
        <v>14</v>
      </c>
      <c r="I31" t="s">
        <v>15</v>
      </c>
      <c r="J31">
        <v>86.8</v>
      </c>
      <c r="K31">
        <v>89.8</v>
      </c>
      <c r="L31" t="s">
        <v>20</v>
      </c>
    </row>
    <row r="32" spans="1:12" x14ac:dyDescent="0.35">
      <c r="A32">
        <v>31</v>
      </c>
      <c r="B32" t="s">
        <v>12</v>
      </c>
      <c r="C32">
        <v>5.8</v>
      </c>
      <c r="D32">
        <v>85.6</v>
      </c>
      <c r="E32">
        <v>7.5</v>
      </c>
      <c r="F32" t="s">
        <v>13</v>
      </c>
      <c r="G32" t="s">
        <v>14</v>
      </c>
      <c r="H32" t="s">
        <v>15</v>
      </c>
      <c r="I32" t="s">
        <v>14</v>
      </c>
      <c r="J32">
        <v>66.400000000000006</v>
      </c>
      <c r="K32">
        <v>82.4</v>
      </c>
      <c r="L32" t="s">
        <v>20</v>
      </c>
    </row>
    <row r="33" spans="1:12" x14ac:dyDescent="0.35">
      <c r="A33">
        <v>32</v>
      </c>
      <c r="B33" t="s">
        <v>12</v>
      </c>
      <c r="C33">
        <v>3.7</v>
      </c>
      <c r="D33">
        <v>87.7</v>
      </c>
      <c r="E33">
        <v>7.2</v>
      </c>
      <c r="F33" t="s">
        <v>19</v>
      </c>
      <c r="G33" t="s">
        <v>14</v>
      </c>
      <c r="H33" t="s">
        <v>14</v>
      </c>
      <c r="I33" t="s">
        <v>15</v>
      </c>
      <c r="J33">
        <v>86.2</v>
      </c>
      <c r="K33">
        <v>87.7</v>
      </c>
      <c r="L33" t="s">
        <v>20</v>
      </c>
    </row>
    <row r="34" spans="1:12" x14ac:dyDescent="0.35">
      <c r="A34">
        <v>33</v>
      </c>
      <c r="B34" t="s">
        <v>17</v>
      </c>
      <c r="C34">
        <v>5.3</v>
      </c>
      <c r="D34">
        <v>100</v>
      </c>
      <c r="E34">
        <v>7.3</v>
      </c>
      <c r="F34" t="s">
        <v>23</v>
      </c>
      <c r="G34" t="s">
        <v>14</v>
      </c>
      <c r="H34" t="s">
        <v>14</v>
      </c>
      <c r="I34" t="s">
        <v>15</v>
      </c>
      <c r="J34">
        <v>67.7</v>
      </c>
      <c r="K34">
        <v>100</v>
      </c>
      <c r="L34" t="s">
        <v>16</v>
      </c>
    </row>
    <row r="35" spans="1:12" x14ac:dyDescent="0.35">
      <c r="A35">
        <v>34</v>
      </c>
      <c r="B35" t="s">
        <v>17</v>
      </c>
      <c r="C35">
        <v>3.6</v>
      </c>
      <c r="D35">
        <v>90.1</v>
      </c>
      <c r="E35">
        <v>5.2</v>
      </c>
      <c r="F35" t="s">
        <v>13</v>
      </c>
      <c r="G35" t="s">
        <v>15</v>
      </c>
      <c r="H35" t="s">
        <v>14</v>
      </c>
      <c r="I35" t="s">
        <v>15</v>
      </c>
      <c r="J35">
        <v>87.7</v>
      </c>
      <c r="K35">
        <v>93.3</v>
      </c>
      <c r="L35" t="s">
        <v>16</v>
      </c>
    </row>
    <row r="36" spans="1:12" x14ac:dyDescent="0.35">
      <c r="A36">
        <v>35</v>
      </c>
      <c r="B36" t="s">
        <v>17</v>
      </c>
      <c r="C36">
        <v>6.6</v>
      </c>
      <c r="D36">
        <v>90.4</v>
      </c>
      <c r="E36">
        <v>8.1</v>
      </c>
      <c r="F36" t="s">
        <v>23</v>
      </c>
      <c r="G36" t="s">
        <v>14</v>
      </c>
      <c r="H36" t="s">
        <v>14</v>
      </c>
      <c r="I36" t="s">
        <v>14</v>
      </c>
      <c r="J36">
        <v>69.7</v>
      </c>
      <c r="K36">
        <v>100</v>
      </c>
      <c r="L36" t="s">
        <v>16</v>
      </c>
    </row>
    <row r="37" spans="1:12" x14ac:dyDescent="0.35">
      <c r="A37">
        <v>36</v>
      </c>
      <c r="B37" t="s">
        <v>12</v>
      </c>
      <c r="C37">
        <v>6.1</v>
      </c>
      <c r="D37">
        <v>95.7</v>
      </c>
      <c r="E37">
        <v>8.1999999999999993</v>
      </c>
      <c r="F37" t="s">
        <v>19</v>
      </c>
      <c r="G37" t="s">
        <v>14</v>
      </c>
      <c r="H37" t="s">
        <v>14</v>
      </c>
      <c r="I37" t="s">
        <v>14</v>
      </c>
      <c r="J37">
        <v>78.5</v>
      </c>
      <c r="K37">
        <v>92.9</v>
      </c>
      <c r="L37" t="s">
        <v>16</v>
      </c>
    </row>
    <row r="38" spans="1:12" x14ac:dyDescent="0.35">
      <c r="A38">
        <v>37</v>
      </c>
      <c r="B38" t="s">
        <v>17</v>
      </c>
      <c r="C38">
        <v>3.1</v>
      </c>
      <c r="D38">
        <v>81.400000000000006</v>
      </c>
      <c r="E38">
        <v>6.5</v>
      </c>
      <c r="F38" t="s">
        <v>18</v>
      </c>
      <c r="G38" t="s">
        <v>14</v>
      </c>
      <c r="H38" t="s">
        <v>15</v>
      </c>
      <c r="I38" t="s">
        <v>14</v>
      </c>
      <c r="J38">
        <v>87.7</v>
      </c>
      <c r="K38">
        <v>83.2</v>
      </c>
      <c r="L38" t="s">
        <v>20</v>
      </c>
    </row>
    <row r="39" spans="1:12" x14ac:dyDescent="0.35">
      <c r="A39">
        <v>38</v>
      </c>
      <c r="B39" t="s">
        <v>12</v>
      </c>
      <c r="C39">
        <v>5</v>
      </c>
      <c r="D39">
        <v>76.599999999999994</v>
      </c>
      <c r="E39">
        <v>6.7</v>
      </c>
      <c r="F39" t="s">
        <v>19</v>
      </c>
      <c r="G39" t="s">
        <v>14</v>
      </c>
      <c r="H39" t="s">
        <v>14</v>
      </c>
      <c r="I39" t="s">
        <v>15</v>
      </c>
      <c r="J39">
        <v>67.7</v>
      </c>
      <c r="K39">
        <v>81.099999999999994</v>
      </c>
      <c r="L39" t="s">
        <v>20</v>
      </c>
    </row>
    <row r="40" spans="1:12" x14ac:dyDescent="0.35">
      <c r="A40">
        <v>39</v>
      </c>
      <c r="B40" t="s">
        <v>12</v>
      </c>
      <c r="C40">
        <v>4.5</v>
      </c>
      <c r="D40">
        <v>74.599999999999994</v>
      </c>
      <c r="E40">
        <v>5</v>
      </c>
      <c r="F40" t="s">
        <v>18</v>
      </c>
      <c r="G40" t="s">
        <v>14</v>
      </c>
      <c r="H40" t="s">
        <v>14</v>
      </c>
      <c r="I40" t="s">
        <v>14</v>
      </c>
      <c r="J40">
        <v>72.599999999999994</v>
      </c>
      <c r="K40">
        <v>89.5</v>
      </c>
      <c r="L40" t="s">
        <v>20</v>
      </c>
    </row>
    <row r="41" spans="1:12" x14ac:dyDescent="0.35">
      <c r="A41">
        <v>40</v>
      </c>
      <c r="B41" t="s">
        <v>12</v>
      </c>
      <c r="C41">
        <v>5.6</v>
      </c>
      <c r="D41">
        <v>65.3</v>
      </c>
      <c r="E41">
        <v>7.4</v>
      </c>
      <c r="F41" t="s">
        <v>23</v>
      </c>
      <c r="G41" t="s">
        <v>14</v>
      </c>
      <c r="H41" t="s">
        <v>14</v>
      </c>
      <c r="I41" t="s">
        <v>15</v>
      </c>
      <c r="J41">
        <v>85.5</v>
      </c>
      <c r="K41">
        <v>91.6</v>
      </c>
      <c r="L41" t="s">
        <v>16</v>
      </c>
    </row>
    <row r="42" spans="1:12" x14ac:dyDescent="0.35">
      <c r="A42">
        <v>41</v>
      </c>
      <c r="B42" t="s">
        <v>12</v>
      </c>
      <c r="C42">
        <v>2.1</v>
      </c>
      <c r="D42">
        <v>100</v>
      </c>
      <c r="E42">
        <v>7.5</v>
      </c>
      <c r="F42" t="s">
        <v>18</v>
      </c>
      <c r="G42" t="s">
        <v>14</v>
      </c>
      <c r="H42" t="s">
        <v>14</v>
      </c>
      <c r="I42" t="s">
        <v>14</v>
      </c>
      <c r="J42">
        <v>68.400000000000006</v>
      </c>
      <c r="K42">
        <v>75.3</v>
      </c>
      <c r="L42" t="s">
        <v>22</v>
      </c>
    </row>
    <row r="43" spans="1:12" x14ac:dyDescent="0.35">
      <c r="A43">
        <v>42</v>
      </c>
      <c r="B43" t="s">
        <v>12</v>
      </c>
      <c r="C43">
        <v>4.5</v>
      </c>
      <c r="D43">
        <v>74</v>
      </c>
      <c r="E43">
        <v>6.7</v>
      </c>
      <c r="F43" t="s">
        <v>18</v>
      </c>
      <c r="G43" t="s">
        <v>14</v>
      </c>
      <c r="H43" t="s">
        <v>15</v>
      </c>
      <c r="I43" t="s">
        <v>15</v>
      </c>
      <c r="J43">
        <v>54.1</v>
      </c>
      <c r="K43">
        <v>79</v>
      </c>
      <c r="L43" t="s">
        <v>22</v>
      </c>
    </row>
    <row r="44" spans="1:12" x14ac:dyDescent="0.35">
      <c r="A44">
        <v>43</v>
      </c>
      <c r="B44" t="s">
        <v>17</v>
      </c>
      <c r="C44">
        <v>5.0999999999999996</v>
      </c>
      <c r="D44">
        <v>82.8</v>
      </c>
      <c r="E44">
        <v>8.1</v>
      </c>
      <c r="F44" t="s">
        <v>13</v>
      </c>
      <c r="G44" t="s">
        <v>14</v>
      </c>
      <c r="H44" t="s">
        <v>14</v>
      </c>
      <c r="I44" t="s">
        <v>15</v>
      </c>
      <c r="J44">
        <v>95.7</v>
      </c>
      <c r="K44">
        <v>100</v>
      </c>
      <c r="L44" t="s">
        <v>16</v>
      </c>
    </row>
    <row r="45" spans="1:12" x14ac:dyDescent="0.35">
      <c r="A45">
        <v>44</v>
      </c>
      <c r="B45" t="s">
        <v>17</v>
      </c>
      <c r="C45">
        <v>0.9</v>
      </c>
      <c r="D45">
        <v>82.2</v>
      </c>
      <c r="E45">
        <v>6.4</v>
      </c>
      <c r="F45" t="s">
        <v>13</v>
      </c>
      <c r="G45" t="s">
        <v>14</v>
      </c>
      <c r="H45" t="s">
        <v>14</v>
      </c>
      <c r="I45" t="s">
        <v>15</v>
      </c>
      <c r="J45">
        <v>64.400000000000006</v>
      </c>
      <c r="K45">
        <v>79.2</v>
      </c>
      <c r="L45" t="s">
        <v>22</v>
      </c>
    </row>
    <row r="46" spans="1:12" x14ac:dyDescent="0.35">
      <c r="A46">
        <v>45</v>
      </c>
      <c r="B46" t="s">
        <v>17</v>
      </c>
      <c r="C46">
        <v>1.7</v>
      </c>
      <c r="D46">
        <v>88.1</v>
      </c>
      <c r="E46">
        <v>7.5</v>
      </c>
      <c r="F46" t="s">
        <v>13</v>
      </c>
      <c r="G46" t="s">
        <v>15</v>
      </c>
      <c r="H46" t="s">
        <v>14</v>
      </c>
      <c r="I46" t="s">
        <v>15</v>
      </c>
      <c r="J46">
        <v>71.900000000000006</v>
      </c>
      <c r="K46">
        <v>70.8</v>
      </c>
      <c r="L46" t="s">
        <v>22</v>
      </c>
    </row>
    <row r="47" spans="1:12" x14ac:dyDescent="0.35">
      <c r="A47">
        <v>46</v>
      </c>
      <c r="B47" t="s">
        <v>17</v>
      </c>
      <c r="C47">
        <v>0.5</v>
      </c>
      <c r="D47">
        <v>93.2</v>
      </c>
      <c r="E47">
        <v>5.6</v>
      </c>
      <c r="F47" t="s">
        <v>18</v>
      </c>
      <c r="G47" t="s">
        <v>15</v>
      </c>
      <c r="H47" t="s">
        <v>15</v>
      </c>
      <c r="I47" t="s">
        <v>14</v>
      </c>
      <c r="J47">
        <v>83.9</v>
      </c>
      <c r="K47">
        <v>61.8</v>
      </c>
      <c r="L47" t="s">
        <v>21</v>
      </c>
    </row>
    <row r="48" spans="1:12" x14ac:dyDescent="0.35">
      <c r="A48">
        <v>47</v>
      </c>
      <c r="B48" t="s">
        <v>17</v>
      </c>
      <c r="C48">
        <v>3.1</v>
      </c>
      <c r="D48">
        <v>93.6</v>
      </c>
      <c r="E48">
        <v>6.8</v>
      </c>
      <c r="F48" t="s">
        <v>13</v>
      </c>
      <c r="G48" t="s">
        <v>14</v>
      </c>
      <c r="H48" t="s">
        <v>14</v>
      </c>
      <c r="I48" t="s">
        <v>14</v>
      </c>
      <c r="J48">
        <v>62.7</v>
      </c>
      <c r="K48">
        <v>68</v>
      </c>
      <c r="L48" t="s">
        <v>21</v>
      </c>
    </row>
    <row r="49" spans="1:12" x14ac:dyDescent="0.35">
      <c r="A49">
        <v>48</v>
      </c>
      <c r="B49" t="s">
        <v>12</v>
      </c>
      <c r="C49">
        <v>4.5999999999999996</v>
      </c>
      <c r="D49">
        <v>79.2</v>
      </c>
      <c r="E49">
        <v>6.6</v>
      </c>
      <c r="F49" t="s">
        <v>19</v>
      </c>
      <c r="G49" t="s">
        <v>14</v>
      </c>
      <c r="H49" t="s">
        <v>14</v>
      </c>
      <c r="I49" t="s">
        <v>14</v>
      </c>
      <c r="J49">
        <v>57.9</v>
      </c>
      <c r="K49">
        <v>80.3</v>
      </c>
      <c r="L49" t="s">
        <v>20</v>
      </c>
    </row>
    <row r="50" spans="1:12" x14ac:dyDescent="0.35">
      <c r="A50">
        <v>49</v>
      </c>
      <c r="B50" t="s">
        <v>17</v>
      </c>
      <c r="C50">
        <v>5.8</v>
      </c>
      <c r="D50">
        <v>83.3</v>
      </c>
      <c r="E50">
        <v>7.1</v>
      </c>
      <c r="F50" t="s">
        <v>13</v>
      </c>
      <c r="G50" t="s">
        <v>15</v>
      </c>
      <c r="H50" t="s">
        <v>14</v>
      </c>
      <c r="I50" t="s">
        <v>15</v>
      </c>
      <c r="J50">
        <v>73</v>
      </c>
      <c r="K50">
        <v>88.6</v>
      </c>
      <c r="L50" t="s">
        <v>20</v>
      </c>
    </row>
    <row r="51" spans="1:12" x14ac:dyDescent="0.35">
      <c r="A51">
        <v>50</v>
      </c>
      <c r="B51" t="s">
        <v>17</v>
      </c>
      <c r="C51">
        <v>3.6</v>
      </c>
      <c r="D51">
        <v>87.8</v>
      </c>
      <c r="E51">
        <v>6.4</v>
      </c>
      <c r="F51" t="s">
        <v>18</v>
      </c>
      <c r="G51" t="s">
        <v>14</v>
      </c>
      <c r="H51" t="s">
        <v>14</v>
      </c>
      <c r="I51" t="s">
        <v>15</v>
      </c>
      <c r="J51">
        <v>48.5</v>
      </c>
      <c r="K51">
        <v>69.400000000000006</v>
      </c>
      <c r="L51" t="s">
        <v>21</v>
      </c>
    </row>
    <row r="52" spans="1:12" x14ac:dyDescent="0.35">
      <c r="A52">
        <v>51</v>
      </c>
      <c r="B52" t="s">
        <v>12</v>
      </c>
      <c r="C52">
        <v>5.9</v>
      </c>
      <c r="D52">
        <v>82.5</v>
      </c>
      <c r="E52">
        <v>6.6</v>
      </c>
      <c r="F52" t="s">
        <v>13</v>
      </c>
      <c r="G52" t="s">
        <v>14</v>
      </c>
      <c r="H52" t="s">
        <v>14</v>
      </c>
      <c r="I52" t="s">
        <v>15</v>
      </c>
      <c r="J52">
        <v>66.5</v>
      </c>
      <c r="K52">
        <v>100</v>
      </c>
      <c r="L52" t="s">
        <v>16</v>
      </c>
    </row>
    <row r="53" spans="1:12" x14ac:dyDescent="0.35">
      <c r="A53">
        <v>52</v>
      </c>
      <c r="B53" t="s">
        <v>17</v>
      </c>
      <c r="C53">
        <v>1.4</v>
      </c>
      <c r="D53">
        <v>100</v>
      </c>
      <c r="E53">
        <v>7.8</v>
      </c>
      <c r="F53" t="s">
        <v>18</v>
      </c>
      <c r="G53" t="s">
        <v>15</v>
      </c>
      <c r="H53" t="s">
        <v>15</v>
      </c>
      <c r="I53" t="s">
        <v>15</v>
      </c>
      <c r="J53">
        <v>72.900000000000006</v>
      </c>
      <c r="K53">
        <v>81.8</v>
      </c>
      <c r="L53" t="s">
        <v>20</v>
      </c>
    </row>
    <row r="54" spans="1:12" x14ac:dyDescent="0.35">
      <c r="A54">
        <v>53</v>
      </c>
      <c r="B54" t="s">
        <v>12</v>
      </c>
      <c r="C54">
        <v>0.9</v>
      </c>
      <c r="D54">
        <v>89.9</v>
      </c>
      <c r="E54">
        <v>6.3</v>
      </c>
      <c r="F54" t="s">
        <v>23</v>
      </c>
      <c r="G54" t="s">
        <v>14</v>
      </c>
      <c r="H54" t="s">
        <v>15</v>
      </c>
      <c r="I54" t="s">
        <v>15</v>
      </c>
      <c r="J54">
        <v>66.8</v>
      </c>
      <c r="K54">
        <v>72.599999999999994</v>
      </c>
      <c r="L54" t="s">
        <v>22</v>
      </c>
    </row>
    <row r="55" spans="1:12" x14ac:dyDescent="0.35">
      <c r="A55">
        <v>54</v>
      </c>
      <c r="B55" t="s">
        <v>17</v>
      </c>
      <c r="C55">
        <v>3.4</v>
      </c>
      <c r="D55">
        <v>92.3</v>
      </c>
      <c r="E55">
        <v>4.9000000000000004</v>
      </c>
      <c r="F55" t="s">
        <v>23</v>
      </c>
      <c r="G55" t="s">
        <v>14</v>
      </c>
      <c r="H55" t="s">
        <v>15</v>
      </c>
      <c r="I55" t="s">
        <v>15</v>
      </c>
      <c r="J55">
        <v>51.5</v>
      </c>
      <c r="K55">
        <v>85.3</v>
      </c>
      <c r="L55" t="s">
        <v>20</v>
      </c>
    </row>
    <row r="56" spans="1:12" x14ac:dyDescent="0.35">
      <c r="A56">
        <v>55</v>
      </c>
      <c r="B56" t="s">
        <v>12</v>
      </c>
      <c r="C56">
        <v>4.0999999999999996</v>
      </c>
      <c r="D56">
        <v>91.6</v>
      </c>
      <c r="E56">
        <v>8.9</v>
      </c>
      <c r="F56" t="s">
        <v>13</v>
      </c>
      <c r="G56" t="s">
        <v>15</v>
      </c>
      <c r="H56" t="s">
        <v>14</v>
      </c>
      <c r="I56" t="s">
        <v>15</v>
      </c>
      <c r="J56">
        <v>89.1</v>
      </c>
      <c r="K56">
        <v>99.8</v>
      </c>
      <c r="L56" t="s">
        <v>16</v>
      </c>
    </row>
    <row r="57" spans="1:12" x14ac:dyDescent="0.35">
      <c r="A57">
        <v>56</v>
      </c>
      <c r="B57" t="s">
        <v>17</v>
      </c>
      <c r="C57">
        <v>3.5</v>
      </c>
      <c r="D57">
        <v>96.7</v>
      </c>
      <c r="E57">
        <v>8.5</v>
      </c>
      <c r="F57" t="s">
        <v>13</v>
      </c>
      <c r="G57" t="s">
        <v>14</v>
      </c>
      <c r="H57" t="s">
        <v>14</v>
      </c>
      <c r="I57" t="s">
        <v>14</v>
      </c>
      <c r="J57">
        <v>71.2</v>
      </c>
      <c r="K57">
        <v>84.3</v>
      </c>
      <c r="L57" t="s">
        <v>20</v>
      </c>
    </row>
    <row r="58" spans="1:12" x14ac:dyDescent="0.35">
      <c r="A58">
        <v>57</v>
      </c>
      <c r="B58" t="s">
        <v>17</v>
      </c>
      <c r="C58">
        <v>0.5</v>
      </c>
      <c r="D58">
        <v>86.8</v>
      </c>
      <c r="E58">
        <v>5.2</v>
      </c>
      <c r="F58" t="s">
        <v>23</v>
      </c>
      <c r="G58" t="s">
        <v>14</v>
      </c>
      <c r="H58" t="s">
        <v>14</v>
      </c>
      <c r="I58" t="s">
        <v>15</v>
      </c>
      <c r="J58">
        <v>87.2</v>
      </c>
      <c r="K58">
        <v>71.5</v>
      </c>
      <c r="L58" t="s">
        <v>22</v>
      </c>
    </row>
    <row r="59" spans="1:12" x14ac:dyDescent="0.35">
      <c r="A59">
        <v>58</v>
      </c>
      <c r="B59" t="s">
        <v>12</v>
      </c>
      <c r="C59">
        <v>3.4</v>
      </c>
      <c r="D59">
        <v>72</v>
      </c>
      <c r="E59">
        <v>7.6</v>
      </c>
      <c r="F59" t="s">
        <v>13</v>
      </c>
      <c r="G59" t="s">
        <v>14</v>
      </c>
      <c r="H59" t="s">
        <v>15</v>
      </c>
      <c r="I59" t="s">
        <v>15</v>
      </c>
      <c r="J59">
        <v>66.900000000000006</v>
      </c>
      <c r="K59">
        <v>84.3</v>
      </c>
      <c r="L59" t="s">
        <v>20</v>
      </c>
    </row>
    <row r="60" spans="1:12" x14ac:dyDescent="0.35">
      <c r="A60">
        <v>59</v>
      </c>
      <c r="B60" t="s">
        <v>12</v>
      </c>
      <c r="C60">
        <v>1.5</v>
      </c>
      <c r="D60">
        <v>89</v>
      </c>
      <c r="E60">
        <v>6.2</v>
      </c>
      <c r="F60" t="s">
        <v>23</v>
      </c>
      <c r="G60" t="s">
        <v>14</v>
      </c>
      <c r="H60" t="s">
        <v>15</v>
      </c>
      <c r="I60" t="s">
        <v>15</v>
      </c>
      <c r="J60">
        <v>59.4</v>
      </c>
      <c r="K60">
        <v>74.5</v>
      </c>
      <c r="L60" t="s">
        <v>22</v>
      </c>
    </row>
    <row r="61" spans="1:12" x14ac:dyDescent="0.35">
      <c r="A61">
        <v>60</v>
      </c>
      <c r="B61" t="s">
        <v>12</v>
      </c>
      <c r="C61">
        <v>4.5</v>
      </c>
      <c r="D61">
        <v>78.5</v>
      </c>
      <c r="E61">
        <v>7.1</v>
      </c>
      <c r="F61" t="s">
        <v>13</v>
      </c>
      <c r="G61" t="s">
        <v>14</v>
      </c>
      <c r="H61" t="s">
        <v>15</v>
      </c>
      <c r="I61" t="s">
        <v>15</v>
      </c>
      <c r="J61">
        <v>73.2</v>
      </c>
      <c r="K61">
        <v>89.5</v>
      </c>
      <c r="L61" t="s">
        <v>20</v>
      </c>
    </row>
    <row r="62" spans="1:12" x14ac:dyDescent="0.35">
      <c r="A62">
        <v>61</v>
      </c>
      <c r="B62" t="s">
        <v>12</v>
      </c>
      <c r="C62">
        <v>4</v>
      </c>
      <c r="D62">
        <v>79.7</v>
      </c>
      <c r="E62">
        <v>7.2</v>
      </c>
      <c r="F62" t="s">
        <v>23</v>
      </c>
      <c r="G62" t="s">
        <v>14</v>
      </c>
      <c r="H62" t="s">
        <v>14</v>
      </c>
      <c r="I62" t="s">
        <v>15</v>
      </c>
      <c r="J62">
        <v>67.400000000000006</v>
      </c>
      <c r="K62">
        <v>80.400000000000006</v>
      </c>
      <c r="L62" t="s">
        <v>20</v>
      </c>
    </row>
    <row r="63" spans="1:12" x14ac:dyDescent="0.35">
      <c r="A63">
        <v>62</v>
      </c>
      <c r="B63" t="s">
        <v>12</v>
      </c>
      <c r="C63">
        <v>2.1</v>
      </c>
      <c r="D63">
        <v>90.9</v>
      </c>
      <c r="E63">
        <v>6.5</v>
      </c>
      <c r="F63" t="s">
        <v>13</v>
      </c>
      <c r="G63" t="s">
        <v>15</v>
      </c>
      <c r="H63" t="s">
        <v>14</v>
      </c>
      <c r="I63" t="s">
        <v>14</v>
      </c>
      <c r="J63">
        <v>55.9</v>
      </c>
      <c r="K63">
        <v>71.099999999999994</v>
      </c>
      <c r="L63" t="s">
        <v>22</v>
      </c>
    </row>
    <row r="64" spans="1:12" x14ac:dyDescent="0.35">
      <c r="A64">
        <v>63</v>
      </c>
      <c r="B64" t="s">
        <v>12</v>
      </c>
      <c r="C64">
        <v>2.7</v>
      </c>
      <c r="D64">
        <v>97.4</v>
      </c>
      <c r="E64">
        <v>5.9</v>
      </c>
      <c r="F64" t="s">
        <v>13</v>
      </c>
      <c r="G64" t="s">
        <v>14</v>
      </c>
      <c r="H64" t="s">
        <v>14</v>
      </c>
      <c r="I64" t="s">
        <v>15</v>
      </c>
      <c r="J64">
        <v>87.6</v>
      </c>
      <c r="K64">
        <v>87.8</v>
      </c>
      <c r="L64" t="s">
        <v>20</v>
      </c>
    </row>
    <row r="65" spans="1:12" x14ac:dyDescent="0.35">
      <c r="A65">
        <v>64</v>
      </c>
      <c r="B65" t="s">
        <v>12</v>
      </c>
      <c r="C65">
        <v>1.9</v>
      </c>
      <c r="D65">
        <v>85.2</v>
      </c>
      <c r="E65">
        <v>6</v>
      </c>
      <c r="F65" t="s">
        <v>19</v>
      </c>
      <c r="G65" t="s">
        <v>14</v>
      </c>
      <c r="H65" t="s">
        <v>15</v>
      </c>
      <c r="I65" t="s">
        <v>15</v>
      </c>
      <c r="J65">
        <v>62.5</v>
      </c>
      <c r="K65">
        <v>73</v>
      </c>
      <c r="L65" t="s">
        <v>22</v>
      </c>
    </row>
    <row r="66" spans="1:12" x14ac:dyDescent="0.35">
      <c r="A66">
        <v>65</v>
      </c>
      <c r="B66" t="s">
        <v>12</v>
      </c>
      <c r="C66">
        <v>3.4</v>
      </c>
      <c r="D66">
        <v>88.1</v>
      </c>
      <c r="E66">
        <v>5.7</v>
      </c>
      <c r="F66" t="s">
        <v>13</v>
      </c>
      <c r="G66" t="s">
        <v>14</v>
      </c>
      <c r="H66" t="s">
        <v>15</v>
      </c>
      <c r="I66" t="s">
        <v>14</v>
      </c>
      <c r="J66">
        <v>47.9</v>
      </c>
      <c r="K66">
        <v>80.8</v>
      </c>
      <c r="L66" t="s">
        <v>20</v>
      </c>
    </row>
    <row r="67" spans="1:12" x14ac:dyDescent="0.35">
      <c r="A67">
        <v>66</v>
      </c>
      <c r="B67" t="s">
        <v>17</v>
      </c>
      <c r="C67">
        <v>4.9000000000000004</v>
      </c>
      <c r="D67">
        <v>100</v>
      </c>
      <c r="E67">
        <v>5.8</v>
      </c>
      <c r="F67" t="s">
        <v>13</v>
      </c>
      <c r="G67" t="s">
        <v>14</v>
      </c>
      <c r="H67" t="s">
        <v>15</v>
      </c>
      <c r="I67" t="s">
        <v>15</v>
      </c>
      <c r="J67">
        <v>85.9</v>
      </c>
      <c r="K67">
        <v>97.4</v>
      </c>
      <c r="L67" t="s">
        <v>16</v>
      </c>
    </row>
    <row r="68" spans="1:12" x14ac:dyDescent="0.35">
      <c r="A68">
        <v>67</v>
      </c>
      <c r="B68" t="s">
        <v>17</v>
      </c>
      <c r="C68">
        <v>2</v>
      </c>
      <c r="D68">
        <v>87.4</v>
      </c>
      <c r="E68">
        <v>6.7</v>
      </c>
      <c r="F68" t="s">
        <v>18</v>
      </c>
      <c r="G68" t="s">
        <v>14</v>
      </c>
      <c r="H68" t="s">
        <v>14</v>
      </c>
      <c r="I68" t="s">
        <v>15</v>
      </c>
      <c r="J68">
        <v>63.9</v>
      </c>
      <c r="K68">
        <v>67.8</v>
      </c>
      <c r="L68" t="s">
        <v>21</v>
      </c>
    </row>
    <row r="69" spans="1:12" x14ac:dyDescent="0.35">
      <c r="A69">
        <v>68</v>
      </c>
      <c r="B69" t="s">
        <v>12</v>
      </c>
      <c r="C69">
        <v>4.3</v>
      </c>
      <c r="D69">
        <v>100</v>
      </c>
      <c r="E69">
        <v>5.9</v>
      </c>
      <c r="F69" t="s">
        <v>13</v>
      </c>
      <c r="G69" t="s">
        <v>15</v>
      </c>
      <c r="H69" t="s">
        <v>14</v>
      </c>
      <c r="I69" t="s">
        <v>15</v>
      </c>
      <c r="J69">
        <v>62.7</v>
      </c>
      <c r="K69">
        <v>79.2</v>
      </c>
      <c r="L69" t="s">
        <v>22</v>
      </c>
    </row>
    <row r="70" spans="1:12" x14ac:dyDescent="0.35">
      <c r="A70">
        <v>69</v>
      </c>
      <c r="B70" t="s">
        <v>17</v>
      </c>
      <c r="C70">
        <v>2.7</v>
      </c>
      <c r="D70">
        <v>90.7</v>
      </c>
      <c r="E70">
        <v>7.6</v>
      </c>
      <c r="F70" t="s">
        <v>13</v>
      </c>
      <c r="G70" t="s">
        <v>15</v>
      </c>
      <c r="H70" t="s">
        <v>15</v>
      </c>
      <c r="I70" t="s">
        <v>14</v>
      </c>
      <c r="J70">
        <v>48.8</v>
      </c>
      <c r="K70">
        <v>73.5</v>
      </c>
      <c r="L70" t="s">
        <v>22</v>
      </c>
    </row>
    <row r="71" spans="1:12" x14ac:dyDescent="0.35">
      <c r="A71">
        <v>70</v>
      </c>
      <c r="B71" t="s">
        <v>17</v>
      </c>
      <c r="C71">
        <v>2.2999999999999998</v>
      </c>
      <c r="D71">
        <v>67.400000000000006</v>
      </c>
      <c r="E71">
        <v>8.6</v>
      </c>
      <c r="F71" t="s">
        <v>18</v>
      </c>
      <c r="G71" t="s">
        <v>14</v>
      </c>
      <c r="H71" t="s">
        <v>15</v>
      </c>
      <c r="I71" t="s">
        <v>15</v>
      </c>
      <c r="J71">
        <v>90.9</v>
      </c>
      <c r="K71">
        <v>85.1</v>
      </c>
      <c r="L71" t="s">
        <v>20</v>
      </c>
    </row>
    <row r="72" spans="1:12" x14ac:dyDescent="0.35">
      <c r="A72">
        <v>71</v>
      </c>
      <c r="B72" t="s">
        <v>17</v>
      </c>
      <c r="C72">
        <v>3.3</v>
      </c>
      <c r="D72">
        <v>92.5</v>
      </c>
      <c r="E72">
        <v>6.1</v>
      </c>
      <c r="F72" t="s">
        <v>18</v>
      </c>
      <c r="G72" t="s">
        <v>14</v>
      </c>
      <c r="H72" t="s">
        <v>14</v>
      </c>
      <c r="I72" t="s">
        <v>15</v>
      </c>
      <c r="J72">
        <v>54.5</v>
      </c>
      <c r="K72">
        <v>79.599999999999994</v>
      </c>
      <c r="L72" t="s">
        <v>22</v>
      </c>
    </row>
    <row r="73" spans="1:12" x14ac:dyDescent="0.35">
      <c r="A73">
        <v>72</v>
      </c>
      <c r="B73" t="s">
        <v>17</v>
      </c>
      <c r="C73">
        <v>1.9</v>
      </c>
      <c r="D73">
        <v>88.8</v>
      </c>
      <c r="E73">
        <v>7.1</v>
      </c>
      <c r="F73" t="s">
        <v>13</v>
      </c>
      <c r="G73" t="s">
        <v>14</v>
      </c>
      <c r="H73" t="s">
        <v>14</v>
      </c>
      <c r="I73" t="s">
        <v>15</v>
      </c>
      <c r="J73">
        <v>70.7</v>
      </c>
      <c r="K73">
        <v>77.400000000000006</v>
      </c>
      <c r="L73" t="s">
        <v>22</v>
      </c>
    </row>
    <row r="74" spans="1:12" x14ac:dyDescent="0.35">
      <c r="A74">
        <v>73</v>
      </c>
      <c r="B74" t="s">
        <v>12</v>
      </c>
      <c r="C74">
        <v>2.7</v>
      </c>
      <c r="D74">
        <v>97.9</v>
      </c>
      <c r="E74">
        <v>7.4</v>
      </c>
      <c r="F74" t="s">
        <v>23</v>
      </c>
      <c r="G74" t="s">
        <v>14</v>
      </c>
      <c r="H74" t="s">
        <v>14</v>
      </c>
      <c r="I74" t="s">
        <v>15</v>
      </c>
      <c r="J74">
        <v>81</v>
      </c>
      <c r="K74">
        <v>94.6</v>
      </c>
      <c r="L74" t="s">
        <v>16</v>
      </c>
    </row>
    <row r="75" spans="1:12" x14ac:dyDescent="0.35">
      <c r="A75">
        <v>74</v>
      </c>
      <c r="B75" t="s">
        <v>17</v>
      </c>
      <c r="C75">
        <v>1.7</v>
      </c>
      <c r="D75">
        <v>91.7</v>
      </c>
      <c r="E75">
        <v>7.4</v>
      </c>
      <c r="F75" t="s">
        <v>13</v>
      </c>
      <c r="G75" t="s">
        <v>14</v>
      </c>
      <c r="H75" t="s">
        <v>14</v>
      </c>
      <c r="I75" t="s">
        <v>15</v>
      </c>
      <c r="J75">
        <v>75.099999999999994</v>
      </c>
      <c r="K75">
        <v>77.599999999999994</v>
      </c>
      <c r="L75" t="s">
        <v>22</v>
      </c>
    </row>
    <row r="76" spans="1:12" x14ac:dyDescent="0.35">
      <c r="A76">
        <v>75</v>
      </c>
      <c r="B76" t="s">
        <v>12</v>
      </c>
      <c r="C76">
        <v>6.4</v>
      </c>
      <c r="D76">
        <v>83.6</v>
      </c>
      <c r="E76">
        <v>6.9</v>
      </c>
      <c r="F76" t="s">
        <v>18</v>
      </c>
      <c r="G76" t="s">
        <v>14</v>
      </c>
      <c r="H76" t="s">
        <v>14</v>
      </c>
      <c r="I76" t="s">
        <v>15</v>
      </c>
      <c r="J76">
        <v>69.3</v>
      </c>
      <c r="K76">
        <v>99.9</v>
      </c>
      <c r="L76" t="s">
        <v>16</v>
      </c>
    </row>
    <row r="77" spans="1:12" x14ac:dyDescent="0.35">
      <c r="A77">
        <v>76</v>
      </c>
      <c r="B77" t="s">
        <v>17</v>
      </c>
      <c r="C77">
        <v>3.6</v>
      </c>
      <c r="D77">
        <v>72.8</v>
      </c>
      <c r="E77">
        <v>7.7</v>
      </c>
      <c r="F77" t="s">
        <v>23</v>
      </c>
      <c r="G77" t="s">
        <v>15</v>
      </c>
      <c r="H77" t="s">
        <v>15</v>
      </c>
      <c r="I77" t="s">
        <v>15</v>
      </c>
      <c r="J77">
        <v>49.6</v>
      </c>
      <c r="K77">
        <v>64.400000000000006</v>
      </c>
      <c r="L77" t="s">
        <v>21</v>
      </c>
    </row>
    <row r="78" spans="1:12" x14ac:dyDescent="0.35">
      <c r="A78">
        <v>77</v>
      </c>
      <c r="B78" t="s">
        <v>17</v>
      </c>
      <c r="C78">
        <v>2.5</v>
      </c>
      <c r="D78">
        <v>82.9</v>
      </c>
      <c r="E78">
        <v>7.4</v>
      </c>
      <c r="F78" t="s">
        <v>18</v>
      </c>
      <c r="G78" t="s">
        <v>14</v>
      </c>
      <c r="H78" t="s">
        <v>14</v>
      </c>
      <c r="I78" t="s">
        <v>15</v>
      </c>
      <c r="J78">
        <v>60.3</v>
      </c>
      <c r="K78">
        <v>71.900000000000006</v>
      </c>
      <c r="L78" t="s">
        <v>22</v>
      </c>
    </row>
    <row r="79" spans="1:12" x14ac:dyDescent="0.35">
      <c r="A79">
        <v>78</v>
      </c>
      <c r="B79" t="s">
        <v>17</v>
      </c>
      <c r="C79">
        <v>3.8</v>
      </c>
      <c r="D79">
        <v>76.5</v>
      </c>
      <c r="E79">
        <v>5.3</v>
      </c>
      <c r="F79" t="s">
        <v>13</v>
      </c>
      <c r="G79" t="s">
        <v>14</v>
      </c>
      <c r="H79" t="s">
        <v>14</v>
      </c>
      <c r="I79" t="s">
        <v>15</v>
      </c>
      <c r="J79">
        <v>72.3</v>
      </c>
      <c r="K79">
        <v>79.3</v>
      </c>
      <c r="L79" t="s">
        <v>22</v>
      </c>
    </row>
    <row r="80" spans="1:12" x14ac:dyDescent="0.35">
      <c r="A80">
        <v>79</v>
      </c>
      <c r="B80" t="s">
        <v>12</v>
      </c>
      <c r="C80">
        <v>3.3</v>
      </c>
      <c r="D80">
        <v>79.2</v>
      </c>
      <c r="E80">
        <v>7.8</v>
      </c>
      <c r="F80" t="s">
        <v>18</v>
      </c>
      <c r="G80" t="s">
        <v>14</v>
      </c>
      <c r="H80" t="s">
        <v>14</v>
      </c>
      <c r="I80" t="s">
        <v>14</v>
      </c>
      <c r="J80">
        <v>60.6</v>
      </c>
      <c r="K80">
        <v>74.900000000000006</v>
      </c>
      <c r="L80" t="s">
        <v>22</v>
      </c>
    </row>
    <row r="81" spans="1:12" x14ac:dyDescent="0.35">
      <c r="A81">
        <v>80</v>
      </c>
      <c r="B81" t="s">
        <v>17</v>
      </c>
      <c r="C81">
        <v>3.2</v>
      </c>
      <c r="D81">
        <v>90.9</v>
      </c>
      <c r="E81">
        <v>7.9</v>
      </c>
      <c r="F81" t="s">
        <v>18</v>
      </c>
      <c r="G81" t="s">
        <v>14</v>
      </c>
      <c r="H81" t="s">
        <v>15</v>
      </c>
      <c r="I81" t="s">
        <v>15</v>
      </c>
      <c r="J81">
        <v>72.400000000000006</v>
      </c>
      <c r="K81">
        <v>87.4</v>
      </c>
      <c r="L81" t="s">
        <v>20</v>
      </c>
    </row>
    <row r="82" spans="1:12" x14ac:dyDescent="0.35">
      <c r="A82">
        <v>81</v>
      </c>
      <c r="B82" t="s">
        <v>12</v>
      </c>
      <c r="C82">
        <v>4.4000000000000004</v>
      </c>
      <c r="D82">
        <v>100</v>
      </c>
      <c r="E82">
        <v>5.9</v>
      </c>
      <c r="F82" t="s">
        <v>18</v>
      </c>
      <c r="G82" t="s">
        <v>14</v>
      </c>
      <c r="H82" t="s">
        <v>15</v>
      </c>
      <c r="I82" t="s">
        <v>15</v>
      </c>
      <c r="J82">
        <v>78.2</v>
      </c>
      <c r="K82">
        <v>97.6</v>
      </c>
      <c r="L82" t="s">
        <v>16</v>
      </c>
    </row>
    <row r="83" spans="1:12" x14ac:dyDescent="0.35">
      <c r="A83">
        <v>82</v>
      </c>
      <c r="B83" t="s">
        <v>17</v>
      </c>
      <c r="C83">
        <v>4.5999999999999996</v>
      </c>
      <c r="D83">
        <v>88.9</v>
      </c>
      <c r="E83">
        <v>6.8</v>
      </c>
      <c r="F83" t="s">
        <v>13</v>
      </c>
      <c r="G83" t="s">
        <v>14</v>
      </c>
      <c r="H83" t="s">
        <v>14</v>
      </c>
      <c r="I83" t="s">
        <v>15</v>
      </c>
      <c r="J83">
        <v>81.599999999999994</v>
      </c>
      <c r="K83">
        <v>74.5</v>
      </c>
      <c r="L83" t="s">
        <v>22</v>
      </c>
    </row>
    <row r="84" spans="1:12" x14ac:dyDescent="0.35">
      <c r="A84">
        <v>83</v>
      </c>
      <c r="B84" t="s">
        <v>12</v>
      </c>
      <c r="C84">
        <v>2.7</v>
      </c>
      <c r="D84">
        <v>73</v>
      </c>
      <c r="E84">
        <v>7.6</v>
      </c>
      <c r="F84" t="s">
        <v>18</v>
      </c>
      <c r="G84" t="s">
        <v>14</v>
      </c>
      <c r="H84" t="s">
        <v>15</v>
      </c>
      <c r="I84" t="s">
        <v>14</v>
      </c>
      <c r="J84">
        <v>55.3</v>
      </c>
      <c r="K84">
        <v>64.099999999999994</v>
      </c>
      <c r="L84" t="s">
        <v>21</v>
      </c>
    </row>
    <row r="85" spans="1:12" x14ac:dyDescent="0.35">
      <c r="A85">
        <v>84</v>
      </c>
      <c r="B85" t="s">
        <v>17</v>
      </c>
      <c r="C85">
        <v>2.6</v>
      </c>
      <c r="D85">
        <v>89.4</v>
      </c>
      <c r="E85">
        <v>6.5</v>
      </c>
      <c r="F85" t="s">
        <v>13</v>
      </c>
      <c r="G85" t="s">
        <v>14</v>
      </c>
      <c r="H85" t="s">
        <v>15</v>
      </c>
      <c r="I85" t="s">
        <v>15</v>
      </c>
      <c r="J85">
        <v>96.4</v>
      </c>
      <c r="K85">
        <v>90</v>
      </c>
      <c r="L85" t="s">
        <v>16</v>
      </c>
    </row>
    <row r="86" spans="1:12" x14ac:dyDescent="0.35">
      <c r="A86">
        <v>85</v>
      </c>
      <c r="B86" t="s">
        <v>12</v>
      </c>
      <c r="C86">
        <v>3.1</v>
      </c>
      <c r="D86">
        <v>97</v>
      </c>
      <c r="E86">
        <v>8.1</v>
      </c>
      <c r="F86" t="s">
        <v>13</v>
      </c>
      <c r="G86" t="s">
        <v>14</v>
      </c>
      <c r="H86" t="s">
        <v>14</v>
      </c>
      <c r="I86" t="s">
        <v>14</v>
      </c>
      <c r="J86">
        <v>79.2</v>
      </c>
      <c r="K86">
        <v>99.3</v>
      </c>
      <c r="L86" t="s">
        <v>16</v>
      </c>
    </row>
    <row r="87" spans="1:12" x14ac:dyDescent="0.35">
      <c r="A87">
        <v>86</v>
      </c>
      <c r="B87" t="s">
        <v>12</v>
      </c>
      <c r="C87">
        <v>0.5</v>
      </c>
      <c r="D87">
        <v>78.900000000000006</v>
      </c>
      <c r="E87">
        <v>9.6</v>
      </c>
      <c r="F87" t="s">
        <v>13</v>
      </c>
      <c r="G87" t="s">
        <v>14</v>
      </c>
      <c r="H87" t="s">
        <v>14</v>
      </c>
      <c r="I87" t="s">
        <v>14</v>
      </c>
      <c r="J87">
        <v>70</v>
      </c>
      <c r="K87">
        <v>63.9</v>
      </c>
      <c r="L87" t="s">
        <v>21</v>
      </c>
    </row>
    <row r="88" spans="1:12" x14ac:dyDescent="0.35">
      <c r="A88">
        <v>87</v>
      </c>
      <c r="B88" t="s">
        <v>17</v>
      </c>
      <c r="C88">
        <v>1.2</v>
      </c>
      <c r="D88">
        <v>83.7</v>
      </c>
      <c r="E88">
        <v>5.9</v>
      </c>
      <c r="F88" t="s">
        <v>13</v>
      </c>
      <c r="G88" t="s">
        <v>14</v>
      </c>
      <c r="H88" t="s">
        <v>15</v>
      </c>
      <c r="I88" t="s">
        <v>15</v>
      </c>
      <c r="J88">
        <v>83.1</v>
      </c>
      <c r="K88">
        <v>79</v>
      </c>
      <c r="L88" t="s">
        <v>22</v>
      </c>
    </row>
    <row r="89" spans="1:12" x14ac:dyDescent="0.35">
      <c r="A89">
        <v>88</v>
      </c>
      <c r="B89" t="s">
        <v>12</v>
      </c>
      <c r="C89">
        <v>5.6</v>
      </c>
      <c r="D89">
        <v>85.1</v>
      </c>
      <c r="E89">
        <v>5.0999999999999996</v>
      </c>
      <c r="F89" t="s">
        <v>23</v>
      </c>
      <c r="G89" t="s">
        <v>14</v>
      </c>
      <c r="H89" t="s">
        <v>15</v>
      </c>
      <c r="I89" t="s">
        <v>15</v>
      </c>
      <c r="J89">
        <v>98.4</v>
      </c>
      <c r="K89">
        <v>100</v>
      </c>
      <c r="L89" t="s">
        <v>16</v>
      </c>
    </row>
    <row r="90" spans="1:12" x14ac:dyDescent="0.35">
      <c r="A90">
        <v>89</v>
      </c>
      <c r="B90" t="s">
        <v>17</v>
      </c>
      <c r="C90">
        <v>6</v>
      </c>
      <c r="D90">
        <v>77.2</v>
      </c>
      <c r="E90">
        <v>7.2</v>
      </c>
      <c r="F90" t="s">
        <v>18</v>
      </c>
      <c r="G90" t="s">
        <v>14</v>
      </c>
      <c r="H90" t="s">
        <v>15</v>
      </c>
      <c r="I90" t="s">
        <v>15</v>
      </c>
      <c r="J90">
        <v>52.7</v>
      </c>
      <c r="K90">
        <v>78.900000000000006</v>
      </c>
      <c r="L90" t="s">
        <v>22</v>
      </c>
    </row>
    <row r="91" spans="1:12" x14ac:dyDescent="0.35">
      <c r="A91">
        <v>90</v>
      </c>
      <c r="B91" t="s">
        <v>17</v>
      </c>
      <c r="C91">
        <v>3.1</v>
      </c>
      <c r="D91">
        <v>91.5</v>
      </c>
      <c r="E91">
        <v>7.7</v>
      </c>
      <c r="F91" t="s">
        <v>13</v>
      </c>
      <c r="G91" t="s">
        <v>14</v>
      </c>
      <c r="H91" t="s">
        <v>15</v>
      </c>
      <c r="I91" t="s">
        <v>14</v>
      </c>
      <c r="J91">
        <v>67.3</v>
      </c>
      <c r="K91">
        <v>84.5</v>
      </c>
      <c r="L91" t="s">
        <v>20</v>
      </c>
    </row>
    <row r="92" spans="1:12" x14ac:dyDescent="0.35">
      <c r="A92">
        <v>91</v>
      </c>
      <c r="B92" t="s">
        <v>17</v>
      </c>
      <c r="C92">
        <v>4.4000000000000004</v>
      </c>
      <c r="D92">
        <v>83.8</v>
      </c>
      <c r="E92">
        <v>6.5</v>
      </c>
      <c r="F92" t="s">
        <v>18</v>
      </c>
      <c r="G92" t="s">
        <v>14</v>
      </c>
      <c r="H92" t="s">
        <v>15</v>
      </c>
      <c r="I92" t="s">
        <v>15</v>
      </c>
      <c r="J92">
        <v>41.5</v>
      </c>
      <c r="K92">
        <v>71.7</v>
      </c>
      <c r="L92" t="s">
        <v>22</v>
      </c>
    </row>
    <row r="93" spans="1:12" x14ac:dyDescent="0.35">
      <c r="A93">
        <v>92</v>
      </c>
      <c r="B93" t="s">
        <v>17</v>
      </c>
      <c r="C93">
        <v>4</v>
      </c>
      <c r="D93">
        <v>89.2</v>
      </c>
      <c r="E93">
        <v>8.5</v>
      </c>
      <c r="F93" t="s">
        <v>18</v>
      </c>
      <c r="G93" t="s">
        <v>14</v>
      </c>
      <c r="H93" t="s">
        <v>14</v>
      </c>
      <c r="I93" t="s">
        <v>14</v>
      </c>
      <c r="J93">
        <v>72.3</v>
      </c>
      <c r="K93">
        <v>86.3</v>
      </c>
      <c r="L93" t="s">
        <v>20</v>
      </c>
    </row>
    <row r="94" spans="1:12" x14ac:dyDescent="0.35">
      <c r="A94">
        <v>93</v>
      </c>
      <c r="B94" t="s">
        <v>17</v>
      </c>
      <c r="C94">
        <v>8.1</v>
      </c>
      <c r="D94">
        <v>76.099999999999994</v>
      </c>
      <c r="E94">
        <v>5.2</v>
      </c>
      <c r="F94" t="s">
        <v>13</v>
      </c>
      <c r="G94" t="s">
        <v>14</v>
      </c>
      <c r="H94" t="s">
        <v>14</v>
      </c>
      <c r="I94" t="s">
        <v>15</v>
      </c>
      <c r="J94">
        <v>74.400000000000006</v>
      </c>
      <c r="K94">
        <v>98.3</v>
      </c>
      <c r="L94" t="s">
        <v>16</v>
      </c>
    </row>
    <row r="95" spans="1:12" x14ac:dyDescent="0.35">
      <c r="A95">
        <v>94</v>
      </c>
      <c r="B95" t="s">
        <v>17</v>
      </c>
      <c r="C95">
        <v>5.2</v>
      </c>
      <c r="D95">
        <v>80.599999999999994</v>
      </c>
      <c r="E95">
        <v>7.6</v>
      </c>
      <c r="F95" t="s">
        <v>13</v>
      </c>
      <c r="G95" t="s">
        <v>14</v>
      </c>
      <c r="H95" t="s">
        <v>14</v>
      </c>
      <c r="I95" t="s">
        <v>15</v>
      </c>
      <c r="J95">
        <v>69.5</v>
      </c>
      <c r="K95">
        <v>88.1</v>
      </c>
      <c r="L95" t="s">
        <v>20</v>
      </c>
    </row>
    <row r="96" spans="1:12" x14ac:dyDescent="0.35">
      <c r="A96">
        <v>95</v>
      </c>
      <c r="B96" t="s">
        <v>17</v>
      </c>
      <c r="C96">
        <v>3.3</v>
      </c>
      <c r="D96">
        <v>92.2</v>
      </c>
      <c r="E96">
        <v>6.1</v>
      </c>
      <c r="F96" t="s">
        <v>24</v>
      </c>
      <c r="G96" t="s">
        <v>14</v>
      </c>
      <c r="H96" t="s">
        <v>14</v>
      </c>
      <c r="I96" t="s">
        <v>15</v>
      </c>
      <c r="J96">
        <v>62.1</v>
      </c>
      <c r="K96">
        <v>99.6</v>
      </c>
      <c r="L96" t="s">
        <v>16</v>
      </c>
    </row>
    <row r="97" spans="1:12" x14ac:dyDescent="0.35">
      <c r="A97">
        <v>96</v>
      </c>
      <c r="B97" t="s">
        <v>17</v>
      </c>
      <c r="C97">
        <v>2.1</v>
      </c>
      <c r="D97">
        <v>81.3</v>
      </c>
      <c r="E97">
        <v>8.9</v>
      </c>
      <c r="F97" t="s">
        <v>13</v>
      </c>
      <c r="G97" t="s">
        <v>14</v>
      </c>
      <c r="H97" t="s">
        <v>15</v>
      </c>
      <c r="I97" t="s">
        <v>15</v>
      </c>
      <c r="J97">
        <v>45.4</v>
      </c>
      <c r="K97">
        <v>74.8</v>
      </c>
      <c r="L97" t="s">
        <v>22</v>
      </c>
    </row>
    <row r="98" spans="1:12" x14ac:dyDescent="0.35">
      <c r="A98">
        <v>97</v>
      </c>
      <c r="B98" t="s">
        <v>17</v>
      </c>
      <c r="C98">
        <v>1.1000000000000001</v>
      </c>
      <c r="D98">
        <v>100</v>
      </c>
      <c r="E98">
        <v>9.1999999999999993</v>
      </c>
      <c r="F98" t="s">
        <v>19</v>
      </c>
      <c r="G98" t="s">
        <v>14</v>
      </c>
      <c r="H98" t="s">
        <v>15</v>
      </c>
      <c r="I98" t="s">
        <v>14</v>
      </c>
      <c r="J98">
        <v>74.5</v>
      </c>
      <c r="K98">
        <v>87.4</v>
      </c>
      <c r="L98" t="s">
        <v>20</v>
      </c>
    </row>
    <row r="99" spans="1:12" x14ac:dyDescent="0.35">
      <c r="A99">
        <v>98</v>
      </c>
      <c r="B99" t="s">
        <v>17</v>
      </c>
      <c r="C99">
        <v>3.8</v>
      </c>
      <c r="D99">
        <v>81</v>
      </c>
      <c r="E99">
        <v>5.9</v>
      </c>
      <c r="F99" t="s">
        <v>18</v>
      </c>
      <c r="G99" t="s">
        <v>15</v>
      </c>
      <c r="H99" t="s">
        <v>15</v>
      </c>
      <c r="I99" t="s">
        <v>15</v>
      </c>
      <c r="J99">
        <v>87.5</v>
      </c>
      <c r="K99">
        <v>88.5</v>
      </c>
      <c r="L99" t="s">
        <v>20</v>
      </c>
    </row>
    <row r="100" spans="1:12" x14ac:dyDescent="0.35">
      <c r="A100">
        <v>99</v>
      </c>
      <c r="B100" t="s">
        <v>17</v>
      </c>
      <c r="C100">
        <v>2.4</v>
      </c>
      <c r="D100">
        <v>87.2</v>
      </c>
      <c r="E100">
        <v>6.1</v>
      </c>
      <c r="F100" t="s">
        <v>18</v>
      </c>
      <c r="G100" t="s">
        <v>14</v>
      </c>
      <c r="H100" t="s">
        <v>14</v>
      </c>
      <c r="I100" t="s">
        <v>14</v>
      </c>
      <c r="J100">
        <v>62.9</v>
      </c>
      <c r="K100">
        <v>65.2</v>
      </c>
      <c r="L100" t="s">
        <v>21</v>
      </c>
    </row>
    <row r="101" spans="1:12" x14ac:dyDescent="0.35">
      <c r="A101">
        <v>100</v>
      </c>
      <c r="B101" t="s">
        <v>12</v>
      </c>
      <c r="C101">
        <v>1.4</v>
      </c>
      <c r="D101">
        <v>94.3</v>
      </c>
      <c r="E101">
        <v>7.8</v>
      </c>
      <c r="F101" t="s">
        <v>18</v>
      </c>
      <c r="G101" t="s">
        <v>15</v>
      </c>
      <c r="H101" t="s">
        <v>15</v>
      </c>
      <c r="I101" t="s">
        <v>15</v>
      </c>
      <c r="J101">
        <v>75.3</v>
      </c>
      <c r="K101">
        <v>79.2</v>
      </c>
      <c r="L101" t="s">
        <v>22</v>
      </c>
    </row>
    <row r="102" spans="1:12" x14ac:dyDescent="0.35">
      <c r="A102">
        <v>101</v>
      </c>
      <c r="B102" t="s">
        <v>12</v>
      </c>
      <c r="C102">
        <v>2.5</v>
      </c>
      <c r="D102">
        <v>70.8</v>
      </c>
      <c r="E102">
        <v>6.3</v>
      </c>
      <c r="F102" t="s">
        <v>18</v>
      </c>
      <c r="G102" t="s">
        <v>14</v>
      </c>
      <c r="H102" t="s">
        <v>14</v>
      </c>
      <c r="I102" t="s">
        <v>15</v>
      </c>
      <c r="J102">
        <v>51.2</v>
      </c>
      <c r="K102">
        <v>74.5</v>
      </c>
      <c r="L102" t="s">
        <v>22</v>
      </c>
    </row>
    <row r="103" spans="1:12" x14ac:dyDescent="0.35">
      <c r="A103">
        <v>102</v>
      </c>
      <c r="B103" t="s">
        <v>17</v>
      </c>
      <c r="C103">
        <v>1.9</v>
      </c>
      <c r="D103">
        <v>67.400000000000006</v>
      </c>
      <c r="E103">
        <v>6.7</v>
      </c>
      <c r="F103" t="s">
        <v>13</v>
      </c>
      <c r="G103" t="s">
        <v>14</v>
      </c>
      <c r="H103" t="s">
        <v>14</v>
      </c>
      <c r="I103" t="s">
        <v>14</v>
      </c>
      <c r="J103">
        <v>75.5</v>
      </c>
      <c r="K103">
        <v>66.3</v>
      </c>
      <c r="L103" t="s">
        <v>21</v>
      </c>
    </row>
    <row r="104" spans="1:12" x14ac:dyDescent="0.35">
      <c r="A104">
        <v>103</v>
      </c>
      <c r="B104" t="s">
        <v>17</v>
      </c>
      <c r="C104">
        <v>6</v>
      </c>
      <c r="D104">
        <v>69.7</v>
      </c>
      <c r="E104">
        <v>6.8</v>
      </c>
      <c r="F104" t="s">
        <v>13</v>
      </c>
      <c r="G104" t="s">
        <v>15</v>
      </c>
      <c r="H104" t="s">
        <v>15</v>
      </c>
      <c r="I104" t="s">
        <v>15</v>
      </c>
      <c r="J104">
        <v>65.3</v>
      </c>
      <c r="K104">
        <v>89.5</v>
      </c>
      <c r="L104" t="s">
        <v>20</v>
      </c>
    </row>
    <row r="105" spans="1:12" x14ac:dyDescent="0.35">
      <c r="A105">
        <v>104</v>
      </c>
      <c r="B105" t="s">
        <v>17</v>
      </c>
      <c r="C105">
        <v>4.8</v>
      </c>
      <c r="D105">
        <v>97.6</v>
      </c>
      <c r="E105">
        <v>4.5</v>
      </c>
      <c r="F105" t="s">
        <v>18</v>
      </c>
      <c r="G105" t="s">
        <v>14</v>
      </c>
      <c r="H105" t="s">
        <v>15</v>
      </c>
      <c r="I105" t="s">
        <v>15</v>
      </c>
      <c r="J105">
        <v>60.9</v>
      </c>
      <c r="K105">
        <v>92.7</v>
      </c>
      <c r="L105" t="s">
        <v>16</v>
      </c>
    </row>
    <row r="106" spans="1:12" x14ac:dyDescent="0.35">
      <c r="A106">
        <v>105</v>
      </c>
      <c r="B106" t="s">
        <v>17</v>
      </c>
      <c r="C106">
        <v>3.5</v>
      </c>
      <c r="D106">
        <v>79.5</v>
      </c>
      <c r="E106">
        <v>6.8</v>
      </c>
      <c r="F106" t="s">
        <v>19</v>
      </c>
      <c r="G106" t="s">
        <v>14</v>
      </c>
      <c r="H106" t="s">
        <v>15</v>
      </c>
      <c r="I106" t="s">
        <v>14</v>
      </c>
      <c r="J106">
        <v>60.9</v>
      </c>
      <c r="K106">
        <v>87.2</v>
      </c>
      <c r="L106" t="s">
        <v>20</v>
      </c>
    </row>
    <row r="107" spans="1:12" x14ac:dyDescent="0.35">
      <c r="A107">
        <v>106</v>
      </c>
      <c r="B107" t="s">
        <v>17</v>
      </c>
      <c r="C107">
        <v>5.7</v>
      </c>
      <c r="D107">
        <v>100</v>
      </c>
      <c r="E107">
        <v>6</v>
      </c>
      <c r="F107" t="s">
        <v>23</v>
      </c>
      <c r="G107" t="s">
        <v>14</v>
      </c>
      <c r="H107" t="s">
        <v>14</v>
      </c>
      <c r="I107" t="s">
        <v>14</v>
      </c>
      <c r="J107">
        <v>65.3</v>
      </c>
      <c r="K107">
        <v>92.5</v>
      </c>
      <c r="L107" t="s">
        <v>16</v>
      </c>
    </row>
    <row r="108" spans="1:12" x14ac:dyDescent="0.35">
      <c r="A108">
        <v>107</v>
      </c>
      <c r="B108" t="s">
        <v>17</v>
      </c>
      <c r="C108">
        <v>3.6</v>
      </c>
      <c r="D108">
        <v>79.400000000000006</v>
      </c>
      <c r="E108">
        <v>6.2</v>
      </c>
      <c r="F108" t="s">
        <v>18</v>
      </c>
      <c r="G108" t="s">
        <v>14</v>
      </c>
      <c r="H108" t="s">
        <v>14</v>
      </c>
      <c r="I108" t="s">
        <v>14</v>
      </c>
      <c r="J108">
        <v>74.599999999999994</v>
      </c>
      <c r="K108">
        <v>75.7</v>
      </c>
      <c r="L108" t="s">
        <v>22</v>
      </c>
    </row>
    <row r="109" spans="1:12" x14ac:dyDescent="0.35">
      <c r="A109">
        <v>108</v>
      </c>
      <c r="B109" t="s">
        <v>17</v>
      </c>
      <c r="C109">
        <v>2.2000000000000002</v>
      </c>
      <c r="D109">
        <v>86.8</v>
      </c>
      <c r="E109">
        <v>8.5</v>
      </c>
      <c r="F109" t="s">
        <v>18</v>
      </c>
      <c r="G109" t="s">
        <v>14</v>
      </c>
      <c r="H109" t="s">
        <v>14</v>
      </c>
      <c r="I109" t="s">
        <v>15</v>
      </c>
      <c r="J109">
        <v>54.3</v>
      </c>
      <c r="K109">
        <v>74</v>
      </c>
      <c r="L109" t="s">
        <v>22</v>
      </c>
    </row>
    <row r="110" spans="1:12" x14ac:dyDescent="0.35">
      <c r="A110">
        <v>109</v>
      </c>
      <c r="B110" t="s">
        <v>17</v>
      </c>
      <c r="C110">
        <v>5.8</v>
      </c>
      <c r="D110">
        <v>100</v>
      </c>
      <c r="E110">
        <v>5.3</v>
      </c>
      <c r="F110" t="s">
        <v>18</v>
      </c>
      <c r="G110" t="s">
        <v>14</v>
      </c>
      <c r="H110" t="s">
        <v>14</v>
      </c>
      <c r="I110" t="s">
        <v>15</v>
      </c>
      <c r="J110">
        <v>65.2</v>
      </c>
      <c r="K110">
        <v>100</v>
      </c>
      <c r="L110" t="s">
        <v>16</v>
      </c>
    </row>
    <row r="111" spans="1:12" x14ac:dyDescent="0.35">
      <c r="A111">
        <v>110</v>
      </c>
      <c r="B111" t="s">
        <v>12</v>
      </c>
      <c r="C111">
        <v>4.3</v>
      </c>
      <c r="D111">
        <v>100</v>
      </c>
      <c r="E111">
        <v>7.8</v>
      </c>
      <c r="F111" t="s">
        <v>18</v>
      </c>
      <c r="G111" t="s">
        <v>15</v>
      </c>
      <c r="H111" t="s">
        <v>15</v>
      </c>
      <c r="I111" t="s">
        <v>14</v>
      </c>
      <c r="J111">
        <v>69.5</v>
      </c>
      <c r="K111">
        <v>75.5</v>
      </c>
      <c r="L111" t="s">
        <v>22</v>
      </c>
    </row>
    <row r="112" spans="1:12" x14ac:dyDescent="0.35">
      <c r="A112">
        <v>111</v>
      </c>
      <c r="B112" t="s">
        <v>17</v>
      </c>
      <c r="C112">
        <v>1.9</v>
      </c>
      <c r="D112">
        <v>100</v>
      </c>
      <c r="E112">
        <v>6.5</v>
      </c>
      <c r="F112" t="s">
        <v>18</v>
      </c>
      <c r="G112" t="s">
        <v>14</v>
      </c>
      <c r="H112" t="s">
        <v>15</v>
      </c>
      <c r="I112" t="s">
        <v>14</v>
      </c>
      <c r="J112">
        <v>56.8</v>
      </c>
      <c r="K112">
        <v>61.7</v>
      </c>
      <c r="L112" t="s">
        <v>21</v>
      </c>
    </row>
    <row r="113" spans="1:12" x14ac:dyDescent="0.35">
      <c r="A113">
        <v>112</v>
      </c>
      <c r="B113" t="s">
        <v>12</v>
      </c>
      <c r="C113">
        <v>3.2</v>
      </c>
      <c r="D113">
        <v>97.1</v>
      </c>
      <c r="E113">
        <v>6.5</v>
      </c>
      <c r="F113" t="s">
        <v>13</v>
      </c>
      <c r="G113" t="s">
        <v>15</v>
      </c>
      <c r="H113" t="s">
        <v>15</v>
      </c>
      <c r="I113" t="s">
        <v>15</v>
      </c>
      <c r="J113">
        <v>91.6</v>
      </c>
      <c r="K113">
        <v>91.4</v>
      </c>
      <c r="L113" t="s">
        <v>16</v>
      </c>
    </row>
    <row r="114" spans="1:12" x14ac:dyDescent="0.35">
      <c r="A114">
        <v>113</v>
      </c>
      <c r="B114" t="s">
        <v>17</v>
      </c>
      <c r="C114">
        <v>2.2000000000000002</v>
      </c>
      <c r="D114">
        <v>95.2</v>
      </c>
      <c r="E114">
        <v>7.7</v>
      </c>
      <c r="F114" t="s">
        <v>18</v>
      </c>
      <c r="G114" t="s">
        <v>15</v>
      </c>
      <c r="H114" t="s">
        <v>14</v>
      </c>
      <c r="I114" t="s">
        <v>15</v>
      </c>
      <c r="J114">
        <v>59.8</v>
      </c>
      <c r="K114">
        <v>72.7</v>
      </c>
      <c r="L114" t="s">
        <v>22</v>
      </c>
    </row>
    <row r="115" spans="1:12" x14ac:dyDescent="0.35">
      <c r="A115">
        <v>114</v>
      </c>
      <c r="B115" t="s">
        <v>17</v>
      </c>
      <c r="C115">
        <v>1.4</v>
      </c>
      <c r="D115">
        <v>90.9</v>
      </c>
      <c r="E115">
        <v>7.2</v>
      </c>
      <c r="F115" t="s">
        <v>13</v>
      </c>
      <c r="G115" t="s">
        <v>14</v>
      </c>
      <c r="H115" t="s">
        <v>15</v>
      </c>
      <c r="I115" t="s">
        <v>15</v>
      </c>
      <c r="J115">
        <v>62</v>
      </c>
      <c r="K115">
        <v>74.599999999999994</v>
      </c>
      <c r="L115" t="s">
        <v>22</v>
      </c>
    </row>
    <row r="116" spans="1:12" x14ac:dyDescent="0.35">
      <c r="A116">
        <v>115</v>
      </c>
      <c r="B116" t="s">
        <v>12</v>
      </c>
      <c r="C116">
        <v>4.9000000000000004</v>
      </c>
      <c r="D116">
        <v>92.8</v>
      </c>
      <c r="E116">
        <v>7.5</v>
      </c>
      <c r="F116" t="s">
        <v>19</v>
      </c>
      <c r="G116" t="s">
        <v>14</v>
      </c>
      <c r="H116" t="s">
        <v>14</v>
      </c>
      <c r="I116" t="s">
        <v>15</v>
      </c>
      <c r="J116">
        <v>58.3</v>
      </c>
      <c r="K116">
        <v>96.5</v>
      </c>
      <c r="L116" t="s">
        <v>16</v>
      </c>
    </row>
    <row r="117" spans="1:12" x14ac:dyDescent="0.35">
      <c r="A117">
        <v>116</v>
      </c>
      <c r="B117" t="s">
        <v>17</v>
      </c>
      <c r="C117">
        <v>6.4</v>
      </c>
      <c r="D117">
        <v>79.5</v>
      </c>
      <c r="E117">
        <v>8</v>
      </c>
      <c r="F117" t="s">
        <v>23</v>
      </c>
      <c r="G117" t="s">
        <v>15</v>
      </c>
      <c r="H117" t="s">
        <v>15</v>
      </c>
      <c r="I117" t="s">
        <v>14</v>
      </c>
      <c r="J117">
        <v>91.6</v>
      </c>
      <c r="K117">
        <v>94.5</v>
      </c>
      <c r="L117" t="s">
        <v>16</v>
      </c>
    </row>
    <row r="118" spans="1:12" x14ac:dyDescent="0.35">
      <c r="A118">
        <v>117</v>
      </c>
      <c r="B118" t="s">
        <v>12</v>
      </c>
      <c r="C118">
        <v>1.4</v>
      </c>
      <c r="D118">
        <v>76.8</v>
      </c>
      <c r="E118">
        <v>6.4</v>
      </c>
      <c r="F118" t="s">
        <v>19</v>
      </c>
      <c r="G118" t="s">
        <v>15</v>
      </c>
      <c r="H118" t="s">
        <v>14</v>
      </c>
      <c r="I118" t="s">
        <v>15</v>
      </c>
      <c r="J118">
        <v>76.599999999999994</v>
      </c>
      <c r="K118">
        <v>59.3</v>
      </c>
      <c r="L118" t="s">
        <v>25</v>
      </c>
    </row>
    <row r="119" spans="1:12" x14ac:dyDescent="0.35">
      <c r="A119">
        <v>118</v>
      </c>
      <c r="B119" t="s">
        <v>17</v>
      </c>
      <c r="C119">
        <v>4.3</v>
      </c>
      <c r="D119">
        <v>85</v>
      </c>
      <c r="E119">
        <v>6.1</v>
      </c>
      <c r="F119" t="s">
        <v>18</v>
      </c>
      <c r="G119" t="s">
        <v>14</v>
      </c>
      <c r="H119" t="s">
        <v>14</v>
      </c>
      <c r="I119" t="s">
        <v>15</v>
      </c>
      <c r="J119">
        <v>58.8</v>
      </c>
      <c r="K119">
        <v>96.2</v>
      </c>
      <c r="L119" t="s">
        <v>16</v>
      </c>
    </row>
    <row r="120" spans="1:12" x14ac:dyDescent="0.35">
      <c r="A120">
        <v>119</v>
      </c>
      <c r="B120" t="s">
        <v>17</v>
      </c>
      <c r="C120">
        <v>2.5</v>
      </c>
      <c r="D120">
        <v>83.3</v>
      </c>
      <c r="E120">
        <v>5.5</v>
      </c>
      <c r="F120" t="s">
        <v>13</v>
      </c>
      <c r="G120" t="s">
        <v>14</v>
      </c>
      <c r="H120" t="s">
        <v>14</v>
      </c>
      <c r="I120" t="s">
        <v>14</v>
      </c>
      <c r="J120">
        <v>83.3</v>
      </c>
      <c r="K120">
        <v>75.3</v>
      </c>
      <c r="L120" t="s">
        <v>22</v>
      </c>
    </row>
    <row r="121" spans="1:12" x14ac:dyDescent="0.35">
      <c r="A121">
        <v>120</v>
      </c>
      <c r="B121" t="s">
        <v>12</v>
      </c>
      <c r="C121">
        <v>2.8</v>
      </c>
      <c r="D121">
        <v>80.5</v>
      </c>
      <c r="E121">
        <v>5.8</v>
      </c>
      <c r="F121" t="s">
        <v>13</v>
      </c>
      <c r="G121" t="s">
        <v>14</v>
      </c>
      <c r="H121" t="s">
        <v>15</v>
      </c>
      <c r="I121" t="s">
        <v>15</v>
      </c>
      <c r="J121">
        <v>72.400000000000006</v>
      </c>
      <c r="K121">
        <v>73.3</v>
      </c>
      <c r="L121" t="s">
        <v>22</v>
      </c>
    </row>
    <row r="122" spans="1:12" x14ac:dyDescent="0.35">
      <c r="A122">
        <v>121</v>
      </c>
      <c r="B122" t="s">
        <v>17</v>
      </c>
      <c r="C122">
        <v>2.6</v>
      </c>
      <c r="D122">
        <v>92</v>
      </c>
      <c r="E122">
        <v>10</v>
      </c>
      <c r="F122" t="s">
        <v>18</v>
      </c>
      <c r="G122" t="s">
        <v>14</v>
      </c>
      <c r="H122" t="s">
        <v>14</v>
      </c>
      <c r="I122" t="s">
        <v>15</v>
      </c>
      <c r="J122">
        <v>73.099999999999994</v>
      </c>
      <c r="K122">
        <v>95.8</v>
      </c>
      <c r="L122" t="s">
        <v>16</v>
      </c>
    </row>
    <row r="123" spans="1:12" x14ac:dyDescent="0.35">
      <c r="A123">
        <v>122</v>
      </c>
      <c r="B123" t="s">
        <v>12</v>
      </c>
      <c r="C123">
        <v>2.2000000000000002</v>
      </c>
      <c r="D123">
        <v>94.6</v>
      </c>
      <c r="E123">
        <v>8.3000000000000007</v>
      </c>
      <c r="F123" t="s">
        <v>18</v>
      </c>
      <c r="G123" t="s">
        <v>14</v>
      </c>
      <c r="H123" t="s">
        <v>14</v>
      </c>
      <c r="I123" t="s">
        <v>15</v>
      </c>
      <c r="J123">
        <v>65.900000000000006</v>
      </c>
      <c r="K123">
        <v>81</v>
      </c>
      <c r="L123" t="s">
        <v>20</v>
      </c>
    </row>
    <row r="124" spans="1:12" x14ac:dyDescent="0.35">
      <c r="A124">
        <v>123</v>
      </c>
      <c r="B124" t="s">
        <v>17</v>
      </c>
      <c r="C124">
        <v>3.6</v>
      </c>
      <c r="D124">
        <v>85.9</v>
      </c>
      <c r="E124">
        <v>5.2</v>
      </c>
      <c r="F124" t="s">
        <v>23</v>
      </c>
      <c r="G124" t="s">
        <v>14</v>
      </c>
      <c r="H124" t="s">
        <v>15</v>
      </c>
      <c r="I124" t="s">
        <v>14</v>
      </c>
      <c r="J124">
        <v>61</v>
      </c>
      <c r="K124">
        <v>76.5</v>
      </c>
      <c r="L124" t="s">
        <v>22</v>
      </c>
    </row>
    <row r="125" spans="1:12" x14ac:dyDescent="0.35">
      <c r="A125">
        <v>124</v>
      </c>
      <c r="B125" t="s">
        <v>12</v>
      </c>
      <c r="C125">
        <v>2.2999999999999998</v>
      </c>
      <c r="D125">
        <v>99.8</v>
      </c>
      <c r="E125">
        <v>5.2</v>
      </c>
      <c r="F125" t="s">
        <v>13</v>
      </c>
      <c r="G125" t="s">
        <v>14</v>
      </c>
      <c r="H125" t="s">
        <v>14</v>
      </c>
      <c r="I125" t="s">
        <v>15</v>
      </c>
      <c r="J125">
        <v>74.099999999999994</v>
      </c>
      <c r="K125">
        <v>88.1</v>
      </c>
      <c r="L125" t="s">
        <v>20</v>
      </c>
    </row>
    <row r="126" spans="1:12" x14ac:dyDescent="0.35">
      <c r="A126">
        <v>125</v>
      </c>
      <c r="B126" t="s">
        <v>12</v>
      </c>
      <c r="C126">
        <v>3.9</v>
      </c>
      <c r="D126">
        <v>73.599999999999994</v>
      </c>
      <c r="E126">
        <v>7.4</v>
      </c>
      <c r="F126" t="s">
        <v>13</v>
      </c>
      <c r="G126" t="s">
        <v>14</v>
      </c>
      <c r="H126" t="s">
        <v>14</v>
      </c>
      <c r="I126" t="s">
        <v>15</v>
      </c>
      <c r="J126">
        <v>63.5</v>
      </c>
      <c r="K126">
        <v>88.1</v>
      </c>
      <c r="L126" t="s">
        <v>20</v>
      </c>
    </row>
    <row r="127" spans="1:12" x14ac:dyDescent="0.35">
      <c r="A127">
        <v>126</v>
      </c>
      <c r="B127" t="s">
        <v>17</v>
      </c>
      <c r="C127">
        <v>3.4</v>
      </c>
      <c r="D127">
        <v>83.1</v>
      </c>
      <c r="E127">
        <v>7.5</v>
      </c>
      <c r="F127" t="s">
        <v>13</v>
      </c>
      <c r="G127" t="s">
        <v>14</v>
      </c>
      <c r="H127" t="s">
        <v>14</v>
      </c>
      <c r="I127" t="s">
        <v>15</v>
      </c>
      <c r="J127">
        <v>91.8</v>
      </c>
      <c r="K127">
        <v>92.1</v>
      </c>
      <c r="L127" t="s">
        <v>16</v>
      </c>
    </row>
    <row r="128" spans="1:12" x14ac:dyDescent="0.35">
      <c r="A128">
        <v>127</v>
      </c>
      <c r="B128" t="s">
        <v>17</v>
      </c>
      <c r="C128">
        <v>3.1</v>
      </c>
      <c r="D128">
        <v>77.8</v>
      </c>
      <c r="E128">
        <v>7.5</v>
      </c>
      <c r="F128" t="s">
        <v>13</v>
      </c>
      <c r="G128" t="s">
        <v>14</v>
      </c>
      <c r="H128" t="s">
        <v>14</v>
      </c>
      <c r="I128" t="s">
        <v>15</v>
      </c>
      <c r="J128">
        <v>54.8</v>
      </c>
      <c r="K128">
        <v>85.2</v>
      </c>
      <c r="L128" t="s">
        <v>20</v>
      </c>
    </row>
    <row r="129" spans="1:12" x14ac:dyDescent="0.35">
      <c r="A129">
        <v>128</v>
      </c>
      <c r="B129" t="s">
        <v>12</v>
      </c>
      <c r="C129">
        <v>2.1</v>
      </c>
      <c r="D129">
        <v>66.3</v>
      </c>
      <c r="E129">
        <v>6.5</v>
      </c>
      <c r="F129" t="s">
        <v>18</v>
      </c>
      <c r="G129" t="s">
        <v>14</v>
      </c>
      <c r="H129" t="s">
        <v>15</v>
      </c>
      <c r="I129" t="s">
        <v>14</v>
      </c>
      <c r="J129">
        <v>88.4</v>
      </c>
      <c r="K129">
        <v>63</v>
      </c>
      <c r="L129" t="s">
        <v>21</v>
      </c>
    </row>
    <row r="130" spans="1:12" x14ac:dyDescent="0.35">
      <c r="A130">
        <v>129</v>
      </c>
      <c r="B130" t="s">
        <v>17</v>
      </c>
      <c r="C130">
        <v>2.6</v>
      </c>
      <c r="D130">
        <v>84.2</v>
      </c>
      <c r="E130">
        <v>6.6</v>
      </c>
      <c r="F130" t="s">
        <v>18</v>
      </c>
      <c r="G130" t="s">
        <v>14</v>
      </c>
      <c r="H130" t="s">
        <v>15</v>
      </c>
      <c r="I130" t="s">
        <v>14</v>
      </c>
      <c r="J130">
        <v>68.7</v>
      </c>
      <c r="K130">
        <v>81.099999999999994</v>
      </c>
      <c r="L130" t="s">
        <v>20</v>
      </c>
    </row>
    <row r="131" spans="1:12" x14ac:dyDescent="0.35">
      <c r="A131">
        <v>130</v>
      </c>
      <c r="B131" t="s">
        <v>17</v>
      </c>
      <c r="C131">
        <v>4.5999999999999996</v>
      </c>
      <c r="D131">
        <v>83.8</v>
      </c>
      <c r="E131">
        <v>7.2</v>
      </c>
      <c r="F131" t="s">
        <v>18</v>
      </c>
      <c r="G131" t="s">
        <v>14</v>
      </c>
      <c r="H131" t="s">
        <v>14</v>
      </c>
      <c r="I131" t="s">
        <v>15</v>
      </c>
      <c r="J131">
        <v>73.599999999999994</v>
      </c>
      <c r="K131">
        <v>87.1</v>
      </c>
      <c r="L131" t="s">
        <v>20</v>
      </c>
    </row>
    <row r="132" spans="1:12" x14ac:dyDescent="0.35">
      <c r="A132">
        <v>131</v>
      </c>
      <c r="B132" t="s">
        <v>17</v>
      </c>
      <c r="C132">
        <v>4.3</v>
      </c>
      <c r="D132">
        <v>100</v>
      </c>
      <c r="E132">
        <v>6.9</v>
      </c>
      <c r="F132" t="s">
        <v>18</v>
      </c>
      <c r="G132" t="s">
        <v>14</v>
      </c>
      <c r="H132" t="s">
        <v>15</v>
      </c>
      <c r="I132" t="s">
        <v>14</v>
      </c>
      <c r="J132">
        <v>80</v>
      </c>
      <c r="K132">
        <v>100</v>
      </c>
      <c r="L132" t="s">
        <v>16</v>
      </c>
    </row>
    <row r="133" spans="1:12" x14ac:dyDescent="0.35">
      <c r="A133">
        <v>132</v>
      </c>
      <c r="B133" t="s">
        <v>12</v>
      </c>
      <c r="C133">
        <v>2</v>
      </c>
      <c r="D133">
        <v>91.3</v>
      </c>
      <c r="E133">
        <v>4.0999999999999996</v>
      </c>
      <c r="F133" t="s">
        <v>19</v>
      </c>
      <c r="G133" t="s">
        <v>14</v>
      </c>
      <c r="H133" t="s">
        <v>14</v>
      </c>
      <c r="I133" t="s">
        <v>15</v>
      </c>
      <c r="J133">
        <v>62.4</v>
      </c>
      <c r="K133">
        <v>75.7</v>
      </c>
      <c r="L133" t="s">
        <v>22</v>
      </c>
    </row>
    <row r="134" spans="1:12" x14ac:dyDescent="0.35">
      <c r="A134">
        <v>133</v>
      </c>
      <c r="B134" t="s">
        <v>12</v>
      </c>
      <c r="C134">
        <v>3.6</v>
      </c>
      <c r="D134">
        <v>74.8</v>
      </c>
      <c r="E134">
        <v>6.5</v>
      </c>
      <c r="F134" t="s">
        <v>13</v>
      </c>
      <c r="G134" t="s">
        <v>15</v>
      </c>
      <c r="H134" t="s">
        <v>14</v>
      </c>
      <c r="I134" t="s">
        <v>15</v>
      </c>
      <c r="J134">
        <v>80.400000000000006</v>
      </c>
      <c r="K134">
        <v>77.3</v>
      </c>
      <c r="L134" t="s">
        <v>22</v>
      </c>
    </row>
    <row r="135" spans="1:12" x14ac:dyDescent="0.35">
      <c r="A135">
        <v>134</v>
      </c>
      <c r="B135" t="s">
        <v>12</v>
      </c>
      <c r="C135">
        <v>4.5999999999999996</v>
      </c>
      <c r="D135">
        <v>100</v>
      </c>
      <c r="E135">
        <v>5.8</v>
      </c>
      <c r="F135" t="s">
        <v>23</v>
      </c>
      <c r="G135" t="s">
        <v>14</v>
      </c>
      <c r="H135" t="s">
        <v>14</v>
      </c>
      <c r="I135" t="s">
        <v>15</v>
      </c>
      <c r="J135">
        <v>37.5</v>
      </c>
      <c r="K135">
        <v>85.6</v>
      </c>
      <c r="L135" t="s">
        <v>20</v>
      </c>
    </row>
    <row r="136" spans="1:12" x14ac:dyDescent="0.35">
      <c r="A136">
        <v>135</v>
      </c>
      <c r="B136" t="s">
        <v>12</v>
      </c>
      <c r="C136">
        <v>1</v>
      </c>
      <c r="D136">
        <v>97.2</v>
      </c>
      <c r="E136">
        <v>7</v>
      </c>
      <c r="F136" t="s">
        <v>18</v>
      </c>
      <c r="G136" t="s">
        <v>14</v>
      </c>
      <c r="H136" t="s">
        <v>14</v>
      </c>
      <c r="I136" t="s">
        <v>15</v>
      </c>
      <c r="J136">
        <v>61.4</v>
      </c>
      <c r="K136">
        <v>80.8</v>
      </c>
      <c r="L136" t="s">
        <v>20</v>
      </c>
    </row>
    <row r="137" spans="1:12" x14ac:dyDescent="0.35">
      <c r="A137">
        <v>136</v>
      </c>
      <c r="B137" t="s">
        <v>12</v>
      </c>
      <c r="C137">
        <v>4.3</v>
      </c>
      <c r="D137">
        <v>90.8</v>
      </c>
      <c r="E137">
        <v>10</v>
      </c>
      <c r="F137" t="s">
        <v>13</v>
      </c>
      <c r="G137" t="s">
        <v>14</v>
      </c>
      <c r="H137" t="s">
        <v>14</v>
      </c>
      <c r="I137" t="s">
        <v>15</v>
      </c>
      <c r="J137">
        <v>58.9</v>
      </c>
      <c r="K137">
        <v>94.5</v>
      </c>
      <c r="L137" t="s">
        <v>16</v>
      </c>
    </row>
    <row r="138" spans="1:12" x14ac:dyDescent="0.35">
      <c r="A138">
        <v>137</v>
      </c>
      <c r="B138" t="s">
        <v>12</v>
      </c>
      <c r="C138">
        <v>2.5</v>
      </c>
      <c r="D138">
        <v>82.7</v>
      </c>
      <c r="E138">
        <v>7.2</v>
      </c>
      <c r="F138" t="s">
        <v>18</v>
      </c>
      <c r="G138" t="s">
        <v>15</v>
      </c>
      <c r="H138" t="s">
        <v>15</v>
      </c>
      <c r="I138" t="s">
        <v>14</v>
      </c>
      <c r="J138">
        <v>55</v>
      </c>
      <c r="K138">
        <v>59.7</v>
      </c>
      <c r="L138" t="s">
        <v>25</v>
      </c>
    </row>
    <row r="139" spans="1:12" x14ac:dyDescent="0.35">
      <c r="A139">
        <v>138</v>
      </c>
      <c r="B139" t="s">
        <v>12</v>
      </c>
      <c r="C139">
        <v>4.4000000000000004</v>
      </c>
      <c r="D139">
        <v>75.400000000000006</v>
      </c>
      <c r="E139">
        <v>6.4</v>
      </c>
      <c r="F139" t="s">
        <v>18</v>
      </c>
      <c r="G139" t="s">
        <v>14</v>
      </c>
      <c r="H139" t="s">
        <v>15</v>
      </c>
      <c r="I139" t="s">
        <v>15</v>
      </c>
      <c r="J139">
        <v>67.400000000000006</v>
      </c>
      <c r="K139">
        <v>80.900000000000006</v>
      </c>
      <c r="L139" t="s">
        <v>20</v>
      </c>
    </row>
    <row r="140" spans="1:12" x14ac:dyDescent="0.35">
      <c r="A140">
        <v>139</v>
      </c>
      <c r="B140" t="s">
        <v>12</v>
      </c>
      <c r="C140">
        <v>2.4</v>
      </c>
      <c r="D140">
        <v>81.3</v>
      </c>
      <c r="E140">
        <v>7.9</v>
      </c>
      <c r="F140" t="s">
        <v>18</v>
      </c>
      <c r="G140" t="s">
        <v>14</v>
      </c>
      <c r="H140" t="s">
        <v>14</v>
      </c>
      <c r="I140" t="s">
        <v>15</v>
      </c>
      <c r="J140">
        <v>74.599999999999994</v>
      </c>
      <c r="K140">
        <v>82.6</v>
      </c>
      <c r="L140" t="s">
        <v>20</v>
      </c>
    </row>
    <row r="141" spans="1:12" x14ac:dyDescent="0.35">
      <c r="A141">
        <v>140</v>
      </c>
      <c r="B141" t="s">
        <v>12</v>
      </c>
      <c r="C141">
        <v>0.8</v>
      </c>
      <c r="D141">
        <v>95.9</v>
      </c>
      <c r="E141">
        <v>7.4</v>
      </c>
      <c r="F141" t="s">
        <v>23</v>
      </c>
      <c r="G141" t="s">
        <v>14</v>
      </c>
      <c r="H141" t="s">
        <v>15</v>
      </c>
      <c r="I141" t="s">
        <v>15</v>
      </c>
      <c r="J141">
        <v>78.400000000000006</v>
      </c>
      <c r="K141">
        <v>80.2</v>
      </c>
      <c r="L141" t="s">
        <v>20</v>
      </c>
    </row>
    <row r="142" spans="1:12" x14ac:dyDescent="0.35">
      <c r="A142">
        <v>141</v>
      </c>
      <c r="B142" t="s">
        <v>17</v>
      </c>
      <c r="C142">
        <v>1.1000000000000001</v>
      </c>
      <c r="D142">
        <v>100</v>
      </c>
      <c r="E142">
        <v>7.3</v>
      </c>
      <c r="F142" t="s">
        <v>23</v>
      </c>
      <c r="G142" t="s">
        <v>14</v>
      </c>
      <c r="H142" t="s">
        <v>15</v>
      </c>
      <c r="I142" t="s">
        <v>14</v>
      </c>
      <c r="J142">
        <v>72.900000000000006</v>
      </c>
      <c r="K142">
        <v>82.4</v>
      </c>
      <c r="L142" t="s">
        <v>20</v>
      </c>
    </row>
    <row r="143" spans="1:12" x14ac:dyDescent="0.35">
      <c r="A143">
        <v>142</v>
      </c>
      <c r="B143" t="s">
        <v>12</v>
      </c>
      <c r="C143">
        <v>3.6</v>
      </c>
      <c r="D143">
        <v>100</v>
      </c>
      <c r="E143">
        <v>7.5</v>
      </c>
      <c r="F143" t="s">
        <v>13</v>
      </c>
      <c r="G143" t="s">
        <v>14</v>
      </c>
      <c r="H143" t="s">
        <v>15</v>
      </c>
      <c r="I143" t="s">
        <v>15</v>
      </c>
      <c r="J143">
        <v>62</v>
      </c>
      <c r="K143">
        <v>75.900000000000006</v>
      </c>
      <c r="L143" t="s">
        <v>22</v>
      </c>
    </row>
    <row r="144" spans="1:12" x14ac:dyDescent="0.35">
      <c r="A144">
        <v>143</v>
      </c>
      <c r="B144" t="s">
        <v>17</v>
      </c>
      <c r="C144">
        <v>3.9</v>
      </c>
      <c r="D144">
        <v>80.099999999999994</v>
      </c>
      <c r="E144">
        <v>9.3000000000000007</v>
      </c>
      <c r="F144" t="s">
        <v>13</v>
      </c>
      <c r="G144" t="s">
        <v>14</v>
      </c>
      <c r="H144" t="s">
        <v>15</v>
      </c>
      <c r="I144" t="s">
        <v>14</v>
      </c>
      <c r="J144">
        <v>74.400000000000006</v>
      </c>
      <c r="K144">
        <v>88.5</v>
      </c>
      <c r="L144" t="s">
        <v>20</v>
      </c>
    </row>
    <row r="145" spans="1:12" x14ac:dyDescent="0.35">
      <c r="A145">
        <v>144</v>
      </c>
      <c r="B145" t="s">
        <v>17</v>
      </c>
      <c r="C145">
        <v>2.1</v>
      </c>
      <c r="D145">
        <v>73.8</v>
      </c>
      <c r="E145">
        <v>5.4</v>
      </c>
      <c r="F145" t="s">
        <v>19</v>
      </c>
      <c r="G145" t="s">
        <v>14</v>
      </c>
      <c r="H145" t="s">
        <v>14</v>
      </c>
      <c r="I145" t="s">
        <v>14</v>
      </c>
      <c r="J145">
        <v>71.5</v>
      </c>
      <c r="K145">
        <v>69.599999999999994</v>
      </c>
      <c r="L145" t="s">
        <v>21</v>
      </c>
    </row>
    <row r="146" spans="1:12" x14ac:dyDescent="0.35">
      <c r="A146">
        <v>145</v>
      </c>
      <c r="B146" t="s">
        <v>17</v>
      </c>
      <c r="C146">
        <v>4.5</v>
      </c>
      <c r="D146">
        <v>86.4</v>
      </c>
      <c r="E146">
        <v>7.4</v>
      </c>
      <c r="F146" t="s">
        <v>18</v>
      </c>
      <c r="G146" t="s">
        <v>14</v>
      </c>
      <c r="H146" t="s">
        <v>15</v>
      </c>
      <c r="I146" t="s">
        <v>14</v>
      </c>
      <c r="J146">
        <v>81.2</v>
      </c>
      <c r="K146">
        <v>86.8</v>
      </c>
      <c r="L146" t="s">
        <v>20</v>
      </c>
    </row>
    <row r="147" spans="1:12" x14ac:dyDescent="0.35">
      <c r="A147">
        <v>146</v>
      </c>
      <c r="B147" t="s">
        <v>12</v>
      </c>
      <c r="C147">
        <v>1</v>
      </c>
      <c r="D147">
        <v>67.3</v>
      </c>
      <c r="E147">
        <v>5.7</v>
      </c>
      <c r="F147" t="s">
        <v>18</v>
      </c>
      <c r="G147" t="s">
        <v>14</v>
      </c>
      <c r="H147" t="s">
        <v>15</v>
      </c>
      <c r="I147" t="s">
        <v>15</v>
      </c>
      <c r="J147">
        <v>79.3</v>
      </c>
      <c r="K147">
        <v>65.2</v>
      </c>
      <c r="L147" t="s">
        <v>21</v>
      </c>
    </row>
    <row r="148" spans="1:12" x14ac:dyDescent="0.35">
      <c r="A148">
        <v>147</v>
      </c>
      <c r="B148" t="s">
        <v>12</v>
      </c>
      <c r="C148">
        <v>3.4</v>
      </c>
      <c r="D148">
        <v>88.2</v>
      </c>
      <c r="E148">
        <v>7.5</v>
      </c>
      <c r="F148" t="s">
        <v>18</v>
      </c>
      <c r="G148" t="s">
        <v>14</v>
      </c>
      <c r="H148" t="s">
        <v>15</v>
      </c>
      <c r="I148" t="s">
        <v>14</v>
      </c>
      <c r="J148">
        <v>70.400000000000006</v>
      </c>
      <c r="K148">
        <v>82</v>
      </c>
      <c r="L148" t="s">
        <v>20</v>
      </c>
    </row>
    <row r="149" spans="1:12" x14ac:dyDescent="0.35">
      <c r="A149">
        <v>148</v>
      </c>
      <c r="B149" t="s">
        <v>12</v>
      </c>
      <c r="C149">
        <v>1.7</v>
      </c>
      <c r="D149">
        <v>83.5</v>
      </c>
      <c r="E149">
        <v>5.7</v>
      </c>
      <c r="F149" t="s">
        <v>23</v>
      </c>
      <c r="G149" t="s">
        <v>14</v>
      </c>
      <c r="H149" t="s">
        <v>14</v>
      </c>
      <c r="I149" t="s">
        <v>14</v>
      </c>
      <c r="J149">
        <v>59.2</v>
      </c>
      <c r="K149">
        <v>46.8</v>
      </c>
      <c r="L149" t="s">
        <v>25</v>
      </c>
    </row>
    <row r="150" spans="1:12" x14ac:dyDescent="0.35">
      <c r="A150">
        <v>149</v>
      </c>
      <c r="B150" t="s">
        <v>12</v>
      </c>
      <c r="C150">
        <v>2.5</v>
      </c>
      <c r="D150">
        <v>80.3</v>
      </c>
      <c r="E150">
        <v>6.3</v>
      </c>
      <c r="F150" t="s">
        <v>19</v>
      </c>
      <c r="G150" t="s">
        <v>14</v>
      </c>
      <c r="H150" t="s">
        <v>14</v>
      </c>
      <c r="I150" t="s">
        <v>14</v>
      </c>
      <c r="J150">
        <v>62.2</v>
      </c>
      <c r="K150">
        <v>68.599999999999994</v>
      </c>
      <c r="L150" t="s">
        <v>21</v>
      </c>
    </row>
    <row r="151" spans="1:12" x14ac:dyDescent="0.35">
      <c r="A151">
        <v>150</v>
      </c>
      <c r="B151" t="s">
        <v>17</v>
      </c>
      <c r="C151">
        <v>3.6</v>
      </c>
      <c r="D151">
        <v>69.099999999999994</v>
      </c>
      <c r="E151">
        <v>6.4</v>
      </c>
      <c r="F151" t="s">
        <v>18</v>
      </c>
      <c r="G151" t="s">
        <v>14</v>
      </c>
      <c r="H151" t="s">
        <v>14</v>
      </c>
      <c r="I151" t="s">
        <v>14</v>
      </c>
      <c r="J151">
        <v>63.4</v>
      </c>
      <c r="K151">
        <v>69.2</v>
      </c>
      <c r="L151" t="s">
        <v>21</v>
      </c>
    </row>
    <row r="152" spans="1:12" x14ac:dyDescent="0.35">
      <c r="A152">
        <v>151</v>
      </c>
      <c r="B152" t="s">
        <v>12</v>
      </c>
      <c r="C152">
        <v>2.2000000000000002</v>
      </c>
      <c r="D152">
        <v>90.1</v>
      </c>
      <c r="E152">
        <v>8</v>
      </c>
      <c r="F152" t="s">
        <v>24</v>
      </c>
      <c r="G152" t="s">
        <v>14</v>
      </c>
      <c r="H152" t="s">
        <v>14</v>
      </c>
      <c r="I152" t="s">
        <v>15</v>
      </c>
      <c r="J152">
        <v>66.2</v>
      </c>
      <c r="K152">
        <v>84.7</v>
      </c>
      <c r="L152" t="s">
        <v>20</v>
      </c>
    </row>
    <row r="153" spans="1:12" x14ac:dyDescent="0.35">
      <c r="A153">
        <v>152</v>
      </c>
      <c r="B153" t="s">
        <v>12</v>
      </c>
      <c r="C153">
        <v>2.9</v>
      </c>
      <c r="D153">
        <v>79.7</v>
      </c>
      <c r="E153">
        <v>7.9</v>
      </c>
      <c r="F153" t="s">
        <v>23</v>
      </c>
      <c r="G153" t="s">
        <v>14</v>
      </c>
      <c r="H153" t="s">
        <v>14</v>
      </c>
      <c r="I153" t="s">
        <v>14</v>
      </c>
      <c r="J153">
        <v>73.2</v>
      </c>
      <c r="K153">
        <v>75.900000000000006</v>
      </c>
      <c r="L153" t="s">
        <v>22</v>
      </c>
    </row>
    <row r="154" spans="1:12" x14ac:dyDescent="0.35">
      <c r="A154">
        <v>153</v>
      </c>
      <c r="B154" t="s">
        <v>12</v>
      </c>
      <c r="C154">
        <v>5</v>
      </c>
      <c r="D154">
        <v>73.3</v>
      </c>
      <c r="E154">
        <v>5.3</v>
      </c>
      <c r="F154" t="s">
        <v>18</v>
      </c>
      <c r="G154" t="s">
        <v>14</v>
      </c>
      <c r="H154" t="s">
        <v>15</v>
      </c>
      <c r="I154" t="s">
        <v>14</v>
      </c>
      <c r="J154">
        <v>78.599999999999994</v>
      </c>
      <c r="K154">
        <v>84.7</v>
      </c>
      <c r="L154" t="s">
        <v>20</v>
      </c>
    </row>
    <row r="155" spans="1:12" x14ac:dyDescent="0.35">
      <c r="A155">
        <v>154</v>
      </c>
      <c r="B155" t="s">
        <v>12</v>
      </c>
      <c r="C155">
        <v>2.6</v>
      </c>
      <c r="D155">
        <v>56.3</v>
      </c>
      <c r="E155">
        <v>6.9</v>
      </c>
      <c r="F155" t="s">
        <v>13</v>
      </c>
      <c r="G155" t="s">
        <v>15</v>
      </c>
      <c r="H155" t="s">
        <v>14</v>
      </c>
      <c r="I155" t="s">
        <v>15</v>
      </c>
      <c r="J155">
        <v>69.400000000000006</v>
      </c>
      <c r="K155">
        <v>75.7</v>
      </c>
      <c r="L155" t="s">
        <v>22</v>
      </c>
    </row>
    <row r="156" spans="1:12" x14ac:dyDescent="0.35">
      <c r="A156">
        <v>155</v>
      </c>
      <c r="B156" t="s">
        <v>12</v>
      </c>
      <c r="C156">
        <v>4.8</v>
      </c>
      <c r="D156">
        <v>84.7</v>
      </c>
      <c r="E156">
        <v>5.9</v>
      </c>
      <c r="F156" t="s">
        <v>13</v>
      </c>
      <c r="G156" t="s">
        <v>14</v>
      </c>
      <c r="H156" t="s">
        <v>15</v>
      </c>
      <c r="I156" t="s">
        <v>15</v>
      </c>
      <c r="J156">
        <v>70.2</v>
      </c>
      <c r="K156">
        <v>95.4</v>
      </c>
      <c r="L156" t="s">
        <v>16</v>
      </c>
    </row>
    <row r="157" spans="1:12" x14ac:dyDescent="0.35">
      <c r="A157">
        <v>156</v>
      </c>
      <c r="B157" t="s">
        <v>17</v>
      </c>
      <c r="C157">
        <v>1.8</v>
      </c>
      <c r="D157">
        <v>100</v>
      </c>
      <c r="E157">
        <v>5.3</v>
      </c>
      <c r="F157" t="s">
        <v>19</v>
      </c>
      <c r="G157" t="s">
        <v>14</v>
      </c>
      <c r="H157" t="s">
        <v>14</v>
      </c>
      <c r="I157" t="s">
        <v>15</v>
      </c>
      <c r="J157">
        <v>71.7</v>
      </c>
      <c r="K157">
        <v>87.6</v>
      </c>
      <c r="L157" t="s">
        <v>20</v>
      </c>
    </row>
    <row r="158" spans="1:12" x14ac:dyDescent="0.35">
      <c r="A158">
        <v>157</v>
      </c>
      <c r="B158" t="s">
        <v>12</v>
      </c>
      <c r="C158">
        <v>4.3</v>
      </c>
      <c r="D158">
        <v>100</v>
      </c>
      <c r="E158">
        <v>6.5</v>
      </c>
      <c r="F158" t="s">
        <v>18</v>
      </c>
      <c r="G158" t="s">
        <v>14</v>
      </c>
      <c r="H158" t="s">
        <v>15</v>
      </c>
      <c r="I158" t="s">
        <v>15</v>
      </c>
      <c r="J158">
        <v>63.8</v>
      </c>
      <c r="K158">
        <v>87.7</v>
      </c>
      <c r="L158" t="s">
        <v>20</v>
      </c>
    </row>
    <row r="159" spans="1:12" x14ac:dyDescent="0.35">
      <c r="A159">
        <v>158</v>
      </c>
      <c r="B159" t="s">
        <v>17</v>
      </c>
      <c r="C159">
        <v>5.7</v>
      </c>
      <c r="D159">
        <v>80.400000000000006</v>
      </c>
      <c r="E159">
        <v>6.4</v>
      </c>
      <c r="F159" t="s">
        <v>23</v>
      </c>
      <c r="G159" t="s">
        <v>14</v>
      </c>
      <c r="H159" t="s">
        <v>14</v>
      </c>
      <c r="I159" t="s">
        <v>14</v>
      </c>
      <c r="J159">
        <v>58.9</v>
      </c>
      <c r="K159">
        <v>89.3</v>
      </c>
      <c r="L159" t="s">
        <v>20</v>
      </c>
    </row>
    <row r="160" spans="1:12" x14ac:dyDescent="0.35">
      <c r="A160">
        <v>159</v>
      </c>
      <c r="B160" t="s">
        <v>12</v>
      </c>
      <c r="C160">
        <v>0.5</v>
      </c>
      <c r="D160">
        <v>79</v>
      </c>
      <c r="E160">
        <v>9.6999999999999993</v>
      </c>
      <c r="F160" t="s">
        <v>18</v>
      </c>
      <c r="G160" t="s">
        <v>14</v>
      </c>
      <c r="H160" t="s">
        <v>14</v>
      </c>
      <c r="I160" t="s">
        <v>15</v>
      </c>
      <c r="J160">
        <v>48.9</v>
      </c>
      <c r="K160">
        <v>63.7</v>
      </c>
      <c r="L160" t="s">
        <v>21</v>
      </c>
    </row>
    <row r="161" spans="1:12" x14ac:dyDescent="0.35">
      <c r="A161">
        <v>160</v>
      </c>
      <c r="B161" t="s">
        <v>17</v>
      </c>
      <c r="C161">
        <v>2.2999999999999998</v>
      </c>
      <c r="D161">
        <v>89.7</v>
      </c>
      <c r="E161">
        <v>7.3</v>
      </c>
      <c r="F161" t="s">
        <v>23</v>
      </c>
      <c r="G161" t="s">
        <v>14</v>
      </c>
      <c r="H161" t="s">
        <v>15</v>
      </c>
      <c r="I161" t="s">
        <v>14</v>
      </c>
      <c r="J161">
        <v>61.7</v>
      </c>
      <c r="K161">
        <v>74</v>
      </c>
      <c r="L161" t="s">
        <v>22</v>
      </c>
    </row>
    <row r="162" spans="1:12" x14ac:dyDescent="0.35">
      <c r="A162">
        <v>161</v>
      </c>
      <c r="B162" t="s">
        <v>12</v>
      </c>
      <c r="C162">
        <v>4.4000000000000004</v>
      </c>
      <c r="D162">
        <v>75</v>
      </c>
      <c r="E162">
        <v>5.0999999999999996</v>
      </c>
      <c r="F162" t="s">
        <v>13</v>
      </c>
      <c r="G162" t="s">
        <v>14</v>
      </c>
      <c r="H162" t="s">
        <v>15</v>
      </c>
      <c r="I162" t="s">
        <v>15</v>
      </c>
      <c r="J162">
        <v>75.7</v>
      </c>
      <c r="K162">
        <v>87.9</v>
      </c>
      <c r="L162" t="s">
        <v>20</v>
      </c>
    </row>
    <row r="163" spans="1:12" x14ac:dyDescent="0.35">
      <c r="A163">
        <v>162</v>
      </c>
      <c r="B163" t="s">
        <v>12</v>
      </c>
      <c r="C163">
        <v>3.2</v>
      </c>
      <c r="D163">
        <v>88</v>
      </c>
      <c r="E163">
        <v>6.1</v>
      </c>
      <c r="F163" t="s">
        <v>13</v>
      </c>
      <c r="G163" t="s">
        <v>14</v>
      </c>
      <c r="H163" t="s">
        <v>15</v>
      </c>
      <c r="I163" t="s">
        <v>15</v>
      </c>
      <c r="J163">
        <v>61.6</v>
      </c>
      <c r="K163">
        <v>76.599999999999994</v>
      </c>
      <c r="L163" t="s">
        <v>22</v>
      </c>
    </row>
    <row r="164" spans="1:12" x14ac:dyDescent="0.35">
      <c r="A164">
        <v>163</v>
      </c>
      <c r="B164" t="s">
        <v>17</v>
      </c>
      <c r="C164">
        <v>4.0999999999999996</v>
      </c>
      <c r="D164">
        <v>92.7</v>
      </c>
      <c r="E164">
        <v>8</v>
      </c>
      <c r="F164" t="s">
        <v>23</v>
      </c>
      <c r="G164" t="s">
        <v>14</v>
      </c>
      <c r="H164" t="s">
        <v>14</v>
      </c>
      <c r="I164" t="s">
        <v>14</v>
      </c>
      <c r="J164">
        <v>67.099999999999994</v>
      </c>
      <c r="K164">
        <v>97.3</v>
      </c>
      <c r="L164" t="s">
        <v>16</v>
      </c>
    </row>
    <row r="165" spans="1:12" x14ac:dyDescent="0.35">
      <c r="A165">
        <v>164</v>
      </c>
      <c r="B165" t="s">
        <v>17</v>
      </c>
      <c r="C165">
        <v>2.6</v>
      </c>
      <c r="D165">
        <v>97.3</v>
      </c>
      <c r="E165">
        <v>9.3000000000000007</v>
      </c>
      <c r="F165" t="s">
        <v>23</v>
      </c>
      <c r="G165" t="s">
        <v>14</v>
      </c>
      <c r="H165" t="s">
        <v>14</v>
      </c>
      <c r="I165" t="s">
        <v>15</v>
      </c>
      <c r="J165">
        <v>75.599999999999994</v>
      </c>
      <c r="K165">
        <v>90.2</v>
      </c>
      <c r="L165" t="s">
        <v>16</v>
      </c>
    </row>
    <row r="166" spans="1:12" x14ac:dyDescent="0.35">
      <c r="A166">
        <v>165</v>
      </c>
      <c r="B166" t="s">
        <v>17</v>
      </c>
      <c r="C166">
        <v>3.6</v>
      </c>
      <c r="D166">
        <v>84</v>
      </c>
      <c r="E166">
        <v>4.9000000000000004</v>
      </c>
      <c r="F166" t="s">
        <v>24</v>
      </c>
      <c r="G166" t="s">
        <v>14</v>
      </c>
      <c r="H166" t="s">
        <v>15</v>
      </c>
      <c r="I166" t="s">
        <v>15</v>
      </c>
      <c r="J166">
        <v>76.2</v>
      </c>
      <c r="K166">
        <v>88.7</v>
      </c>
      <c r="L166" t="s">
        <v>20</v>
      </c>
    </row>
    <row r="167" spans="1:12" x14ac:dyDescent="0.35">
      <c r="A167">
        <v>166</v>
      </c>
      <c r="B167" t="s">
        <v>12</v>
      </c>
      <c r="C167">
        <v>3.3</v>
      </c>
      <c r="D167">
        <v>83</v>
      </c>
      <c r="E167">
        <v>4.5</v>
      </c>
      <c r="F167" t="s">
        <v>18</v>
      </c>
      <c r="G167" t="s">
        <v>14</v>
      </c>
      <c r="H167" t="s">
        <v>14</v>
      </c>
      <c r="I167" t="s">
        <v>15</v>
      </c>
      <c r="J167">
        <v>57</v>
      </c>
      <c r="K167">
        <v>84.8</v>
      </c>
      <c r="L167" t="s">
        <v>20</v>
      </c>
    </row>
    <row r="168" spans="1:12" x14ac:dyDescent="0.35">
      <c r="A168">
        <v>167</v>
      </c>
      <c r="B168" t="s">
        <v>17</v>
      </c>
      <c r="C168">
        <v>5.3</v>
      </c>
      <c r="D168">
        <v>76.2</v>
      </c>
      <c r="E168">
        <v>9</v>
      </c>
      <c r="F168" t="s">
        <v>23</v>
      </c>
      <c r="G168" t="s">
        <v>14</v>
      </c>
      <c r="H168" t="s">
        <v>15</v>
      </c>
      <c r="I168" t="s">
        <v>15</v>
      </c>
      <c r="J168">
        <v>82</v>
      </c>
      <c r="K168">
        <v>100</v>
      </c>
      <c r="L168" t="s">
        <v>16</v>
      </c>
    </row>
    <row r="169" spans="1:12" x14ac:dyDescent="0.35">
      <c r="A169">
        <v>168</v>
      </c>
      <c r="B169" t="s">
        <v>12</v>
      </c>
      <c r="C169">
        <v>3.9</v>
      </c>
      <c r="D169">
        <v>76.7</v>
      </c>
      <c r="E169">
        <v>7.3</v>
      </c>
      <c r="F169" t="s">
        <v>18</v>
      </c>
      <c r="G169" t="s">
        <v>14</v>
      </c>
      <c r="H169" t="s">
        <v>14</v>
      </c>
      <c r="I169" t="s">
        <v>15</v>
      </c>
      <c r="J169">
        <v>83.5</v>
      </c>
      <c r="K169">
        <v>82.1</v>
      </c>
      <c r="L169" t="s">
        <v>20</v>
      </c>
    </row>
    <row r="170" spans="1:12" x14ac:dyDescent="0.35">
      <c r="A170">
        <v>169</v>
      </c>
      <c r="B170" t="s">
        <v>12</v>
      </c>
      <c r="C170">
        <v>4</v>
      </c>
      <c r="D170">
        <v>82.7</v>
      </c>
      <c r="E170">
        <v>5.8</v>
      </c>
      <c r="F170" t="s">
        <v>13</v>
      </c>
      <c r="G170" t="s">
        <v>15</v>
      </c>
      <c r="H170" t="s">
        <v>14</v>
      </c>
      <c r="I170" t="s">
        <v>14</v>
      </c>
      <c r="J170">
        <v>56.4</v>
      </c>
      <c r="K170">
        <v>75.099999999999994</v>
      </c>
      <c r="L170" t="s">
        <v>22</v>
      </c>
    </row>
    <row r="171" spans="1:12" x14ac:dyDescent="0.35">
      <c r="A171">
        <v>170</v>
      </c>
      <c r="B171" t="s">
        <v>17</v>
      </c>
      <c r="C171">
        <v>2.9</v>
      </c>
      <c r="D171">
        <v>88.7</v>
      </c>
      <c r="E171">
        <v>7.4</v>
      </c>
      <c r="F171" t="s">
        <v>13</v>
      </c>
      <c r="G171" t="s">
        <v>15</v>
      </c>
      <c r="H171" t="s">
        <v>14</v>
      </c>
      <c r="I171" t="s">
        <v>14</v>
      </c>
      <c r="J171">
        <v>60.1</v>
      </c>
      <c r="K171">
        <v>78.099999999999994</v>
      </c>
      <c r="L171" t="s">
        <v>22</v>
      </c>
    </row>
    <row r="172" spans="1:12" x14ac:dyDescent="0.35">
      <c r="A172">
        <v>171</v>
      </c>
      <c r="B172" t="s">
        <v>17</v>
      </c>
      <c r="C172">
        <v>2.8</v>
      </c>
      <c r="D172">
        <v>94.1</v>
      </c>
      <c r="E172">
        <v>3.6</v>
      </c>
      <c r="F172" t="s">
        <v>13</v>
      </c>
      <c r="G172" t="s">
        <v>14</v>
      </c>
      <c r="H172" t="s">
        <v>14</v>
      </c>
      <c r="I172" t="s">
        <v>15</v>
      </c>
      <c r="J172">
        <v>84.3</v>
      </c>
      <c r="K172">
        <v>92.9</v>
      </c>
      <c r="L172" t="s">
        <v>16</v>
      </c>
    </row>
    <row r="173" spans="1:12" x14ac:dyDescent="0.35">
      <c r="A173">
        <v>172</v>
      </c>
      <c r="B173" t="s">
        <v>12</v>
      </c>
      <c r="C173">
        <v>2.9</v>
      </c>
      <c r="D173">
        <v>77</v>
      </c>
      <c r="E173">
        <v>6.8</v>
      </c>
      <c r="F173" t="s">
        <v>13</v>
      </c>
      <c r="G173" t="s">
        <v>14</v>
      </c>
      <c r="H173" t="s">
        <v>15</v>
      </c>
      <c r="I173" t="s">
        <v>15</v>
      </c>
      <c r="J173">
        <v>68.2</v>
      </c>
      <c r="K173">
        <v>71.8</v>
      </c>
      <c r="L173" t="s">
        <v>22</v>
      </c>
    </row>
    <row r="174" spans="1:12" x14ac:dyDescent="0.35">
      <c r="A174">
        <v>173</v>
      </c>
      <c r="B174" t="s">
        <v>12</v>
      </c>
      <c r="C174">
        <v>4.0999999999999996</v>
      </c>
      <c r="D174">
        <v>99.9</v>
      </c>
      <c r="E174">
        <v>7.2</v>
      </c>
      <c r="F174" t="s">
        <v>19</v>
      </c>
      <c r="G174" t="s">
        <v>14</v>
      </c>
      <c r="H174" t="s">
        <v>15</v>
      </c>
      <c r="I174" t="s">
        <v>15</v>
      </c>
      <c r="J174">
        <v>43.4</v>
      </c>
      <c r="K174">
        <v>78.5</v>
      </c>
      <c r="L174" t="s">
        <v>22</v>
      </c>
    </row>
    <row r="175" spans="1:12" x14ac:dyDescent="0.35">
      <c r="A175">
        <v>174</v>
      </c>
      <c r="B175" t="s">
        <v>17</v>
      </c>
      <c r="C175">
        <v>2.9</v>
      </c>
      <c r="D175">
        <v>82.3</v>
      </c>
      <c r="E175">
        <v>7.9</v>
      </c>
      <c r="F175" t="s">
        <v>18</v>
      </c>
      <c r="G175" t="s">
        <v>14</v>
      </c>
      <c r="H175" t="s">
        <v>14</v>
      </c>
      <c r="I175" t="s">
        <v>15</v>
      </c>
      <c r="J175">
        <v>53.2</v>
      </c>
      <c r="K175">
        <v>82.6</v>
      </c>
      <c r="L175" t="s">
        <v>20</v>
      </c>
    </row>
    <row r="176" spans="1:12" x14ac:dyDescent="0.35">
      <c r="A176">
        <v>175</v>
      </c>
      <c r="B176" t="s">
        <v>17</v>
      </c>
      <c r="C176">
        <v>3.9</v>
      </c>
      <c r="D176">
        <v>84.8</v>
      </c>
      <c r="E176">
        <v>5.6</v>
      </c>
      <c r="F176" t="s">
        <v>23</v>
      </c>
      <c r="G176" t="s">
        <v>14</v>
      </c>
      <c r="H176" t="s">
        <v>15</v>
      </c>
      <c r="I176" t="s">
        <v>15</v>
      </c>
      <c r="J176">
        <v>67</v>
      </c>
      <c r="K176">
        <v>79.2</v>
      </c>
      <c r="L176" t="s">
        <v>22</v>
      </c>
    </row>
    <row r="177" spans="1:12" x14ac:dyDescent="0.35">
      <c r="A177">
        <v>176</v>
      </c>
      <c r="B177" t="s">
        <v>17</v>
      </c>
      <c r="C177">
        <v>6.6</v>
      </c>
      <c r="D177">
        <v>77.5</v>
      </c>
      <c r="E177">
        <v>6.9</v>
      </c>
      <c r="F177" t="s">
        <v>13</v>
      </c>
      <c r="G177" t="s">
        <v>14</v>
      </c>
      <c r="H177" t="s">
        <v>14</v>
      </c>
      <c r="I177" t="s">
        <v>15</v>
      </c>
      <c r="J177">
        <v>56</v>
      </c>
      <c r="K177">
        <v>89.7</v>
      </c>
      <c r="L177" t="s">
        <v>20</v>
      </c>
    </row>
    <row r="178" spans="1:12" x14ac:dyDescent="0.35">
      <c r="A178">
        <v>177</v>
      </c>
      <c r="B178" t="s">
        <v>12</v>
      </c>
      <c r="C178">
        <v>4.8</v>
      </c>
      <c r="D178">
        <v>60.8</v>
      </c>
      <c r="E178">
        <v>5.7</v>
      </c>
      <c r="F178" t="s">
        <v>18</v>
      </c>
      <c r="G178" t="s">
        <v>14</v>
      </c>
      <c r="H178" t="s">
        <v>14</v>
      </c>
      <c r="I178" t="s">
        <v>15</v>
      </c>
      <c r="J178">
        <v>65</v>
      </c>
      <c r="K178">
        <v>89.2</v>
      </c>
      <c r="L178" t="s">
        <v>20</v>
      </c>
    </row>
    <row r="179" spans="1:12" x14ac:dyDescent="0.35">
      <c r="A179">
        <v>178</v>
      </c>
      <c r="B179" t="s">
        <v>12</v>
      </c>
      <c r="C179">
        <v>3</v>
      </c>
      <c r="D179">
        <v>93.8</v>
      </c>
      <c r="E179">
        <v>7.1</v>
      </c>
      <c r="F179" t="s">
        <v>18</v>
      </c>
      <c r="G179" t="s">
        <v>15</v>
      </c>
      <c r="H179" t="s">
        <v>14</v>
      </c>
      <c r="I179" t="s">
        <v>15</v>
      </c>
      <c r="J179">
        <v>70.400000000000006</v>
      </c>
      <c r="K179">
        <v>81.7</v>
      </c>
      <c r="L179" t="s">
        <v>20</v>
      </c>
    </row>
    <row r="180" spans="1:12" x14ac:dyDescent="0.35">
      <c r="A180">
        <v>179</v>
      </c>
      <c r="B180" t="s">
        <v>12</v>
      </c>
      <c r="C180">
        <v>5.3</v>
      </c>
      <c r="D180">
        <v>92.4</v>
      </c>
      <c r="E180">
        <v>5.7</v>
      </c>
      <c r="F180" t="s">
        <v>19</v>
      </c>
      <c r="G180" t="s">
        <v>14</v>
      </c>
      <c r="H180" t="s">
        <v>15</v>
      </c>
      <c r="I180" t="s">
        <v>15</v>
      </c>
      <c r="J180">
        <v>87.5</v>
      </c>
      <c r="K180">
        <v>96.7</v>
      </c>
      <c r="L180" t="s">
        <v>16</v>
      </c>
    </row>
    <row r="181" spans="1:12" x14ac:dyDescent="0.35">
      <c r="A181">
        <v>180</v>
      </c>
      <c r="B181" t="s">
        <v>12</v>
      </c>
      <c r="C181">
        <v>2.9</v>
      </c>
      <c r="D181">
        <v>82.2</v>
      </c>
      <c r="E181">
        <v>6.3</v>
      </c>
      <c r="F181" t="s">
        <v>24</v>
      </c>
      <c r="G181" t="s">
        <v>14</v>
      </c>
      <c r="H181" t="s">
        <v>15</v>
      </c>
      <c r="I181" t="s">
        <v>15</v>
      </c>
      <c r="J181">
        <v>66.5</v>
      </c>
      <c r="K181">
        <v>73.7</v>
      </c>
      <c r="L181" t="s">
        <v>22</v>
      </c>
    </row>
    <row r="182" spans="1:12" x14ac:dyDescent="0.35">
      <c r="A182">
        <v>181</v>
      </c>
      <c r="B182" t="s">
        <v>12</v>
      </c>
      <c r="C182">
        <v>0.5</v>
      </c>
      <c r="D182">
        <v>85.7</v>
      </c>
      <c r="E182">
        <v>5.6</v>
      </c>
      <c r="F182" t="s">
        <v>19</v>
      </c>
      <c r="G182" t="s">
        <v>14</v>
      </c>
      <c r="H182" t="s">
        <v>15</v>
      </c>
      <c r="I182" t="s">
        <v>15</v>
      </c>
      <c r="J182">
        <v>82.9</v>
      </c>
      <c r="K182">
        <v>77.099999999999994</v>
      </c>
      <c r="L182" t="s">
        <v>22</v>
      </c>
    </row>
    <row r="183" spans="1:12" x14ac:dyDescent="0.35">
      <c r="A183">
        <v>182</v>
      </c>
      <c r="B183" t="s">
        <v>12</v>
      </c>
      <c r="C183">
        <v>2</v>
      </c>
      <c r="D183">
        <v>90.2</v>
      </c>
      <c r="E183">
        <v>7.6</v>
      </c>
      <c r="F183" t="s">
        <v>19</v>
      </c>
      <c r="G183" t="s">
        <v>14</v>
      </c>
      <c r="H183" t="s">
        <v>15</v>
      </c>
      <c r="I183" t="s">
        <v>14</v>
      </c>
      <c r="J183">
        <v>87.1</v>
      </c>
      <c r="K183">
        <v>76.5</v>
      </c>
      <c r="L183" t="s">
        <v>22</v>
      </c>
    </row>
    <row r="184" spans="1:12" x14ac:dyDescent="0.35">
      <c r="A184">
        <v>183</v>
      </c>
      <c r="B184" t="s">
        <v>17</v>
      </c>
      <c r="C184">
        <v>0.7</v>
      </c>
      <c r="D184">
        <v>69.400000000000006</v>
      </c>
      <c r="E184">
        <v>7.8</v>
      </c>
      <c r="F184" t="s">
        <v>18</v>
      </c>
      <c r="G184" t="s">
        <v>14</v>
      </c>
      <c r="H184" t="s">
        <v>15</v>
      </c>
      <c r="I184" t="s">
        <v>15</v>
      </c>
      <c r="J184">
        <v>87.2</v>
      </c>
      <c r="K184">
        <v>73.2</v>
      </c>
      <c r="L184" t="s">
        <v>22</v>
      </c>
    </row>
    <row r="185" spans="1:12" x14ac:dyDescent="0.35">
      <c r="A185">
        <v>184</v>
      </c>
      <c r="B185" t="s">
        <v>12</v>
      </c>
      <c r="C185">
        <v>3</v>
      </c>
      <c r="D185">
        <v>79.7</v>
      </c>
      <c r="E185">
        <v>6.5</v>
      </c>
      <c r="F185" t="s">
        <v>13</v>
      </c>
      <c r="G185" t="s">
        <v>14</v>
      </c>
      <c r="H185" t="s">
        <v>15</v>
      </c>
      <c r="I185" t="s">
        <v>15</v>
      </c>
      <c r="J185">
        <v>73.400000000000006</v>
      </c>
      <c r="K185">
        <v>83.6</v>
      </c>
      <c r="L185" t="s">
        <v>20</v>
      </c>
    </row>
    <row r="186" spans="1:12" x14ac:dyDescent="0.35">
      <c r="A186">
        <v>185</v>
      </c>
      <c r="B186" t="s">
        <v>12</v>
      </c>
      <c r="C186">
        <v>3.5</v>
      </c>
      <c r="D186">
        <v>92.9</v>
      </c>
      <c r="E186">
        <v>6.8</v>
      </c>
      <c r="F186" t="s">
        <v>23</v>
      </c>
      <c r="G186" t="s">
        <v>14</v>
      </c>
      <c r="H186" t="s">
        <v>15</v>
      </c>
      <c r="I186" t="s">
        <v>15</v>
      </c>
      <c r="J186">
        <v>46.4</v>
      </c>
      <c r="K186">
        <v>85.8</v>
      </c>
      <c r="L186" t="s">
        <v>20</v>
      </c>
    </row>
    <row r="187" spans="1:12" x14ac:dyDescent="0.35">
      <c r="A187">
        <v>186</v>
      </c>
      <c r="B187" t="s">
        <v>12</v>
      </c>
      <c r="C187">
        <v>6</v>
      </c>
      <c r="D187">
        <v>72.5</v>
      </c>
      <c r="E187">
        <v>5.0999999999999996</v>
      </c>
      <c r="F187" t="s">
        <v>13</v>
      </c>
      <c r="G187" t="s">
        <v>14</v>
      </c>
      <c r="H187" t="s">
        <v>15</v>
      </c>
      <c r="I187" t="s">
        <v>15</v>
      </c>
      <c r="J187">
        <v>75.5</v>
      </c>
      <c r="K187">
        <v>95.7</v>
      </c>
      <c r="L187" t="s">
        <v>16</v>
      </c>
    </row>
    <row r="188" spans="1:12" x14ac:dyDescent="0.35">
      <c r="A188">
        <v>187</v>
      </c>
      <c r="B188" t="s">
        <v>17</v>
      </c>
      <c r="C188">
        <v>4</v>
      </c>
      <c r="D188">
        <v>87.9</v>
      </c>
      <c r="E188">
        <v>6.4</v>
      </c>
      <c r="F188" t="s">
        <v>13</v>
      </c>
      <c r="G188" t="s">
        <v>14</v>
      </c>
      <c r="H188" t="s">
        <v>14</v>
      </c>
      <c r="I188" t="s">
        <v>15</v>
      </c>
      <c r="J188">
        <v>82.6</v>
      </c>
      <c r="K188">
        <v>89.2</v>
      </c>
      <c r="L188" t="s">
        <v>20</v>
      </c>
    </row>
    <row r="189" spans="1:12" x14ac:dyDescent="0.35">
      <c r="A189">
        <v>188</v>
      </c>
      <c r="B189" t="s">
        <v>12</v>
      </c>
      <c r="C189">
        <v>3.2</v>
      </c>
      <c r="D189">
        <v>71.400000000000006</v>
      </c>
      <c r="E189">
        <v>6.7</v>
      </c>
      <c r="F189" t="s">
        <v>13</v>
      </c>
      <c r="G189" t="s">
        <v>14</v>
      </c>
      <c r="H189" t="s">
        <v>14</v>
      </c>
      <c r="I189" t="s">
        <v>14</v>
      </c>
      <c r="J189">
        <v>69</v>
      </c>
      <c r="K189">
        <v>83.1</v>
      </c>
      <c r="L189" t="s">
        <v>20</v>
      </c>
    </row>
    <row r="190" spans="1:12" x14ac:dyDescent="0.35">
      <c r="A190">
        <v>189</v>
      </c>
      <c r="B190" t="s">
        <v>12</v>
      </c>
      <c r="C190">
        <v>4.7</v>
      </c>
      <c r="D190">
        <v>89.7</v>
      </c>
      <c r="E190">
        <v>9.9</v>
      </c>
      <c r="F190" t="s">
        <v>13</v>
      </c>
      <c r="G190" t="s">
        <v>14</v>
      </c>
      <c r="H190" t="s">
        <v>14</v>
      </c>
      <c r="I190" t="s">
        <v>15</v>
      </c>
      <c r="J190">
        <v>90.9</v>
      </c>
      <c r="K190">
        <v>100</v>
      </c>
      <c r="L190" t="s">
        <v>16</v>
      </c>
    </row>
    <row r="191" spans="1:12" x14ac:dyDescent="0.35">
      <c r="A191">
        <v>190</v>
      </c>
      <c r="B191" t="s">
        <v>17</v>
      </c>
      <c r="C191">
        <v>0.5</v>
      </c>
      <c r="D191">
        <v>84.6</v>
      </c>
      <c r="E191">
        <v>5.5</v>
      </c>
      <c r="F191" t="s">
        <v>13</v>
      </c>
      <c r="G191" t="s">
        <v>14</v>
      </c>
      <c r="H191" t="s">
        <v>14</v>
      </c>
      <c r="I191" t="s">
        <v>15</v>
      </c>
      <c r="J191">
        <v>80.3</v>
      </c>
      <c r="K191">
        <v>67.2</v>
      </c>
      <c r="L191" t="s">
        <v>21</v>
      </c>
    </row>
    <row r="192" spans="1:12" x14ac:dyDescent="0.35">
      <c r="A192">
        <v>191</v>
      </c>
      <c r="B192" t="s">
        <v>12</v>
      </c>
      <c r="C192">
        <v>3.9</v>
      </c>
      <c r="D192">
        <v>68.8</v>
      </c>
      <c r="E192">
        <v>8.6</v>
      </c>
      <c r="F192" t="s">
        <v>18</v>
      </c>
      <c r="G192" t="s">
        <v>14</v>
      </c>
      <c r="H192" t="s">
        <v>15</v>
      </c>
      <c r="I192" t="s">
        <v>15</v>
      </c>
      <c r="J192">
        <v>76.8</v>
      </c>
      <c r="K192">
        <v>84.6</v>
      </c>
      <c r="L192" t="s">
        <v>20</v>
      </c>
    </row>
    <row r="193" spans="1:12" x14ac:dyDescent="0.35">
      <c r="A193">
        <v>192</v>
      </c>
      <c r="B193" t="s">
        <v>12</v>
      </c>
      <c r="C193">
        <v>4.7</v>
      </c>
      <c r="D193">
        <v>96.6</v>
      </c>
      <c r="E193">
        <v>8</v>
      </c>
      <c r="F193" t="s">
        <v>13</v>
      </c>
      <c r="G193" t="s">
        <v>14</v>
      </c>
      <c r="H193" t="s">
        <v>14</v>
      </c>
      <c r="I193" t="s">
        <v>14</v>
      </c>
      <c r="J193">
        <v>83</v>
      </c>
      <c r="K193">
        <v>100</v>
      </c>
      <c r="L193" t="s">
        <v>16</v>
      </c>
    </row>
    <row r="194" spans="1:12" x14ac:dyDescent="0.35">
      <c r="A194">
        <v>193</v>
      </c>
      <c r="B194" t="s">
        <v>12</v>
      </c>
      <c r="C194">
        <v>1.3</v>
      </c>
      <c r="D194">
        <v>77.7</v>
      </c>
      <c r="E194">
        <v>7.1</v>
      </c>
      <c r="F194" t="s">
        <v>13</v>
      </c>
      <c r="G194" t="s">
        <v>14</v>
      </c>
      <c r="H194" t="s">
        <v>15</v>
      </c>
      <c r="I194" t="s">
        <v>15</v>
      </c>
      <c r="J194">
        <v>74</v>
      </c>
      <c r="K194">
        <v>75.2</v>
      </c>
      <c r="L194" t="s">
        <v>22</v>
      </c>
    </row>
    <row r="195" spans="1:12" x14ac:dyDescent="0.35">
      <c r="A195">
        <v>194</v>
      </c>
      <c r="B195" t="s">
        <v>12</v>
      </c>
      <c r="C195">
        <v>5.2</v>
      </c>
      <c r="D195">
        <v>76.900000000000006</v>
      </c>
      <c r="E195">
        <v>8.9</v>
      </c>
      <c r="F195" t="s">
        <v>13</v>
      </c>
      <c r="G195" t="s">
        <v>14</v>
      </c>
      <c r="H195" t="s">
        <v>14</v>
      </c>
      <c r="I195" t="s">
        <v>15</v>
      </c>
      <c r="J195">
        <v>40.1</v>
      </c>
      <c r="K195">
        <v>81.099999999999994</v>
      </c>
      <c r="L195" t="s">
        <v>20</v>
      </c>
    </row>
    <row r="196" spans="1:12" x14ac:dyDescent="0.35">
      <c r="A196">
        <v>195</v>
      </c>
      <c r="B196" t="s">
        <v>12</v>
      </c>
      <c r="C196">
        <v>4</v>
      </c>
      <c r="D196">
        <v>87</v>
      </c>
      <c r="E196">
        <v>7.2</v>
      </c>
      <c r="F196" t="s">
        <v>18</v>
      </c>
      <c r="G196" t="s">
        <v>14</v>
      </c>
      <c r="H196" t="s">
        <v>14</v>
      </c>
      <c r="I196" t="s">
        <v>15</v>
      </c>
      <c r="J196">
        <v>64</v>
      </c>
      <c r="K196">
        <v>96.5</v>
      </c>
      <c r="L196" t="s">
        <v>16</v>
      </c>
    </row>
    <row r="197" spans="1:12" x14ac:dyDescent="0.35">
      <c r="A197">
        <v>196</v>
      </c>
      <c r="B197" t="s">
        <v>17</v>
      </c>
      <c r="C197">
        <v>2.9</v>
      </c>
      <c r="D197">
        <v>96.5</v>
      </c>
      <c r="E197">
        <v>7.3</v>
      </c>
      <c r="F197" t="s">
        <v>23</v>
      </c>
      <c r="G197" t="s">
        <v>15</v>
      </c>
      <c r="H197" t="s">
        <v>14</v>
      </c>
      <c r="I197" t="s">
        <v>15</v>
      </c>
      <c r="J197">
        <v>84.4</v>
      </c>
      <c r="K197">
        <v>79.8</v>
      </c>
      <c r="L197" t="s">
        <v>22</v>
      </c>
    </row>
    <row r="198" spans="1:12" x14ac:dyDescent="0.35">
      <c r="A198">
        <v>197</v>
      </c>
      <c r="B198" t="s">
        <v>17</v>
      </c>
      <c r="C198">
        <v>4.4000000000000004</v>
      </c>
      <c r="D198">
        <v>74.8</v>
      </c>
      <c r="E198">
        <v>6.7</v>
      </c>
      <c r="F198" t="s">
        <v>18</v>
      </c>
      <c r="G198" t="s">
        <v>14</v>
      </c>
      <c r="H198" t="s">
        <v>15</v>
      </c>
      <c r="I198" t="s">
        <v>15</v>
      </c>
      <c r="J198">
        <v>60.3</v>
      </c>
      <c r="K198">
        <v>73.400000000000006</v>
      </c>
      <c r="L198" t="s">
        <v>22</v>
      </c>
    </row>
    <row r="199" spans="1:12" x14ac:dyDescent="0.35">
      <c r="A199">
        <v>198</v>
      </c>
      <c r="B199" t="s">
        <v>17</v>
      </c>
      <c r="C199">
        <v>6.9</v>
      </c>
      <c r="D199">
        <v>85.6</v>
      </c>
      <c r="E199">
        <v>8.3000000000000007</v>
      </c>
      <c r="F199" t="s">
        <v>13</v>
      </c>
      <c r="G199" t="s">
        <v>14</v>
      </c>
      <c r="H199" t="s">
        <v>14</v>
      </c>
      <c r="I199" t="s">
        <v>15</v>
      </c>
      <c r="J199">
        <v>67.3</v>
      </c>
      <c r="K199">
        <v>92.2</v>
      </c>
      <c r="L199" t="s">
        <v>16</v>
      </c>
    </row>
    <row r="200" spans="1:12" x14ac:dyDescent="0.35">
      <c r="A200">
        <v>199</v>
      </c>
      <c r="B200" t="s">
        <v>12</v>
      </c>
      <c r="C200">
        <v>3.8</v>
      </c>
      <c r="D200">
        <v>89.3</v>
      </c>
      <c r="E200">
        <v>8.1</v>
      </c>
      <c r="F200" t="s">
        <v>23</v>
      </c>
      <c r="G200" t="s">
        <v>14</v>
      </c>
      <c r="H200" t="s">
        <v>14</v>
      </c>
      <c r="I200" t="s">
        <v>15</v>
      </c>
      <c r="J200">
        <v>57.5</v>
      </c>
      <c r="K200">
        <v>87.3</v>
      </c>
      <c r="L200" t="s">
        <v>20</v>
      </c>
    </row>
    <row r="201" spans="1:12" x14ac:dyDescent="0.35">
      <c r="A201">
        <v>200</v>
      </c>
      <c r="B201" t="s">
        <v>12</v>
      </c>
      <c r="C201">
        <v>3.9</v>
      </c>
      <c r="D201">
        <v>91.9</v>
      </c>
      <c r="E201">
        <v>6</v>
      </c>
      <c r="F201" t="s">
        <v>13</v>
      </c>
      <c r="G201" t="s">
        <v>15</v>
      </c>
      <c r="H201" t="s">
        <v>15</v>
      </c>
      <c r="I201" t="s">
        <v>15</v>
      </c>
      <c r="J201">
        <v>91.4</v>
      </c>
      <c r="K201">
        <v>92.5</v>
      </c>
      <c r="L201" t="s">
        <v>16</v>
      </c>
    </row>
    <row r="202" spans="1:12" x14ac:dyDescent="0.35">
      <c r="A202">
        <v>201</v>
      </c>
      <c r="B202" t="s">
        <v>12</v>
      </c>
      <c r="C202">
        <v>2.8</v>
      </c>
      <c r="D202">
        <v>86.8</v>
      </c>
      <c r="E202">
        <v>5.2</v>
      </c>
      <c r="F202" t="s">
        <v>18</v>
      </c>
      <c r="G202" t="s">
        <v>14</v>
      </c>
      <c r="H202" t="s">
        <v>15</v>
      </c>
      <c r="I202" t="s">
        <v>14</v>
      </c>
      <c r="J202">
        <v>90.2</v>
      </c>
      <c r="K202">
        <v>94.6</v>
      </c>
      <c r="L202" t="s">
        <v>16</v>
      </c>
    </row>
    <row r="203" spans="1:12" x14ac:dyDescent="0.35">
      <c r="A203">
        <v>202</v>
      </c>
      <c r="B203" t="s">
        <v>17</v>
      </c>
      <c r="C203">
        <v>2.2000000000000002</v>
      </c>
      <c r="D203">
        <v>81.3</v>
      </c>
      <c r="E203">
        <v>6.6</v>
      </c>
      <c r="F203" t="s">
        <v>23</v>
      </c>
      <c r="G203" t="s">
        <v>14</v>
      </c>
      <c r="H203" t="s">
        <v>14</v>
      </c>
      <c r="I203" t="s">
        <v>15</v>
      </c>
      <c r="J203">
        <v>59.4</v>
      </c>
      <c r="K203">
        <v>75.5</v>
      </c>
      <c r="L203" t="s">
        <v>22</v>
      </c>
    </row>
    <row r="204" spans="1:12" x14ac:dyDescent="0.35">
      <c r="A204">
        <v>203</v>
      </c>
      <c r="B204" t="s">
        <v>12</v>
      </c>
      <c r="C204">
        <v>4.7</v>
      </c>
      <c r="D204">
        <v>76.7</v>
      </c>
      <c r="E204">
        <v>5.8</v>
      </c>
      <c r="F204" t="s">
        <v>13</v>
      </c>
      <c r="G204" t="s">
        <v>14</v>
      </c>
      <c r="H204" t="s">
        <v>14</v>
      </c>
      <c r="I204" t="s">
        <v>15</v>
      </c>
      <c r="J204">
        <v>71.8</v>
      </c>
      <c r="K204">
        <v>85.3</v>
      </c>
      <c r="L204" t="s">
        <v>20</v>
      </c>
    </row>
    <row r="205" spans="1:12" x14ac:dyDescent="0.35">
      <c r="A205">
        <v>204</v>
      </c>
      <c r="B205" t="s">
        <v>12</v>
      </c>
      <c r="C205">
        <v>2.2000000000000002</v>
      </c>
      <c r="D205">
        <v>85.9</v>
      </c>
      <c r="E205">
        <v>6.7</v>
      </c>
      <c r="F205" t="s">
        <v>23</v>
      </c>
      <c r="G205" t="s">
        <v>14</v>
      </c>
      <c r="H205" t="s">
        <v>14</v>
      </c>
      <c r="I205" t="s">
        <v>15</v>
      </c>
      <c r="J205">
        <v>61.8</v>
      </c>
      <c r="K205">
        <v>76.7</v>
      </c>
      <c r="L205" t="s">
        <v>22</v>
      </c>
    </row>
    <row r="206" spans="1:12" x14ac:dyDescent="0.35">
      <c r="A206">
        <v>205</v>
      </c>
      <c r="B206" t="s">
        <v>17</v>
      </c>
      <c r="C206">
        <v>3.6</v>
      </c>
      <c r="D206">
        <v>74.3</v>
      </c>
      <c r="E206">
        <v>8.3000000000000007</v>
      </c>
      <c r="F206" t="s">
        <v>23</v>
      </c>
      <c r="G206" t="s">
        <v>14</v>
      </c>
      <c r="H206" t="s">
        <v>15</v>
      </c>
      <c r="I206" t="s">
        <v>15</v>
      </c>
      <c r="J206">
        <v>77.400000000000006</v>
      </c>
      <c r="K206">
        <v>86.8</v>
      </c>
      <c r="L206" t="s">
        <v>20</v>
      </c>
    </row>
    <row r="207" spans="1:12" x14ac:dyDescent="0.35">
      <c r="A207">
        <v>206</v>
      </c>
      <c r="B207" t="s">
        <v>12</v>
      </c>
      <c r="C207">
        <v>2.8</v>
      </c>
      <c r="D207">
        <v>55.8</v>
      </c>
      <c r="E207">
        <v>6.3</v>
      </c>
      <c r="F207" t="s">
        <v>13</v>
      </c>
      <c r="G207" t="s">
        <v>14</v>
      </c>
      <c r="H207" t="s">
        <v>14</v>
      </c>
      <c r="I207" t="s">
        <v>14</v>
      </c>
      <c r="J207">
        <v>76.099999999999994</v>
      </c>
      <c r="K207">
        <v>61.1</v>
      </c>
      <c r="L207" t="s">
        <v>21</v>
      </c>
    </row>
    <row r="208" spans="1:12" x14ac:dyDescent="0.35">
      <c r="A208">
        <v>207</v>
      </c>
      <c r="B208" t="s">
        <v>17</v>
      </c>
      <c r="C208">
        <v>4.2</v>
      </c>
      <c r="D208">
        <v>89.4</v>
      </c>
      <c r="E208">
        <v>6.7</v>
      </c>
      <c r="F208" t="s">
        <v>13</v>
      </c>
      <c r="G208" t="s">
        <v>14</v>
      </c>
      <c r="H208" t="s">
        <v>14</v>
      </c>
      <c r="I208" t="s">
        <v>14</v>
      </c>
      <c r="J208">
        <v>79.7</v>
      </c>
      <c r="K208">
        <v>100</v>
      </c>
      <c r="L208" t="s">
        <v>16</v>
      </c>
    </row>
    <row r="209" spans="1:12" x14ac:dyDescent="0.35">
      <c r="A209">
        <v>208</v>
      </c>
      <c r="B209" t="s">
        <v>17</v>
      </c>
      <c r="C209">
        <v>4</v>
      </c>
      <c r="D209">
        <v>94</v>
      </c>
      <c r="E209">
        <v>6.9</v>
      </c>
      <c r="F209" t="s">
        <v>18</v>
      </c>
      <c r="G209" t="s">
        <v>15</v>
      </c>
      <c r="H209" t="s">
        <v>14</v>
      </c>
      <c r="I209" t="s">
        <v>15</v>
      </c>
      <c r="J209">
        <v>74</v>
      </c>
      <c r="K209">
        <v>90.9</v>
      </c>
      <c r="L209" t="s">
        <v>16</v>
      </c>
    </row>
    <row r="210" spans="1:12" x14ac:dyDescent="0.35">
      <c r="A210">
        <v>209</v>
      </c>
      <c r="B210" t="s">
        <v>17</v>
      </c>
      <c r="C210">
        <v>5.0999999999999996</v>
      </c>
      <c r="D210">
        <v>61.4</v>
      </c>
      <c r="E210">
        <v>7.8</v>
      </c>
      <c r="F210" t="s">
        <v>18</v>
      </c>
      <c r="G210" t="s">
        <v>14</v>
      </c>
      <c r="H210" t="s">
        <v>14</v>
      </c>
      <c r="I210" t="s">
        <v>14</v>
      </c>
      <c r="J210">
        <v>100</v>
      </c>
      <c r="K210">
        <v>96.1</v>
      </c>
      <c r="L210" t="s">
        <v>16</v>
      </c>
    </row>
    <row r="211" spans="1:12" x14ac:dyDescent="0.35">
      <c r="A211">
        <v>210</v>
      </c>
      <c r="B211" t="s">
        <v>12</v>
      </c>
      <c r="C211">
        <v>2.7</v>
      </c>
      <c r="D211">
        <v>74.900000000000006</v>
      </c>
      <c r="E211">
        <v>4.0999999999999996</v>
      </c>
      <c r="F211" t="s">
        <v>13</v>
      </c>
      <c r="G211" t="s">
        <v>14</v>
      </c>
      <c r="H211" t="s">
        <v>15</v>
      </c>
      <c r="I211" t="s">
        <v>15</v>
      </c>
      <c r="J211">
        <v>57.7</v>
      </c>
      <c r="K211">
        <v>73.099999999999994</v>
      </c>
      <c r="L211" t="s">
        <v>22</v>
      </c>
    </row>
    <row r="212" spans="1:12" x14ac:dyDescent="0.35">
      <c r="A212">
        <v>211</v>
      </c>
      <c r="B212" t="s">
        <v>12</v>
      </c>
      <c r="C212">
        <v>3.1</v>
      </c>
      <c r="D212">
        <v>91.2</v>
      </c>
      <c r="E212">
        <v>6.1</v>
      </c>
      <c r="F212" t="s">
        <v>13</v>
      </c>
      <c r="G212" t="s">
        <v>14</v>
      </c>
      <c r="H212" t="s">
        <v>14</v>
      </c>
      <c r="I212" t="s">
        <v>15</v>
      </c>
      <c r="J212">
        <v>49.5</v>
      </c>
      <c r="K212">
        <v>81.2</v>
      </c>
      <c r="L212" t="s">
        <v>20</v>
      </c>
    </row>
    <row r="213" spans="1:12" x14ac:dyDescent="0.35">
      <c r="A213">
        <v>212</v>
      </c>
      <c r="B213" t="s">
        <v>12</v>
      </c>
      <c r="C213">
        <v>2</v>
      </c>
      <c r="D213">
        <v>100</v>
      </c>
      <c r="E213">
        <v>7.1</v>
      </c>
      <c r="F213" t="s">
        <v>13</v>
      </c>
      <c r="G213" t="s">
        <v>14</v>
      </c>
      <c r="H213" t="s">
        <v>14</v>
      </c>
      <c r="I213" t="s">
        <v>15</v>
      </c>
      <c r="J213">
        <v>65.3</v>
      </c>
      <c r="K213">
        <v>81.8</v>
      </c>
      <c r="L213" t="s">
        <v>20</v>
      </c>
    </row>
    <row r="214" spans="1:12" x14ac:dyDescent="0.35">
      <c r="A214">
        <v>213</v>
      </c>
      <c r="B214" t="s">
        <v>12</v>
      </c>
      <c r="C214">
        <v>2.8</v>
      </c>
      <c r="D214">
        <v>85.2</v>
      </c>
      <c r="E214">
        <v>8.1999999999999993</v>
      </c>
      <c r="F214" t="s">
        <v>18</v>
      </c>
      <c r="G214" t="s">
        <v>14</v>
      </c>
      <c r="H214" t="s">
        <v>14</v>
      </c>
      <c r="I214" t="s">
        <v>14</v>
      </c>
      <c r="J214">
        <v>51.2</v>
      </c>
      <c r="K214">
        <v>70</v>
      </c>
      <c r="L214" t="s">
        <v>22</v>
      </c>
    </row>
    <row r="215" spans="1:12" x14ac:dyDescent="0.35">
      <c r="A215">
        <v>214</v>
      </c>
      <c r="B215" t="s">
        <v>12</v>
      </c>
      <c r="C215">
        <v>4.0999999999999996</v>
      </c>
      <c r="D215">
        <v>77.7</v>
      </c>
      <c r="E215">
        <v>6.2</v>
      </c>
      <c r="F215" t="s">
        <v>18</v>
      </c>
      <c r="G215" t="s">
        <v>14</v>
      </c>
      <c r="H215" t="s">
        <v>14</v>
      </c>
      <c r="I215" t="s">
        <v>14</v>
      </c>
      <c r="J215">
        <v>52.1</v>
      </c>
      <c r="K215">
        <v>78.5</v>
      </c>
      <c r="L215" t="s">
        <v>22</v>
      </c>
    </row>
    <row r="216" spans="1:12" x14ac:dyDescent="0.35">
      <c r="A216">
        <v>215</v>
      </c>
      <c r="B216" t="s">
        <v>12</v>
      </c>
      <c r="C216">
        <v>4.5999999999999996</v>
      </c>
      <c r="D216">
        <v>83.2</v>
      </c>
      <c r="E216">
        <v>4.5</v>
      </c>
      <c r="F216" t="s">
        <v>13</v>
      </c>
      <c r="G216" t="s">
        <v>14</v>
      </c>
      <c r="H216" t="s">
        <v>14</v>
      </c>
      <c r="I216" t="s">
        <v>15</v>
      </c>
      <c r="J216">
        <v>58</v>
      </c>
      <c r="K216">
        <v>84.7</v>
      </c>
      <c r="L216" t="s">
        <v>20</v>
      </c>
    </row>
    <row r="217" spans="1:12" x14ac:dyDescent="0.35">
      <c r="A217">
        <v>216</v>
      </c>
      <c r="B217" t="s">
        <v>12</v>
      </c>
      <c r="C217">
        <v>2.1</v>
      </c>
      <c r="D217">
        <v>98.7</v>
      </c>
      <c r="E217">
        <v>7.5</v>
      </c>
      <c r="F217" t="s">
        <v>18</v>
      </c>
      <c r="G217" t="s">
        <v>14</v>
      </c>
      <c r="H217" t="s">
        <v>15</v>
      </c>
      <c r="I217" t="s">
        <v>15</v>
      </c>
      <c r="J217">
        <v>58.9</v>
      </c>
      <c r="K217">
        <v>74.7</v>
      </c>
      <c r="L217" t="s">
        <v>22</v>
      </c>
    </row>
    <row r="218" spans="1:12" x14ac:dyDescent="0.35">
      <c r="A218">
        <v>217</v>
      </c>
      <c r="B218" t="s">
        <v>17</v>
      </c>
      <c r="C218">
        <v>4.8</v>
      </c>
      <c r="D218">
        <v>78.5</v>
      </c>
      <c r="E218">
        <v>6</v>
      </c>
      <c r="F218" t="s">
        <v>23</v>
      </c>
      <c r="G218" t="s">
        <v>14</v>
      </c>
      <c r="H218" t="s">
        <v>15</v>
      </c>
      <c r="I218" t="s">
        <v>15</v>
      </c>
      <c r="J218">
        <v>58.5</v>
      </c>
      <c r="K218">
        <v>91.2</v>
      </c>
      <c r="L218" t="s">
        <v>16</v>
      </c>
    </row>
    <row r="219" spans="1:12" x14ac:dyDescent="0.35">
      <c r="A219">
        <v>218</v>
      </c>
      <c r="B219" t="s">
        <v>12</v>
      </c>
      <c r="C219">
        <v>5.5</v>
      </c>
      <c r="D219">
        <v>77</v>
      </c>
      <c r="E219">
        <v>5.4</v>
      </c>
      <c r="F219" t="s">
        <v>18</v>
      </c>
      <c r="G219" t="s">
        <v>14</v>
      </c>
      <c r="H219" t="s">
        <v>15</v>
      </c>
      <c r="I219" t="s">
        <v>15</v>
      </c>
      <c r="J219">
        <v>76.2</v>
      </c>
      <c r="K219">
        <v>93.4</v>
      </c>
      <c r="L219" t="s">
        <v>16</v>
      </c>
    </row>
    <row r="220" spans="1:12" x14ac:dyDescent="0.35">
      <c r="A220">
        <v>219</v>
      </c>
      <c r="B220" t="s">
        <v>17</v>
      </c>
      <c r="C220">
        <v>4.0999999999999996</v>
      </c>
      <c r="D220">
        <v>80.2</v>
      </c>
      <c r="E220">
        <v>6.1</v>
      </c>
      <c r="F220" t="s">
        <v>13</v>
      </c>
      <c r="G220" t="s">
        <v>14</v>
      </c>
      <c r="H220" t="s">
        <v>15</v>
      </c>
      <c r="I220" t="s">
        <v>15</v>
      </c>
      <c r="J220">
        <v>63.9</v>
      </c>
      <c r="K220">
        <v>86.8</v>
      </c>
      <c r="L220" t="s">
        <v>20</v>
      </c>
    </row>
    <row r="221" spans="1:12" x14ac:dyDescent="0.35">
      <c r="A221">
        <v>220</v>
      </c>
      <c r="B221" t="s">
        <v>12</v>
      </c>
      <c r="C221">
        <v>6.3</v>
      </c>
      <c r="D221">
        <v>75.5</v>
      </c>
      <c r="E221">
        <v>6.6</v>
      </c>
      <c r="F221" t="s">
        <v>19</v>
      </c>
      <c r="G221" t="s">
        <v>14</v>
      </c>
      <c r="H221" t="s">
        <v>15</v>
      </c>
      <c r="I221" t="s">
        <v>15</v>
      </c>
      <c r="J221">
        <v>67.8</v>
      </c>
      <c r="K221">
        <v>100</v>
      </c>
      <c r="L221" t="s">
        <v>16</v>
      </c>
    </row>
    <row r="222" spans="1:12" x14ac:dyDescent="0.35">
      <c r="A222">
        <v>221</v>
      </c>
      <c r="B222" t="s">
        <v>12</v>
      </c>
      <c r="C222">
        <v>2.2999999999999998</v>
      </c>
      <c r="D222">
        <v>86.2</v>
      </c>
      <c r="E222">
        <v>6.1</v>
      </c>
      <c r="F222" t="s">
        <v>18</v>
      </c>
      <c r="G222" t="s">
        <v>14</v>
      </c>
      <c r="H222" t="s">
        <v>14</v>
      </c>
      <c r="I222" t="s">
        <v>15</v>
      </c>
      <c r="J222">
        <v>80.7</v>
      </c>
      <c r="K222">
        <v>84.3</v>
      </c>
      <c r="L222" t="s">
        <v>20</v>
      </c>
    </row>
    <row r="223" spans="1:12" x14ac:dyDescent="0.35">
      <c r="A223">
        <v>222</v>
      </c>
      <c r="B223" t="s">
        <v>12</v>
      </c>
      <c r="C223">
        <v>1.6</v>
      </c>
      <c r="D223">
        <v>100</v>
      </c>
      <c r="E223">
        <v>4.2</v>
      </c>
      <c r="F223" t="s">
        <v>13</v>
      </c>
      <c r="G223" t="s">
        <v>15</v>
      </c>
      <c r="H223" t="s">
        <v>15</v>
      </c>
      <c r="I223" t="s">
        <v>15</v>
      </c>
      <c r="J223">
        <v>60.8</v>
      </c>
      <c r="K223">
        <v>71.5</v>
      </c>
      <c r="L223" t="s">
        <v>22</v>
      </c>
    </row>
    <row r="224" spans="1:12" x14ac:dyDescent="0.35">
      <c r="A224">
        <v>223</v>
      </c>
      <c r="B224" t="s">
        <v>17</v>
      </c>
      <c r="C224">
        <v>0.8</v>
      </c>
      <c r="D224">
        <v>88.2</v>
      </c>
      <c r="E224">
        <v>7.9</v>
      </c>
      <c r="F224" t="s">
        <v>18</v>
      </c>
      <c r="G224" t="s">
        <v>15</v>
      </c>
      <c r="H224" t="s">
        <v>15</v>
      </c>
      <c r="I224" t="s">
        <v>14</v>
      </c>
      <c r="J224">
        <v>66.8</v>
      </c>
      <c r="K224">
        <v>70.5</v>
      </c>
      <c r="L224" t="s">
        <v>22</v>
      </c>
    </row>
    <row r="225" spans="1:12" x14ac:dyDescent="0.35">
      <c r="A225">
        <v>224</v>
      </c>
      <c r="B225" t="s">
        <v>17</v>
      </c>
      <c r="C225">
        <v>5.7</v>
      </c>
      <c r="D225">
        <v>82.5</v>
      </c>
      <c r="E225">
        <v>8.3000000000000007</v>
      </c>
      <c r="F225" t="s">
        <v>13</v>
      </c>
      <c r="G225" t="s">
        <v>14</v>
      </c>
      <c r="H225" t="s">
        <v>15</v>
      </c>
      <c r="I225" t="s">
        <v>14</v>
      </c>
      <c r="J225">
        <v>74.400000000000006</v>
      </c>
      <c r="K225">
        <v>89.9</v>
      </c>
      <c r="L225" t="s">
        <v>20</v>
      </c>
    </row>
    <row r="226" spans="1:12" x14ac:dyDescent="0.35">
      <c r="A226">
        <v>225</v>
      </c>
      <c r="B226" t="s">
        <v>17</v>
      </c>
      <c r="C226">
        <v>4.5</v>
      </c>
      <c r="D226">
        <v>82.1</v>
      </c>
      <c r="E226">
        <v>7.6</v>
      </c>
      <c r="F226" t="s">
        <v>13</v>
      </c>
      <c r="G226" t="s">
        <v>14</v>
      </c>
      <c r="H226" t="s">
        <v>14</v>
      </c>
      <c r="I226" t="s">
        <v>15</v>
      </c>
      <c r="J226">
        <v>46.7</v>
      </c>
      <c r="K226">
        <v>81.099999999999994</v>
      </c>
      <c r="L226" t="s">
        <v>20</v>
      </c>
    </row>
    <row r="227" spans="1:12" x14ac:dyDescent="0.35">
      <c r="A227">
        <v>226</v>
      </c>
      <c r="B227" t="s">
        <v>17</v>
      </c>
      <c r="C227">
        <v>3.4</v>
      </c>
      <c r="D227">
        <v>69.400000000000006</v>
      </c>
      <c r="E227">
        <v>5.4</v>
      </c>
      <c r="F227" t="s">
        <v>13</v>
      </c>
      <c r="G227" t="s">
        <v>14</v>
      </c>
      <c r="H227" t="s">
        <v>14</v>
      </c>
      <c r="I227" t="s">
        <v>15</v>
      </c>
      <c r="J227">
        <v>41.4</v>
      </c>
      <c r="K227">
        <v>67.400000000000006</v>
      </c>
      <c r="L227" t="s">
        <v>21</v>
      </c>
    </row>
    <row r="228" spans="1:12" x14ac:dyDescent="0.35">
      <c r="A228">
        <v>227</v>
      </c>
      <c r="B228" t="s">
        <v>12</v>
      </c>
      <c r="C228">
        <v>3.9</v>
      </c>
      <c r="D228">
        <v>93.8</v>
      </c>
      <c r="E228">
        <v>6.6</v>
      </c>
      <c r="F228" t="s">
        <v>13</v>
      </c>
      <c r="G228" t="s">
        <v>14</v>
      </c>
      <c r="H228" t="s">
        <v>15</v>
      </c>
      <c r="I228" t="s">
        <v>14</v>
      </c>
      <c r="J228">
        <v>74.2</v>
      </c>
      <c r="K228">
        <v>82.2</v>
      </c>
      <c r="L228" t="s">
        <v>20</v>
      </c>
    </row>
    <row r="229" spans="1:12" x14ac:dyDescent="0.35">
      <c r="A229">
        <v>228</v>
      </c>
      <c r="B229" t="s">
        <v>17</v>
      </c>
      <c r="C229">
        <v>1.8</v>
      </c>
      <c r="D229">
        <v>84.2</v>
      </c>
      <c r="E229">
        <v>6.8</v>
      </c>
      <c r="F229" t="s">
        <v>24</v>
      </c>
      <c r="G229" t="s">
        <v>14</v>
      </c>
      <c r="H229" t="s">
        <v>15</v>
      </c>
      <c r="I229" t="s">
        <v>14</v>
      </c>
      <c r="J229">
        <v>75.900000000000006</v>
      </c>
      <c r="K229">
        <v>90</v>
      </c>
      <c r="L229" t="s">
        <v>16</v>
      </c>
    </row>
    <row r="230" spans="1:12" x14ac:dyDescent="0.35">
      <c r="A230">
        <v>229</v>
      </c>
      <c r="B230" t="s">
        <v>12</v>
      </c>
      <c r="C230">
        <v>7.2</v>
      </c>
      <c r="D230">
        <v>83.2</v>
      </c>
      <c r="E230">
        <v>7.5</v>
      </c>
      <c r="F230" t="s">
        <v>18</v>
      </c>
      <c r="G230" t="s">
        <v>14</v>
      </c>
      <c r="H230" t="s">
        <v>15</v>
      </c>
      <c r="I230" t="s">
        <v>15</v>
      </c>
      <c r="J230">
        <v>94.8</v>
      </c>
      <c r="K230">
        <v>100</v>
      </c>
      <c r="L230" t="s">
        <v>16</v>
      </c>
    </row>
    <row r="231" spans="1:12" x14ac:dyDescent="0.35">
      <c r="A231">
        <v>230</v>
      </c>
      <c r="B231" t="s">
        <v>12</v>
      </c>
      <c r="C231">
        <v>3.7</v>
      </c>
      <c r="D231">
        <v>100</v>
      </c>
      <c r="E231">
        <v>7.6</v>
      </c>
      <c r="F231" t="s">
        <v>18</v>
      </c>
      <c r="G231" t="s">
        <v>14</v>
      </c>
      <c r="H231" t="s">
        <v>14</v>
      </c>
      <c r="I231" t="s">
        <v>14</v>
      </c>
      <c r="J231">
        <v>71.900000000000006</v>
      </c>
      <c r="K231">
        <v>82.7</v>
      </c>
      <c r="L231" t="s">
        <v>20</v>
      </c>
    </row>
    <row r="232" spans="1:12" x14ac:dyDescent="0.35">
      <c r="A232">
        <v>231</v>
      </c>
      <c r="B232" t="s">
        <v>17</v>
      </c>
      <c r="C232">
        <v>3.7</v>
      </c>
      <c r="D232">
        <v>88</v>
      </c>
      <c r="E232">
        <v>5.9</v>
      </c>
      <c r="F232" t="s">
        <v>24</v>
      </c>
      <c r="G232" t="s">
        <v>14</v>
      </c>
      <c r="H232" t="s">
        <v>14</v>
      </c>
      <c r="I232" t="s">
        <v>15</v>
      </c>
      <c r="J232">
        <v>79.8</v>
      </c>
      <c r="K232">
        <v>98.3</v>
      </c>
      <c r="L232" t="s">
        <v>16</v>
      </c>
    </row>
    <row r="233" spans="1:12" x14ac:dyDescent="0.35">
      <c r="A233">
        <v>232</v>
      </c>
      <c r="B233" t="s">
        <v>17</v>
      </c>
      <c r="C233">
        <v>4.5999999999999996</v>
      </c>
      <c r="D233">
        <v>77.5</v>
      </c>
      <c r="E233">
        <v>6.9</v>
      </c>
      <c r="F233" t="s">
        <v>13</v>
      </c>
      <c r="G233" t="s">
        <v>14</v>
      </c>
      <c r="H233" t="s">
        <v>14</v>
      </c>
      <c r="I233" t="s">
        <v>15</v>
      </c>
      <c r="J233">
        <v>67.7</v>
      </c>
      <c r="K233">
        <v>91.5</v>
      </c>
      <c r="L233" t="s">
        <v>16</v>
      </c>
    </row>
    <row r="234" spans="1:12" x14ac:dyDescent="0.35">
      <c r="A234">
        <v>233</v>
      </c>
      <c r="B234" t="s">
        <v>17</v>
      </c>
      <c r="C234">
        <v>4.2</v>
      </c>
      <c r="D234">
        <v>80.7</v>
      </c>
      <c r="E234">
        <v>7.3</v>
      </c>
      <c r="F234" t="s">
        <v>24</v>
      </c>
      <c r="G234" t="s">
        <v>14</v>
      </c>
      <c r="H234" t="s">
        <v>15</v>
      </c>
      <c r="I234" t="s">
        <v>15</v>
      </c>
      <c r="J234">
        <v>73.599999999999994</v>
      </c>
      <c r="K234">
        <v>82.2</v>
      </c>
      <c r="L234" t="s">
        <v>20</v>
      </c>
    </row>
    <row r="235" spans="1:12" x14ac:dyDescent="0.35">
      <c r="A235">
        <v>234</v>
      </c>
      <c r="B235" t="s">
        <v>17</v>
      </c>
      <c r="C235">
        <v>3.8</v>
      </c>
      <c r="D235">
        <v>96.5</v>
      </c>
      <c r="E235">
        <v>8.5</v>
      </c>
      <c r="F235" t="s">
        <v>13</v>
      </c>
      <c r="G235" t="s">
        <v>14</v>
      </c>
      <c r="H235" t="s">
        <v>14</v>
      </c>
      <c r="I235" t="s">
        <v>15</v>
      </c>
      <c r="J235">
        <v>90</v>
      </c>
      <c r="K235">
        <v>100</v>
      </c>
      <c r="L235" t="s">
        <v>16</v>
      </c>
    </row>
    <row r="236" spans="1:12" x14ac:dyDescent="0.35">
      <c r="A236">
        <v>235</v>
      </c>
      <c r="B236" t="s">
        <v>17</v>
      </c>
      <c r="C236">
        <v>2.2999999999999998</v>
      </c>
      <c r="D236">
        <v>86.1</v>
      </c>
      <c r="E236">
        <v>7.6</v>
      </c>
      <c r="F236" t="s">
        <v>23</v>
      </c>
      <c r="G236" t="s">
        <v>14</v>
      </c>
      <c r="H236" t="s">
        <v>14</v>
      </c>
      <c r="I236" t="s">
        <v>15</v>
      </c>
      <c r="J236">
        <v>44.5</v>
      </c>
      <c r="K236">
        <v>80.2</v>
      </c>
      <c r="L236" t="s">
        <v>20</v>
      </c>
    </row>
    <row r="237" spans="1:12" x14ac:dyDescent="0.35">
      <c r="A237">
        <v>236</v>
      </c>
      <c r="B237" t="s">
        <v>17</v>
      </c>
      <c r="C237">
        <v>4.2</v>
      </c>
      <c r="D237">
        <v>70.599999999999994</v>
      </c>
      <c r="E237">
        <v>7.7</v>
      </c>
      <c r="F237" t="s">
        <v>13</v>
      </c>
      <c r="G237" t="s">
        <v>14</v>
      </c>
      <c r="H237" t="s">
        <v>15</v>
      </c>
      <c r="I237" t="s">
        <v>15</v>
      </c>
      <c r="J237">
        <v>75</v>
      </c>
      <c r="K237">
        <v>85.7</v>
      </c>
      <c r="L237" t="s">
        <v>20</v>
      </c>
    </row>
    <row r="238" spans="1:12" x14ac:dyDescent="0.35">
      <c r="A238">
        <v>237</v>
      </c>
      <c r="B238" t="s">
        <v>17</v>
      </c>
      <c r="C238">
        <v>6.3</v>
      </c>
      <c r="D238">
        <v>94.2</v>
      </c>
      <c r="E238">
        <v>6.9</v>
      </c>
      <c r="F238" t="s">
        <v>23</v>
      </c>
      <c r="G238" t="s">
        <v>14</v>
      </c>
      <c r="H238" t="s">
        <v>14</v>
      </c>
      <c r="I238" t="s">
        <v>15</v>
      </c>
      <c r="J238">
        <v>95.6</v>
      </c>
      <c r="K238">
        <v>100</v>
      </c>
      <c r="L238" t="s">
        <v>16</v>
      </c>
    </row>
    <row r="239" spans="1:12" x14ac:dyDescent="0.35">
      <c r="A239">
        <v>238</v>
      </c>
      <c r="B239" t="s">
        <v>17</v>
      </c>
      <c r="C239">
        <v>5.5</v>
      </c>
      <c r="D239">
        <v>78.3</v>
      </c>
      <c r="E239">
        <v>8.5</v>
      </c>
      <c r="F239" t="s">
        <v>19</v>
      </c>
      <c r="G239" t="s">
        <v>14</v>
      </c>
      <c r="H239" t="s">
        <v>15</v>
      </c>
      <c r="I239" t="s">
        <v>15</v>
      </c>
      <c r="J239">
        <v>73.400000000000006</v>
      </c>
      <c r="K239">
        <v>84.4</v>
      </c>
      <c r="L239" t="s">
        <v>20</v>
      </c>
    </row>
    <row r="240" spans="1:12" x14ac:dyDescent="0.35">
      <c r="A240">
        <v>239</v>
      </c>
      <c r="B240" t="s">
        <v>12</v>
      </c>
      <c r="C240">
        <v>5.9</v>
      </c>
      <c r="D240">
        <v>100</v>
      </c>
      <c r="E240">
        <v>7.3</v>
      </c>
      <c r="F240" t="s">
        <v>13</v>
      </c>
      <c r="G240" t="s">
        <v>14</v>
      </c>
      <c r="H240" t="s">
        <v>14</v>
      </c>
      <c r="I240" t="s">
        <v>15</v>
      </c>
      <c r="J240">
        <v>89.8</v>
      </c>
      <c r="K240">
        <v>100</v>
      </c>
      <c r="L240" t="s">
        <v>16</v>
      </c>
    </row>
    <row r="241" spans="1:12" x14ac:dyDescent="0.35">
      <c r="A241">
        <v>240</v>
      </c>
      <c r="B241" t="s">
        <v>17</v>
      </c>
      <c r="C241">
        <v>2.7</v>
      </c>
      <c r="D241">
        <v>95.8</v>
      </c>
      <c r="E241">
        <v>5.8</v>
      </c>
      <c r="F241" t="s">
        <v>18</v>
      </c>
      <c r="G241" t="s">
        <v>14</v>
      </c>
      <c r="H241" t="s">
        <v>15</v>
      </c>
      <c r="I241" t="s">
        <v>14</v>
      </c>
      <c r="J241">
        <v>62.4</v>
      </c>
      <c r="K241">
        <v>84.6</v>
      </c>
      <c r="L241" t="s">
        <v>20</v>
      </c>
    </row>
    <row r="242" spans="1:12" x14ac:dyDescent="0.35">
      <c r="A242">
        <v>241</v>
      </c>
      <c r="B242" t="s">
        <v>17</v>
      </c>
      <c r="C242">
        <v>2</v>
      </c>
      <c r="D242">
        <v>80.5</v>
      </c>
      <c r="E242">
        <v>8.5</v>
      </c>
      <c r="F242" t="s">
        <v>18</v>
      </c>
      <c r="G242" t="s">
        <v>14</v>
      </c>
      <c r="H242" t="s">
        <v>15</v>
      </c>
      <c r="I242" t="s">
        <v>14</v>
      </c>
      <c r="J242">
        <v>69.599999999999994</v>
      </c>
      <c r="K242">
        <v>80.599999999999994</v>
      </c>
      <c r="L242" t="s">
        <v>20</v>
      </c>
    </row>
    <row r="243" spans="1:12" x14ac:dyDescent="0.35">
      <c r="A243">
        <v>242</v>
      </c>
      <c r="B243" t="s">
        <v>12</v>
      </c>
      <c r="C243">
        <v>3.3</v>
      </c>
      <c r="D243">
        <v>97.8</v>
      </c>
      <c r="E243">
        <v>7.6</v>
      </c>
      <c r="F243" t="s">
        <v>18</v>
      </c>
      <c r="G243" t="s">
        <v>14</v>
      </c>
      <c r="H243" t="s">
        <v>15</v>
      </c>
      <c r="I243" t="s">
        <v>14</v>
      </c>
      <c r="J243">
        <v>70.400000000000006</v>
      </c>
      <c r="K243">
        <v>85.1</v>
      </c>
      <c r="L243" t="s">
        <v>20</v>
      </c>
    </row>
    <row r="244" spans="1:12" x14ac:dyDescent="0.35">
      <c r="A244">
        <v>243</v>
      </c>
      <c r="B244" t="s">
        <v>17</v>
      </c>
      <c r="C244">
        <v>3.6</v>
      </c>
      <c r="D244">
        <v>85.7</v>
      </c>
      <c r="E244">
        <v>6.3</v>
      </c>
      <c r="F244" t="s">
        <v>18</v>
      </c>
      <c r="G244" t="s">
        <v>14</v>
      </c>
      <c r="H244" t="s">
        <v>15</v>
      </c>
      <c r="I244" t="s">
        <v>14</v>
      </c>
      <c r="J244">
        <v>43.4</v>
      </c>
      <c r="K244">
        <v>69.400000000000006</v>
      </c>
      <c r="L244" t="s">
        <v>21</v>
      </c>
    </row>
    <row r="245" spans="1:12" x14ac:dyDescent="0.35">
      <c r="A245">
        <v>244</v>
      </c>
      <c r="B245" t="s">
        <v>12</v>
      </c>
      <c r="C245">
        <v>5.0999999999999996</v>
      </c>
      <c r="D245">
        <v>93.5</v>
      </c>
      <c r="E245">
        <v>6.2</v>
      </c>
      <c r="F245" t="s">
        <v>18</v>
      </c>
      <c r="G245" t="s">
        <v>14</v>
      </c>
      <c r="H245" t="s">
        <v>14</v>
      </c>
      <c r="I245" t="s">
        <v>15</v>
      </c>
      <c r="J245">
        <v>56</v>
      </c>
      <c r="K245">
        <v>92.2</v>
      </c>
      <c r="L245" t="s">
        <v>16</v>
      </c>
    </row>
    <row r="246" spans="1:12" x14ac:dyDescent="0.35">
      <c r="A246">
        <v>245</v>
      </c>
      <c r="B246" t="s">
        <v>12</v>
      </c>
      <c r="C246">
        <v>1</v>
      </c>
      <c r="D246">
        <v>89.8</v>
      </c>
      <c r="E246">
        <v>7.2</v>
      </c>
      <c r="F246" t="s">
        <v>13</v>
      </c>
      <c r="G246" t="s">
        <v>14</v>
      </c>
      <c r="H246" t="s">
        <v>14</v>
      </c>
      <c r="I246" t="s">
        <v>15</v>
      </c>
      <c r="J246">
        <v>56.8</v>
      </c>
      <c r="K246">
        <v>76.2</v>
      </c>
      <c r="L246" t="s">
        <v>22</v>
      </c>
    </row>
    <row r="247" spans="1:12" x14ac:dyDescent="0.35">
      <c r="A247">
        <v>246</v>
      </c>
      <c r="B247" t="s">
        <v>17</v>
      </c>
      <c r="C247">
        <v>5.8</v>
      </c>
      <c r="D247">
        <v>76.5</v>
      </c>
      <c r="E247">
        <v>7.4</v>
      </c>
      <c r="F247" t="s">
        <v>13</v>
      </c>
      <c r="G247" t="s">
        <v>14</v>
      </c>
      <c r="H247" t="s">
        <v>14</v>
      </c>
      <c r="I247" t="s">
        <v>15</v>
      </c>
      <c r="J247">
        <v>79.900000000000006</v>
      </c>
      <c r="K247">
        <v>100</v>
      </c>
      <c r="L247" t="s">
        <v>16</v>
      </c>
    </row>
    <row r="248" spans="1:12" x14ac:dyDescent="0.35">
      <c r="A248">
        <v>247</v>
      </c>
      <c r="B248" t="s">
        <v>12</v>
      </c>
      <c r="C248">
        <v>3.3</v>
      </c>
      <c r="D248">
        <v>78.599999999999994</v>
      </c>
      <c r="E248">
        <v>7</v>
      </c>
      <c r="F248" t="s">
        <v>13</v>
      </c>
      <c r="G248" t="s">
        <v>14</v>
      </c>
      <c r="H248" t="s">
        <v>15</v>
      </c>
      <c r="I248" t="s">
        <v>15</v>
      </c>
      <c r="J248">
        <v>80.5</v>
      </c>
      <c r="K248">
        <v>92.2</v>
      </c>
      <c r="L248" t="s">
        <v>16</v>
      </c>
    </row>
    <row r="249" spans="1:12" x14ac:dyDescent="0.35">
      <c r="A249">
        <v>248</v>
      </c>
      <c r="B249" t="s">
        <v>12</v>
      </c>
      <c r="C249">
        <v>2.9</v>
      </c>
      <c r="D249">
        <v>95.3</v>
      </c>
      <c r="E249">
        <v>7.2</v>
      </c>
      <c r="F249" t="s">
        <v>13</v>
      </c>
      <c r="G249" t="s">
        <v>15</v>
      </c>
      <c r="H249" t="s">
        <v>15</v>
      </c>
      <c r="I249" t="s">
        <v>15</v>
      </c>
      <c r="J249">
        <v>73.900000000000006</v>
      </c>
      <c r="K249">
        <v>76.5</v>
      </c>
      <c r="L249" t="s">
        <v>22</v>
      </c>
    </row>
    <row r="250" spans="1:12" x14ac:dyDescent="0.35">
      <c r="A250">
        <v>249</v>
      </c>
      <c r="B250" t="s">
        <v>12</v>
      </c>
      <c r="C250">
        <v>2</v>
      </c>
      <c r="D250">
        <v>81.7</v>
      </c>
      <c r="E250">
        <v>8.8000000000000007</v>
      </c>
      <c r="F250" t="s">
        <v>18</v>
      </c>
      <c r="G250" t="s">
        <v>14</v>
      </c>
      <c r="H250" t="s">
        <v>14</v>
      </c>
      <c r="I250" t="s">
        <v>15</v>
      </c>
      <c r="J250">
        <v>79.900000000000006</v>
      </c>
      <c r="K250">
        <v>82.7</v>
      </c>
      <c r="L250" t="s">
        <v>20</v>
      </c>
    </row>
    <row r="251" spans="1:12" x14ac:dyDescent="0.35">
      <c r="A251">
        <v>250</v>
      </c>
      <c r="B251" t="s">
        <v>12</v>
      </c>
      <c r="C251">
        <v>1</v>
      </c>
      <c r="D251">
        <v>81</v>
      </c>
      <c r="E251">
        <v>8.1</v>
      </c>
      <c r="F251" t="s">
        <v>18</v>
      </c>
      <c r="G251" t="s">
        <v>14</v>
      </c>
      <c r="H251" t="s">
        <v>15</v>
      </c>
      <c r="I251" t="s">
        <v>15</v>
      </c>
      <c r="J251">
        <v>68</v>
      </c>
      <c r="K251">
        <v>67.099999999999994</v>
      </c>
      <c r="L251" t="s">
        <v>21</v>
      </c>
    </row>
    <row r="252" spans="1:12" x14ac:dyDescent="0.35">
      <c r="A252">
        <v>251</v>
      </c>
      <c r="B252" t="s">
        <v>17</v>
      </c>
      <c r="C252">
        <v>4.7</v>
      </c>
      <c r="D252">
        <v>75.400000000000006</v>
      </c>
      <c r="E252">
        <v>7</v>
      </c>
      <c r="F252" t="s">
        <v>18</v>
      </c>
      <c r="G252" t="s">
        <v>14</v>
      </c>
      <c r="H252" t="s">
        <v>14</v>
      </c>
      <c r="I252" t="s">
        <v>14</v>
      </c>
      <c r="J252">
        <v>84.4</v>
      </c>
      <c r="K252">
        <v>88.4</v>
      </c>
      <c r="L252" t="s">
        <v>20</v>
      </c>
    </row>
    <row r="253" spans="1:12" x14ac:dyDescent="0.35">
      <c r="A253">
        <v>252</v>
      </c>
      <c r="B253" t="s">
        <v>12</v>
      </c>
      <c r="C253">
        <v>3.6</v>
      </c>
      <c r="D253">
        <v>89.2</v>
      </c>
      <c r="E253">
        <v>7.9</v>
      </c>
      <c r="F253" t="s">
        <v>13</v>
      </c>
      <c r="G253" t="s">
        <v>14</v>
      </c>
      <c r="H253" t="s">
        <v>15</v>
      </c>
      <c r="I253" t="s">
        <v>14</v>
      </c>
      <c r="J253">
        <v>70.099999999999994</v>
      </c>
      <c r="K253">
        <v>91</v>
      </c>
      <c r="L253" t="s">
        <v>16</v>
      </c>
    </row>
    <row r="254" spans="1:12" x14ac:dyDescent="0.35">
      <c r="A254">
        <v>253</v>
      </c>
      <c r="B254" t="s">
        <v>17</v>
      </c>
      <c r="C254">
        <v>1.6</v>
      </c>
      <c r="D254">
        <v>100</v>
      </c>
      <c r="E254">
        <v>5.6</v>
      </c>
      <c r="F254" t="s">
        <v>18</v>
      </c>
      <c r="G254" t="s">
        <v>15</v>
      </c>
      <c r="H254" t="s">
        <v>15</v>
      </c>
      <c r="I254" t="s">
        <v>15</v>
      </c>
      <c r="J254">
        <v>70.7</v>
      </c>
      <c r="K254">
        <v>75.8</v>
      </c>
      <c r="L254" t="s">
        <v>22</v>
      </c>
    </row>
    <row r="255" spans="1:12" x14ac:dyDescent="0.35">
      <c r="A255">
        <v>254</v>
      </c>
      <c r="B255" t="s">
        <v>12</v>
      </c>
      <c r="C255">
        <v>1.6</v>
      </c>
      <c r="D255">
        <v>74.3</v>
      </c>
      <c r="E255">
        <v>7.3</v>
      </c>
      <c r="F255" t="s">
        <v>18</v>
      </c>
      <c r="G255" t="s">
        <v>14</v>
      </c>
      <c r="H255" t="s">
        <v>14</v>
      </c>
      <c r="I255" t="s">
        <v>15</v>
      </c>
      <c r="J255">
        <v>66.8</v>
      </c>
      <c r="K255">
        <v>88.3</v>
      </c>
      <c r="L255" t="s">
        <v>20</v>
      </c>
    </row>
    <row r="256" spans="1:12" x14ac:dyDescent="0.35">
      <c r="A256">
        <v>255</v>
      </c>
      <c r="B256" t="s">
        <v>12</v>
      </c>
      <c r="C256">
        <v>3</v>
      </c>
      <c r="D256">
        <v>85.2</v>
      </c>
      <c r="E256">
        <v>9</v>
      </c>
      <c r="F256" t="s">
        <v>13</v>
      </c>
      <c r="G256" t="s">
        <v>14</v>
      </c>
      <c r="H256" t="s">
        <v>14</v>
      </c>
      <c r="I256" t="s">
        <v>14</v>
      </c>
      <c r="J256">
        <v>78.2</v>
      </c>
      <c r="K256">
        <v>87.6</v>
      </c>
      <c r="L256" t="s">
        <v>20</v>
      </c>
    </row>
    <row r="257" spans="1:12" x14ac:dyDescent="0.35">
      <c r="A257">
        <v>256</v>
      </c>
      <c r="B257" t="s">
        <v>12</v>
      </c>
      <c r="C257">
        <v>6</v>
      </c>
      <c r="D257">
        <v>99.1</v>
      </c>
      <c r="E257">
        <v>6.5</v>
      </c>
      <c r="F257" t="s">
        <v>23</v>
      </c>
      <c r="G257" t="s">
        <v>14</v>
      </c>
      <c r="H257" t="s">
        <v>14</v>
      </c>
      <c r="I257" t="s">
        <v>14</v>
      </c>
      <c r="J257">
        <v>64.900000000000006</v>
      </c>
      <c r="K257">
        <v>96.8</v>
      </c>
      <c r="L257" t="s">
        <v>16</v>
      </c>
    </row>
    <row r="258" spans="1:12" x14ac:dyDescent="0.35">
      <c r="A258">
        <v>257</v>
      </c>
      <c r="B258" t="s">
        <v>12</v>
      </c>
      <c r="C258">
        <v>3.1</v>
      </c>
      <c r="D258">
        <v>84.2</v>
      </c>
      <c r="E258">
        <v>5.8</v>
      </c>
      <c r="F258" t="s">
        <v>18</v>
      </c>
      <c r="G258" t="s">
        <v>14</v>
      </c>
      <c r="H258" t="s">
        <v>15</v>
      </c>
      <c r="I258" t="s">
        <v>15</v>
      </c>
      <c r="J258">
        <v>81.7</v>
      </c>
      <c r="K258">
        <v>86.7</v>
      </c>
      <c r="L258" t="s">
        <v>20</v>
      </c>
    </row>
    <row r="259" spans="1:12" x14ac:dyDescent="0.35">
      <c r="A259">
        <v>258</v>
      </c>
      <c r="B259" t="s">
        <v>17</v>
      </c>
      <c r="C259">
        <v>1.2</v>
      </c>
      <c r="D259">
        <v>89.5</v>
      </c>
      <c r="E259">
        <v>6</v>
      </c>
      <c r="F259" t="s">
        <v>13</v>
      </c>
      <c r="G259" t="s">
        <v>14</v>
      </c>
      <c r="H259" t="s">
        <v>14</v>
      </c>
      <c r="I259" t="s">
        <v>14</v>
      </c>
      <c r="J259">
        <v>56.4</v>
      </c>
      <c r="K259">
        <v>63.7</v>
      </c>
      <c r="L259" t="s">
        <v>21</v>
      </c>
    </row>
    <row r="260" spans="1:12" x14ac:dyDescent="0.35">
      <c r="A260">
        <v>259</v>
      </c>
      <c r="B260" t="s">
        <v>17</v>
      </c>
      <c r="C260">
        <v>3.1</v>
      </c>
      <c r="D260">
        <v>74.400000000000006</v>
      </c>
      <c r="E260">
        <v>5.5</v>
      </c>
      <c r="F260" t="s">
        <v>23</v>
      </c>
      <c r="G260" t="s">
        <v>14</v>
      </c>
      <c r="H260" t="s">
        <v>14</v>
      </c>
      <c r="I260" t="s">
        <v>15</v>
      </c>
      <c r="J260">
        <v>56.8</v>
      </c>
      <c r="K260">
        <v>73</v>
      </c>
      <c r="L260" t="s">
        <v>22</v>
      </c>
    </row>
    <row r="261" spans="1:12" x14ac:dyDescent="0.35">
      <c r="A261">
        <v>260</v>
      </c>
      <c r="B261" t="s">
        <v>12</v>
      </c>
      <c r="C261">
        <v>3.1</v>
      </c>
      <c r="D261">
        <v>89.3</v>
      </c>
      <c r="E261">
        <v>5.9</v>
      </c>
      <c r="F261" t="s">
        <v>23</v>
      </c>
      <c r="G261" t="s">
        <v>14</v>
      </c>
      <c r="H261" t="s">
        <v>14</v>
      </c>
      <c r="I261" t="s">
        <v>15</v>
      </c>
      <c r="J261">
        <v>78.2</v>
      </c>
      <c r="K261">
        <v>94.3</v>
      </c>
      <c r="L261" t="s">
        <v>16</v>
      </c>
    </row>
    <row r="262" spans="1:12" x14ac:dyDescent="0.35">
      <c r="A262">
        <v>261</v>
      </c>
      <c r="B262" t="s">
        <v>12</v>
      </c>
      <c r="C262">
        <v>0.5</v>
      </c>
      <c r="D262">
        <v>83.1</v>
      </c>
      <c r="E262">
        <v>6.4</v>
      </c>
      <c r="F262" t="s">
        <v>19</v>
      </c>
      <c r="G262" t="s">
        <v>14</v>
      </c>
      <c r="H262" t="s">
        <v>14</v>
      </c>
      <c r="I262" t="s">
        <v>15</v>
      </c>
      <c r="J262">
        <v>68.900000000000006</v>
      </c>
      <c r="K262">
        <v>71.3</v>
      </c>
      <c r="L262" t="s">
        <v>22</v>
      </c>
    </row>
    <row r="263" spans="1:12" x14ac:dyDescent="0.35">
      <c r="A263">
        <v>262</v>
      </c>
      <c r="B263" t="s">
        <v>17</v>
      </c>
      <c r="C263">
        <v>3.4</v>
      </c>
      <c r="D263">
        <v>94.9</v>
      </c>
      <c r="E263">
        <v>5.0999999999999996</v>
      </c>
      <c r="F263" t="s">
        <v>18</v>
      </c>
      <c r="G263" t="s">
        <v>14</v>
      </c>
      <c r="H263" t="s">
        <v>14</v>
      </c>
      <c r="I263" t="s">
        <v>15</v>
      </c>
      <c r="J263">
        <v>64.599999999999994</v>
      </c>
      <c r="K263">
        <v>79.7</v>
      </c>
      <c r="L263" t="s">
        <v>22</v>
      </c>
    </row>
    <row r="264" spans="1:12" x14ac:dyDescent="0.35">
      <c r="A264">
        <v>263</v>
      </c>
      <c r="B264" t="s">
        <v>12</v>
      </c>
      <c r="C264">
        <v>3.2</v>
      </c>
      <c r="D264">
        <v>96.9</v>
      </c>
      <c r="E264">
        <v>6.8</v>
      </c>
      <c r="F264" t="s">
        <v>18</v>
      </c>
      <c r="G264" t="s">
        <v>15</v>
      </c>
      <c r="H264" t="s">
        <v>15</v>
      </c>
      <c r="I264" t="s">
        <v>15</v>
      </c>
      <c r="J264">
        <v>80.7</v>
      </c>
      <c r="K264">
        <v>81.2</v>
      </c>
      <c r="L264" t="s">
        <v>20</v>
      </c>
    </row>
    <row r="265" spans="1:12" x14ac:dyDescent="0.35">
      <c r="A265">
        <v>264</v>
      </c>
      <c r="B265" t="s">
        <v>12</v>
      </c>
      <c r="C265">
        <v>4.5</v>
      </c>
      <c r="D265">
        <v>100</v>
      </c>
      <c r="E265">
        <v>7.9</v>
      </c>
      <c r="F265" t="s">
        <v>24</v>
      </c>
      <c r="G265" t="s">
        <v>14</v>
      </c>
      <c r="H265" t="s">
        <v>14</v>
      </c>
      <c r="I265" t="s">
        <v>15</v>
      </c>
      <c r="J265">
        <v>62.7</v>
      </c>
      <c r="K265">
        <v>91.1</v>
      </c>
      <c r="L265" t="s">
        <v>16</v>
      </c>
    </row>
    <row r="266" spans="1:12" x14ac:dyDescent="0.35">
      <c r="A266">
        <v>265</v>
      </c>
      <c r="B266" t="s">
        <v>12</v>
      </c>
      <c r="C266">
        <v>6.3</v>
      </c>
      <c r="D266">
        <v>90.8</v>
      </c>
      <c r="E266">
        <v>5.7</v>
      </c>
      <c r="F266" t="s">
        <v>13</v>
      </c>
      <c r="G266" t="s">
        <v>14</v>
      </c>
      <c r="H266" t="s">
        <v>15</v>
      </c>
      <c r="I266" t="s">
        <v>15</v>
      </c>
      <c r="J266">
        <v>67.599999999999994</v>
      </c>
      <c r="K266">
        <v>97.5</v>
      </c>
      <c r="L266" t="s">
        <v>16</v>
      </c>
    </row>
    <row r="267" spans="1:12" x14ac:dyDescent="0.35">
      <c r="A267">
        <v>266</v>
      </c>
      <c r="B267" t="s">
        <v>17</v>
      </c>
      <c r="C267">
        <v>5.2</v>
      </c>
      <c r="D267">
        <v>88.3</v>
      </c>
      <c r="E267">
        <v>8.6</v>
      </c>
      <c r="F267" t="s">
        <v>13</v>
      </c>
      <c r="G267" t="s">
        <v>14</v>
      </c>
      <c r="H267" t="s">
        <v>15</v>
      </c>
      <c r="I267" t="s">
        <v>15</v>
      </c>
      <c r="J267">
        <v>86.8</v>
      </c>
      <c r="K267">
        <v>100</v>
      </c>
      <c r="L267" t="s">
        <v>16</v>
      </c>
    </row>
    <row r="268" spans="1:12" x14ac:dyDescent="0.35">
      <c r="A268">
        <v>267</v>
      </c>
      <c r="B268" t="s">
        <v>17</v>
      </c>
      <c r="C268">
        <v>3.1</v>
      </c>
      <c r="D268">
        <v>86.9</v>
      </c>
      <c r="E268">
        <v>7.4</v>
      </c>
      <c r="F268" t="s">
        <v>23</v>
      </c>
      <c r="G268" t="s">
        <v>14</v>
      </c>
      <c r="H268" t="s">
        <v>14</v>
      </c>
      <c r="I268" t="s">
        <v>14</v>
      </c>
      <c r="J268">
        <v>88.5</v>
      </c>
      <c r="K268">
        <v>81.599999999999994</v>
      </c>
      <c r="L268" t="s">
        <v>20</v>
      </c>
    </row>
    <row r="269" spans="1:12" x14ac:dyDescent="0.35">
      <c r="A269">
        <v>268</v>
      </c>
      <c r="B269" t="s">
        <v>17</v>
      </c>
      <c r="C269">
        <v>1.8</v>
      </c>
      <c r="D269">
        <v>81.5</v>
      </c>
      <c r="E269">
        <v>8</v>
      </c>
      <c r="F269" t="s">
        <v>23</v>
      </c>
      <c r="G269" t="s">
        <v>14</v>
      </c>
      <c r="H269" t="s">
        <v>14</v>
      </c>
      <c r="I269" t="s">
        <v>15</v>
      </c>
      <c r="J269">
        <v>88.9</v>
      </c>
      <c r="K269">
        <v>83.9</v>
      </c>
      <c r="L269" t="s">
        <v>20</v>
      </c>
    </row>
    <row r="270" spans="1:12" x14ac:dyDescent="0.35">
      <c r="A270">
        <v>269</v>
      </c>
      <c r="B270" t="s">
        <v>12</v>
      </c>
      <c r="C270">
        <v>7.4</v>
      </c>
      <c r="D270">
        <v>88.4</v>
      </c>
      <c r="E270">
        <v>6</v>
      </c>
      <c r="F270" t="s">
        <v>19</v>
      </c>
      <c r="G270" t="s">
        <v>14</v>
      </c>
      <c r="H270" t="s">
        <v>15</v>
      </c>
      <c r="I270" t="s">
        <v>15</v>
      </c>
      <c r="J270">
        <v>66.599999999999994</v>
      </c>
      <c r="K270">
        <v>100</v>
      </c>
      <c r="L270" t="s">
        <v>16</v>
      </c>
    </row>
    <row r="271" spans="1:12" x14ac:dyDescent="0.35">
      <c r="A271">
        <v>270</v>
      </c>
      <c r="B271" t="s">
        <v>12</v>
      </c>
      <c r="C271">
        <v>3.6</v>
      </c>
      <c r="D271">
        <v>82</v>
      </c>
      <c r="E271">
        <v>7.8</v>
      </c>
      <c r="F271" t="s">
        <v>19</v>
      </c>
      <c r="G271" t="s">
        <v>14</v>
      </c>
      <c r="H271" t="s">
        <v>15</v>
      </c>
      <c r="I271" t="s">
        <v>15</v>
      </c>
      <c r="J271">
        <v>84.8</v>
      </c>
      <c r="K271">
        <v>80.2</v>
      </c>
      <c r="L271" t="s">
        <v>20</v>
      </c>
    </row>
    <row r="272" spans="1:12" x14ac:dyDescent="0.35">
      <c r="A272">
        <v>271</v>
      </c>
      <c r="B272" t="s">
        <v>17</v>
      </c>
      <c r="C272">
        <v>3.5</v>
      </c>
      <c r="D272">
        <v>86.7</v>
      </c>
      <c r="E272">
        <v>5.5</v>
      </c>
      <c r="F272" t="s">
        <v>23</v>
      </c>
      <c r="G272" t="s">
        <v>14</v>
      </c>
      <c r="H272" t="s">
        <v>14</v>
      </c>
      <c r="I272" t="s">
        <v>15</v>
      </c>
      <c r="J272">
        <v>58.6</v>
      </c>
      <c r="K272">
        <v>75.099999999999994</v>
      </c>
      <c r="L272" t="s">
        <v>22</v>
      </c>
    </row>
    <row r="273" spans="1:12" x14ac:dyDescent="0.35">
      <c r="A273">
        <v>272</v>
      </c>
      <c r="B273" t="s">
        <v>17</v>
      </c>
      <c r="C273">
        <v>3.5</v>
      </c>
      <c r="D273">
        <v>98.2</v>
      </c>
      <c r="E273">
        <v>7.9</v>
      </c>
      <c r="F273" t="s">
        <v>18</v>
      </c>
      <c r="G273" t="s">
        <v>15</v>
      </c>
      <c r="H273" t="s">
        <v>14</v>
      </c>
      <c r="I273" t="s">
        <v>15</v>
      </c>
      <c r="J273">
        <v>59.1</v>
      </c>
      <c r="K273">
        <v>78.2</v>
      </c>
      <c r="L273" t="s">
        <v>22</v>
      </c>
    </row>
    <row r="274" spans="1:12" x14ac:dyDescent="0.35">
      <c r="A274">
        <v>273</v>
      </c>
      <c r="B274" t="s">
        <v>17</v>
      </c>
      <c r="C274">
        <v>3.8</v>
      </c>
      <c r="D274">
        <v>74.900000000000006</v>
      </c>
      <c r="E274">
        <v>7</v>
      </c>
      <c r="F274" t="s">
        <v>24</v>
      </c>
      <c r="G274" t="s">
        <v>14</v>
      </c>
      <c r="H274" t="s">
        <v>14</v>
      </c>
      <c r="I274" t="s">
        <v>14</v>
      </c>
      <c r="J274">
        <v>41.8</v>
      </c>
      <c r="K274">
        <v>64.7</v>
      </c>
      <c r="L274" t="s">
        <v>21</v>
      </c>
    </row>
    <row r="275" spans="1:12" x14ac:dyDescent="0.35">
      <c r="A275">
        <v>274</v>
      </c>
      <c r="B275" t="s">
        <v>17</v>
      </c>
      <c r="C275">
        <v>3.3</v>
      </c>
      <c r="D275">
        <v>96.4</v>
      </c>
      <c r="E275">
        <v>7.5</v>
      </c>
      <c r="F275" t="s">
        <v>18</v>
      </c>
      <c r="G275" t="s">
        <v>14</v>
      </c>
      <c r="H275" t="s">
        <v>15</v>
      </c>
      <c r="I275" t="s">
        <v>15</v>
      </c>
      <c r="J275">
        <v>90.1</v>
      </c>
      <c r="K275">
        <v>97.8</v>
      </c>
      <c r="L275" t="s">
        <v>16</v>
      </c>
    </row>
    <row r="276" spans="1:12" x14ac:dyDescent="0.35">
      <c r="A276">
        <v>275</v>
      </c>
      <c r="B276" t="s">
        <v>12</v>
      </c>
      <c r="C276">
        <v>2.6</v>
      </c>
      <c r="D276">
        <v>98.2</v>
      </c>
      <c r="E276">
        <v>5.4</v>
      </c>
      <c r="F276" t="s">
        <v>18</v>
      </c>
      <c r="G276" t="s">
        <v>15</v>
      </c>
      <c r="H276" t="s">
        <v>14</v>
      </c>
      <c r="I276" t="s">
        <v>15</v>
      </c>
      <c r="J276">
        <v>59.6</v>
      </c>
      <c r="K276">
        <v>74.400000000000006</v>
      </c>
      <c r="L276" t="s">
        <v>22</v>
      </c>
    </row>
    <row r="277" spans="1:12" x14ac:dyDescent="0.35">
      <c r="A277">
        <v>276</v>
      </c>
      <c r="B277" t="s">
        <v>17</v>
      </c>
      <c r="C277">
        <v>2.7</v>
      </c>
      <c r="D277">
        <v>83.8</v>
      </c>
      <c r="E277">
        <v>5.7</v>
      </c>
      <c r="F277" t="s">
        <v>24</v>
      </c>
      <c r="G277" t="s">
        <v>14</v>
      </c>
      <c r="H277" t="s">
        <v>14</v>
      </c>
      <c r="I277" t="s">
        <v>15</v>
      </c>
      <c r="J277">
        <v>68.5</v>
      </c>
      <c r="K277">
        <v>76.400000000000006</v>
      </c>
      <c r="L277" t="s">
        <v>22</v>
      </c>
    </row>
    <row r="278" spans="1:12" x14ac:dyDescent="0.35">
      <c r="A278">
        <v>277</v>
      </c>
      <c r="B278" t="s">
        <v>12</v>
      </c>
      <c r="C278">
        <v>3.5</v>
      </c>
      <c r="D278">
        <v>63.8</v>
      </c>
      <c r="E278">
        <v>7.5</v>
      </c>
      <c r="F278" t="s">
        <v>18</v>
      </c>
      <c r="G278" t="s">
        <v>14</v>
      </c>
      <c r="H278" t="s">
        <v>15</v>
      </c>
      <c r="I278" t="s">
        <v>15</v>
      </c>
      <c r="J278">
        <v>59.1</v>
      </c>
      <c r="K278">
        <v>76.3</v>
      </c>
      <c r="L278" t="s">
        <v>22</v>
      </c>
    </row>
    <row r="279" spans="1:12" x14ac:dyDescent="0.35">
      <c r="A279">
        <v>278</v>
      </c>
      <c r="B279" t="s">
        <v>17</v>
      </c>
      <c r="C279">
        <v>2.7</v>
      </c>
      <c r="D279">
        <v>78.900000000000006</v>
      </c>
      <c r="E279">
        <v>5.7</v>
      </c>
      <c r="F279" t="s">
        <v>18</v>
      </c>
      <c r="G279" t="s">
        <v>14</v>
      </c>
      <c r="H279" t="s">
        <v>15</v>
      </c>
      <c r="I279" t="s">
        <v>14</v>
      </c>
      <c r="J279">
        <v>78.3</v>
      </c>
      <c r="K279">
        <v>88.3</v>
      </c>
      <c r="L279" t="s">
        <v>20</v>
      </c>
    </row>
    <row r="280" spans="1:12" x14ac:dyDescent="0.35">
      <c r="A280">
        <v>279</v>
      </c>
      <c r="B280" t="s">
        <v>12</v>
      </c>
      <c r="C280">
        <v>2.4</v>
      </c>
      <c r="D280">
        <v>98</v>
      </c>
      <c r="E280">
        <v>7.4</v>
      </c>
      <c r="F280" t="s">
        <v>18</v>
      </c>
      <c r="G280" t="s">
        <v>14</v>
      </c>
      <c r="H280" t="s">
        <v>14</v>
      </c>
      <c r="I280" t="s">
        <v>15</v>
      </c>
      <c r="J280">
        <v>65.5</v>
      </c>
      <c r="K280">
        <v>94</v>
      </c>
      <c r="L280" t="s">
        <v>16</v>
      </c>
    </row>
    <row r="281" spans="1:12" x14ac:dyDescent="0.35">
      <c r="A281">
        <v>280</v>
      </c>
      <c r="B281" t="s">
        <v>17</v>
      </c>
      <c r="C281">
        <v>3.7</v>
      </c>
      <c r="D281">
        <v>84.8</v>
      </c>
      <c r="E281">
        <v>5.2</v>
      </c>
      <c r="F281" t="s">
        <v>24</v>
      </c>
      <c r="G281" t="s">
        <v>15</v>
      </c>
      <c r="H281" t="s">
        <v>14</v>
      </c>
      <c r="I281" t="s">
        <v>14</v>
      </c>
      <c r="J281">
        <v>54.3</v>
      </c>
      <c r="K281">
        <v>58.8</v>
      </c>
      <c r="L281" t="s">
        <v>25</v>
      </c>
    </row>
    <row r="282" spans="1:12" x14ac:dyDescent="0.35">
      <c r="A282">
        <v>281</v>
      </c>
      <c r="B282" t="s">
        <v>17</v>
      </c>
      <c r="C282">
        <v>3.1</v>
      </c>
      <c r="D282">
        <v>75</v>
      </c>
      <c r="E282">
        <v>7.8</v>
      </c>
      <c r="F282" t="s">
        <v>13</v>
      </c>
      <c r="G282" t="s">
        <v>15</v>
      </c>
      <c r="H282" t="s">
        <v>15</v>
      </c>
      <c r="I282" t="s">
        <v>15</v>
      </c>
      <c r="J282">
        <v>75.3</v>
      </c>
      <c r="K282">
        <v>81.099999999999994</v>
      </c>
      <c r="L282" t="s">
        <v>20</v>
      </c>
    </row>
    <row r="283" spans="1:12" x14ac:dyDescent="0.35">
      <c r="A283">
        <v>282</v>
      </c>
      <c r="B283" t="s">
        <v>17</v>
      </c>
      <c r="C283">
        <v>5.8</v>
      </c>
      <c r="D283">
        <v>80</v>
      </c>
      <c r="E283">
        <v>5.3</v>
      </c>
      <c r="F283" t="s">
        <v>23</v>
      </c>
      <c r="G283" t="s">
        <v>14</v>
      </c>
      <c r="H283" t="s">
        <v>14</v>
      </c>
      <c r="I283" t="s">
        <v>15</v>
      </c>
      <c r="J283">
        <v>52.8</v>
      </c>
      <c r="K283">
        <v>84.5</v>
      </c>
      <c r="L283" t="s">
        <v>20</v>
      </c>
    </row>
    <row r="284" spans="1:12" x14ac:dyDescent="0.35">
      <c r="A284">
        <v>283</v>
      </c>
      <c r="B284" t="s">
        <v>17</v>
      </c>
      <c r="C284">
        <v>0.5</v>
      </c>
      <c r="D284">
        <v>93.4</v>
      </c>
      <c r="E284">
        <v>7.5</v>
      </c>
      <c r="F284" t="s">
        <v>18</v>
      </c>
      <c r="G284" t="s">
        <v>14</v>
      </c>
      <c r="H284" t="s">
        <v>14</v>
      </c>
      <c r="I284" t="s">
        <v>14</v>
      </c>
      <c r="J284">
        <v>60</v>
      </c>
      <c r="K284">
        <v>69.900000000000006</v>
      </c>
      <c r="L284" t="s">
        <v>21</v>
      </c>
    </row>
    <row r="285" spans="1:12" x14ac:dyDescent="0.35">
      <c r="A285">
        <v>284</v>
      </c>
      <c r="B285" t="s">
        <v>12</v>
      </c>
      <c r="C285">
        <v>5.0999999999999996</v>
      </c>
      <c r="D285">
        <v>90.5</v>
      </c>
      <c r="E285">
        <v>7.6</v>
      </c>
      <c r="F285" t="s">
        <v>23</v>
      </c>
      <c r="G285" t="s">
        <v>14</v>
      </c>
      <c r="H285" t="s">
        <v>15</v>
      </c>
      <c r="I285" t="s">
        <v>15</v>
      </c>
      <c r="J285">
        <v>44.7</v>
      </c>
      <c r="K285">
        <v>82.2</v>
      </c>
      <c r="L285" t="s">
        <v>20</v>
      </c>
    </row>
    <row r="286" spans="1:12" x14ac:dyDescent="0.35">
      <c r="A286">
        <v>285</v>
      </c>
      <c r="B286" t="s">
        <v>17</v>
      </c>
      <c r="C286">
        <v>5.4</v>
      </c>
      <c r="D286">
        <v>82.6</v>
      </c>
      <c r="E286">
        <v>6</v>
      </c>
      <c r="F286" t="s">
        <v>23</v>
      </c>
      <c r="G286" t="s">
        <v>14</v>
      </c>
      <c r="H286" t="s">
        <v>14</v>
      </c>
      <c r="I286" t="s">
        <v>14</v>
      </c>
      <c r="J286">
        <v>52.9</v>
      </c>
      <c r="K286">
        <v>83.3</v>
      </c>
      <c r="L286" t="s">
        <v>20</v>
      </c>
    </row>
    <row r="287" spans="1:12" x14ac:dyDescent="0.35">
      <c r="A287">
        <v>286</v>
      </c>
      <c r="B287" t="s">
        <v>12</v>
      </c>
      <c r="C287">
        <v>0.5</v>
      </c>
      <c r="D287">
        <v>81.3</v>
      </c>
      <c r="E287">
        <v>7.5</v>
      </c>
      <c r="F287" t="s">
        <v>18</v>
      </c>
      <c r="G287" t="s">
        <v>14</v>
      </c>
      <c r="H287" t="s">
        <v>15</v>
      </c>
      <c r="I287" t="s">
        <v>14</v>
      </c>
      <c r="J287">
        <v>72.099999999999994</v>
      </c>
      <c r="K287">
        <v>69.5</v>
      </c>
      <c r="L287" t="s">
        <v>21</v>
      </c>
    </row>
    <row r="288" spans="1:12" x14ac:dyDescent="0.35">
      <c r="A288">
        <v>287</v>
      </c>
      <c r="B288" t="s">
        <v>12</v>
      </c>
      <c r="C288">
        <v>3</v>
      </c>
      <c r="D288">
        <v>81.099999999999994</v>
      </c>
      <c r="E288">
        <v>7.1</v>
      </c>
      <c r="F288" t="s">
        <v>13</v>
      </c>
      <c r="G288" t="s">
        <v>14</v>
      </c>
      <c r="H288" t="s">
        <v>15</v>
      </c>
      <c r="I288" t="s">
        <v>15</v>
      </c>
      <c r="J288">
        <v>46.4</v>
      </c>
      <c r="K288">
        <v>68.5</v>
      </c>
      <c r="L288" t="s">
        <v>21</v>
      </c>
    </row>
    <row r="289" spans="1:12" x14ac:dyDescent="0.35">
      <c r="A289">
        <v>288</v>
      </c>
      <c r="B289" t="s">
        <v>12</v>
      </c>
      <c r="C289">
        <v>2.9</v>
      </c>
      <c r="D289">
        <v>75.8</v>
      </c>
      <c r="E289">
        <v>6.2</v>
      </c>
      <c r="F289" t="s">
        <v>18</v>
      </c>
      <c r="G289" t="s">
        <v>15</v>
      </c>
      <c r="H289" t="s">
        <v>14</v>
      </c>
      <c r="I289" t="s">
        <v>15</v>
      </c>
      <c r="J289">
        <v>52.2</v>
      </c>
      <c r="K289">
        <v>61.5</v>
      </c>
      <c r="L289" t="s">
        <v>21</v>
      </c>
    </row>
    <row r="290" spans="1:12" x14ac:dyDescent="0.35">
      <c r="A290">
        <v>289</v>
      </c>
      <c r="B290" t="s">
        <v>12</v>
      </c>
      <c r="C290">
        <v>1.4</v>
      </c>
      <c r="D290">
        <v>100</v>
      </c>
      <c r="E290">
        <v>5.6</v>
      </c>
      <c r="F290" t="s">
        <v>19</v>
      </c>
      <c r="G290" t="s">
        <v>15</v>
      </c>
      <c r="H290" t="s">
        <v>14</v>
      </c>
      <c r="I290" t="s">
        <v>15</v>
      </c>
      <c r="J290">
        <v>70</v>
      </c>
      <c r="K290">
        <v>72.3</v>
      </c>
      <c r="L290" t="s">
        <v>22</v>
      </c>
    </row>
    <row r="291" spans="1:12" x14ac:dyDescent="0.35">
      <c r="A291">
        <v>290</v>
      </c>
      <c r="B291" t="s">
        <v>17</v>
      </c>
      <c r="C291">
        <v>2.2999999999999998</v>
      </c>
      <c r="D291">
        <v>81.8</v>
      </c>
      <c r="E291">
        <v>4.4000000000000004</v>
      </c>
      <c r="F291" t="s">
        <v>13</v>
      </c>
      <c r="G291" t="s">
        <v>14</v>
      </c>
      <c r="H291" t="s">
        <v>15</v>
      </c>
      <c r="I291" t="s">
        <v>15</v>
      </c>
      <c r="J291">
        <v>63.5</v>
      </c>
      <c r="K291">
        <v>74.099999999999994</v>
      </c>
      <c r="L291" t="s">
        <v>22</v>
      </c>
    </row>
    <row r="292" spans="1:12" x14ac:dyDescent="0.35">
      <c r="A292">
        <v>291</v>
      </c>
      <c r="B292" t="s">
        <v>12</v>
      </c>
      <c r="C292">
        <v>1.8</v>
      </c>
      <c r="D292">
        <v>97.2</v>
      </c>
      <c r="E292">
        <v>7.2</v>
      </c>
      <c r="F292" t="s">
        <v>19</v>
      </c>
      <c r="G292" t="s">
        <v>14</v>
      </c>
      <c r="H292" t="s">
        <v>15</v>
      </c>
      <c r="I292" t="s">
        <v>15</v>
      </c>
      <c r="J292">
        <v>93.9</v>
      </c>
      <c r="K292">
        <v>94.9</v>
      </c>
      <c r="L292" t="s">
        <v>16</v>
      </c>
    </row>
    <row r="293" spans="1:12" x14ac:dyDescent="0.35">
      <c r="A293">
        <v>292</v>
      </c>
      <c r="B293" t="s">
        <v>12</v>
      </c>
      <c r="C293">
        <v>6.1</v>
      </c>
      <c r="D293">
        <v>100</v>
      </c>
      <c r="E293">
        <v>4.9000000000000004</v>
      </c>
      <c r="F293" t="s">
        <v>18</v>
      </c>
      <c r="G293" t="s">
        <v>14</v>
      </c>
      <c r="H293" t="s">
        <v>15</v>
      </c>
      <c r="I293" t="s">
        <v>15</v>
      </c>
      <c r="J293">
        <v>92</v>
      </c>
      <c r="K293">
        <v>100</v>
      </c>
      <c r="L293" t="s">
        <v>16</v>
      </c>
    </row>
    <row r="294" spans="1:12" x14ac:dyDescent="0.35">
      <c r="A294">
        <v>293</v>
      </c>
      <c r="B294" t="s">
        <v>12</v>
      </c>
      <c r="C294">
        <v>4.9000000000000004</v>
      </c>
      <c r="D294">
        <v>95</v>
      </c>
      <c r="E294">
        <v>6.9</v>
      </c>
      <c r="F294" t="s">
        <v>23</v>
      </c>
      <c r="G294" t="s">
        <v>14</v>
      </c>
      <c r="H294" t="s">
        <v>15</v>
      </c>
      <c r="I294" t="s">
        <v>14</v>
      </c>
      <c r="J294">
        <v>59.6</v>
      </c>
      <c r="K294">
        <v>84.5</v>
      </c>
      <c r="L294" t="s">
        <v>20</v>
      </c>
    </row>
    <row r="295" spans="1:12" x14ac:dyDescent="0.35">
      <c r="A295">
        <v>294</v>
      </c>
      <c r="B295" t="s">
        <v>17</v>
      </c>
      <c r="C295">
        <v>5.4</v>
      </c>
      <c r="D295">
        <v>80.7</v>
      </c>
      <c r="E295">
        <v>6.5</v>
      </c>
      <c r="F295" t="s">
        <v>23</v>
      </c>
      <c r="G295" t="s">
        <v>14</v>
      </c>
      <c r="H295" t="s">
        <v>14</v>
      </c>
      <c r="I295" t="s">
        <v>14</v>
      </c>
      <c r="J295">
        <v>76.7</v>
      </c>
      <c r="K295">
        <v>93.7</v>
      </c>
      <c r="L295" t="s">
        <v>16</v>
      </c>
    </row>
    <row r="296" spans="1:12" x14ac:dyDescent="0.35">
      <c r="A296">
        <v>295</v>
      </c>
      <c r="B296" t="s">
        <v>17</v>
      </c>
      <c r="C296">
        <v>4.5999999999999996</v>
      </c>
      <c r="D296">
        <v>89</v>
      </c>
      <c r="E296">
        <v>7.6</v>
      </c>
      <c r="F296" t="s">
        <v>23</v>
      </c>
      <c r="G296" t="s">
        <v>14</v>
      </c>
      <c r="H296" t="s">
        <v>15</v>
      </c>
      <c r="I296" t="s">
        <v>15</v>
      </c>
      <c r="J296">
        <v>79</v>
      </c>
      <c r="K296">
        <v>100</v>
      </c>
      <c r="L296" t="s">
        <v>16</v>
      </c>
    </row>
    <row r="297" spans="1:12" x14ac:dyDescent="0.35">
      <c r="A297">
        <v>296</v>
      </c>
      <c r="B297" t="s">
        <v>17</v>
      </c>
      <c r="C297">
        <v>1.8</v>
      </c>
      <c r="D297">
        <v>84.8</v>
      </c>
      <c r="E297">
        <v>6.4</v>
      </c>
      <c r="F297" t="s">
        <v>19</v>
      </c>
      <c r="G297" t="s">
        <v>14</v>
      </c>
      <c r="H297" t="s">
        <v>14</v>
      </c>
      <c r="I297" t="s">
        <v>15</v>
      </c>
      <c r="J297">
        <v>62.8</v>
      </c>
      <c r="K297">
        <v>81.599999999999994</v>
      </c>
      <c r="L297" t="s">
        <v>20</v>
      </c>
    </row>
    <row r="298" spans="1:12" x14ac:dyDescent="0.35">
      <c r="A298">
        <v>297</v>
      </c>
      <c r="B298" t="s">
        <v>17</v>
      </c>
      <c r="C298">
        <v>2.7</v>
      </c>
      <c r="D298">
        <v>76</v>
      </c>
      <c r="E298">
        <v>6.4</v>
      </c>
      <c r="F298" t="s">
        <v>13</v>
      </c>
      <c r="G298" t="s">
        <v>14</v>
      </c>
      <c r="H298" t="s">
        <v>14</v>
      </c>
      <c r="I298" t="s">
        <v>15</v>
      </c>
      <c r="J298">
        <v>52.1</v>
      </c>
      <c r="K298">
        <v>70.900000000000006</v>
      </c>
      <c r="L298" t="s">
        <v>22</v>
      </c>
    </row>
    <row r="299" spans="1:12" x14ac:dyDescent="0.35">
      <c r="A299">
        <v>298</v>
      </c>
      <c r="B299" t="s">
        <v>12</v>
      </c>
      <c r="C299">
        <v>4.2</v>
      </c>
      <c r="D299">
        <v>88.2</v>
      </c>
      <c r="E299">
        <v>7.7</v>
      </c>
      <c r="F299" t="s">
        <v>18</v>
      </c>
      <c r="G299" t="s">
        <v>14</v>
      </c>
      <c r="H299" t="s">
        <v>14</v>
      </c>
      <c r="I299" t="s">
        <v>15</v>
      </c>
      <c r="J299">
        <v>69.900000000000006</v>
      </c>
      <c r="K299">
        <v>89.6</v>
      </c>
      <c r="L299" t="s">
        <v>20</v>
      </c>
    </row>
    <row r="300" spans="1:12" x14ac:dyDescent="0.35">
      <c r="A300">
        <v>299</v>
      </c>
      <c r="B300" t="s">
        <v>12</v>
      </c>
      <c r="C300">
        <v>1.7</v>
      </c>
      <c r="D300">
        <v>73.2</v>
      </c>
      <c r="E300">
        <v>7.2</v>
      </c>
      <c r="F300" t="s">
        <v>23</v>
      </c>
      <c r="G300" t="s">
        <v>15</v>
      </c>
      <c r="H300" t="s">
        <v>14</v>
      </c>
      <c r="I300" t="s">
        <v>15</v>
      </c>
      <c r="J300">
        <v>67.900000000000006</v>
      </c>
      <c r="K300">
        <v>69.2</v>
      </c>
      <c r="L300" t="s">
        <v>21</v>
      </c>
    </row>
    <row r="301" spans="1:12" x14ac:dyDescent="0.35">
      <c r="A301">
        <v>300</v>
      </c>
      <c r="B301" t="s">
        <v>17</v>
      </c>
      <c r="C301">
        <v>4.5999999999999996</v>
      </c>
      <c r="D301">
        <v>96.9</v>
      </c>
      <c r="E301">
        <v>7.2</v>
      </c>
      <c r="F301" t="s">
        <v>23</v>
      </c>
      <c r="G301" t="s">
        <v>14</v>
      </c>
      <c r="H301" t="s">
        <v>15</v>
      </c>
      <c r="I301" t="s">
        <v>14</v>
      </c>
      <c r="J301">
        <v>64.8</v>
      </c>
      <c r="K301">
        <v>82.3</v>
      </c>
      <c r="L301" t="s">
        <v>20</v>
      </c>
    </row>
    <row r="302" spans="1:12" x14ac:dyDescent="0.35">
      <c r="A302">
        <v>301</v>
      </c>
      <c r="B302" t="s">
        <v>12</v>
      </c>
      <c r="C302">
        <v>3.1</v>
      </c>
      <c r="D302">
        <v>80.400000000000006</v>
      </c>
      <c r="E302">
        <v>7.4</v>
      </c>
      <c r="F302" t="s">
        <v>13</v>
      </c>
      <c r="G302" t="s">
        <v>14</v>
      </c>
      <c r="H302" t="s">
        <v>14</v>
      </c>
      <c r="I302" t="s">
        <v>14</v>
      </c>
      <c r="J302">
        <v>75.3</v>
      </c>
      <c r="K302">
        <v>80.900000000000006</v>
      </c>
      <c r="L302" t="s">
        <v>20</v>
      </c>
    </row>
    <row r="303" spans="1:12" x14ac:dyDescent="0.35">
      <c r="A303">
        <v>302</v>
      </c>
      <c r="B303" t="s">
        <v>12</v>
      </c>
      <c r="C303">
        <v>2.9</v>
      </c>
      <c r="D303">
        <v>87</v>
      </c>
      <c r="E303">
        <v>5</v>
      </c>
      <c r="F303" t="s">
        <v>18</v>
      </c>
      <c r="G303" t="s">
        <v>14</v>
      </c>
      <c r="H303" t="s">
        <v>14</v>
      </c>
      <c r="I303" t="s">
        <v>15</v>
      </c>
      <c r="J303">
        <v>61</v>
      </c>
      <c r="K303">
        <v>82.4</v>
      </c>
      <c r="L303" t="s">
        <v>20</v>
      </c>
    </row>
    <row r="304" spans="1:12" x14ac:dyDescent="0.35">
      <c r="A304">
        <v>303</v>
      </c>
      <c r="B304" t="s">
        <v>12</v>
      </c>
      <c r="C304">
        <v>4.5999999999999996</v>
      </c>
      <c r="D304">
        <v>87.8</v>
      </c>
      <c r="E304">
        <v>7.7</v>
      </c>
      <c r="F304" t="s">
        <v>13</v>
      </c>
      <c r="G304" t="s">
        <v>14</v>
      </c>
      <c r="H304" t="s">
        <v>14</v>
      </c>
      <c r="I304" t="s">
        <v>15</v>
      </c>
      <c r="J304">
        <v>56.2</v>
      </c>
      <c r="K304">
        <v>91</v>
      </c>
      <c r="L304" t="s">
        <v>16</v>
      </c>
    </row>
    <row r="305" spans="1:12" x14ac:dyDescent="0.35">
      <c r="A305">
        <v>304</v>
      </c>
      <c r="B305" t="s">
        <v>17</v>
      </c>
      <c r="C305">
        <v>4.2</v>
      </c>
      <c r="D305">
        <v>82.4</v>
      </c>
      <c r="E305">
        <v>7.5</v>
      </c>
      <c r="F305" t="s">
        <v>18</v>
      </c>
      <c r="G305" t="s">
        <v>15</v>
      </c>
      <c r="H305" t="s">
        <v>15</v>
      </c>
      <c r="I305" t="s">
        <v>15</v>
      </c>
      <c r="J305">
        <v>71.3</v>
      </c>
      <c r="K305">
        <v>81.599999999999994</v>
      </c>
      <c r="L305" t="s">
        <v>20</v>
      </c>
    </row>
    <row r="306" spans="1:12" x14ac:dyDescent="0.35">
      <c r="A306">
        <v>305</v>
      </c>
      <c r="B306" t="s">
        <v>17</v>
      </c>
      <c r="C306">
        <v>3</v>
      </c>
      <c r="D306">
        <v>90.9</v>
      </c>
      <c r="E306">
        <v>5.6</v>
      </c>
      <c r="F306" t="s">
        <v>13</v>
      </c>
      <c r="G306" t="s">
        <v>14</v>
      </c>
      <c r="H306" t="s">
        <v>15</v>
      </c>
      <c r="I306" t="s">
        <v>14</v>
      </c>
      <c r="J306">
        <v>74.599999999999994</v>
      </c>
      <c r="K306">
        <v>83.2</v>
      </c>
      <c r="L306" t="s">
        <v>20</v>
      </c>
    </row>
    <row r="307" spans="1:12" x14ac:dyDescent="0.35">
      <c r="A307">
        <v>306</v>
      </c>
      <c r="B307" t="s">
        <v>12</v>
      </c>
      <c r="C307">
        <v>5.2</v>
      </c>
      <c r="D307">
        <v>80.3</v>
      </c>
      <c r="E307">
        <v>6.5</v>
      </c>
      <c r="F307" t="s">
        <v>13</v>
      </c>
      <c r="G307" t="s">
        <v>14</v>
      </c>
      <c r="H307" t="s">
        <v>14</v>
      </c>
      <c r="I307" t="s">
        <v>15</v>
      </c>
      <c r="J307">
        <v>55.9</v>
      </c>
      <c r="K307">
        <v>80.7</v>
      </c>
      <c r="L307" t="s">
        <v>20</v>
      </c>
    </row>
    <row r="308" spans="1:12" x14ac:dyDescent="0.35">
      <c r="A308">
        <v>307</v>
      </c>
      <c r="B308" t="s">
        <v>17</v>
      </c>
      <c r="C308">
        <v>1.9</v>
      </c>
      <c r="D308">
        <v>93.7</v>
      </c>
      <c r="E308">
        <v>6.8</v>
      </c>
      <c r="F308" t="s">
        <v>23</v>
      </c>
      <c r="G308" t="s">
        <v>14</v>
      </c>
      <c r="H308" t="s">
        <v>14</v>
      </c>
      <c r="I308" t="s">
        <v>14</v>
      </c>
      <c r="J308">
        <v>81.099999999999994</v>
      </c>
      <c r="K308">
        <v>87.2</v>
      </c>
      <c r="L308" t="s">
        <v>20</v>
      </c>
    </row>
    <row r="309" spans="1:12" x14ac:dyDescent="0.35">
      <c r="A309">
        <v>308</v>
      </c>
      <c r="B309" t="s">
        <v>17</v>
      </c>
      <c r="C309">
        <v>4.4000000000000004</v>
      </c>
      <c r="D309">
        <v>71.5</v>
      </c>
      <c r="E309">
        <v>6.6</v>
      </c>
      <c r="F309" t="s">
        <v>18</v>
      </c>
      <c r="G309" t="s">
        <v>14</v>
      </c>
      <c r="H309" t="s">
        <v>14</v>
      </c>
      <c r="I309" t="s">
        <v>14</v>
      </c>
      <c r="J309">
        <v>48.8</v>
      </c>
      <c r="K309">
        <v>72.8</v>
      </c>
      <c r="L309" t="s">
        <v>22</v>
      </c>
    </row>
    <row r="310" spans="1:12" x14ac:dyDescent="0.35">
      <c r="A310">
        <v>309</v>
      </c>
      <c r="B310" t="s">
        <v>17</v>
      </c>
      <c r="C310">
        <v>4.4000000000000004</v>
      </c>
      <c r="D310">
        <v>86.3</v>
      </c>
      <c r="E310">
        <v>7.2</v>
      </c>
      <c r="F310" t="s">
        <v>13</v>
      </c>
      <c r="G310" t="s">
        <v>14</v>
      </c>
      <c r="H310" t="s">
        <v>15</v>
      </c>
      <c r="I310" t="s">
        <v>15</v>
      </c>
      <c r="J310">
        <v>63.1</v>
      </c>
      <c r="K310">
        <v>85.2</v>
      </c>
      <c r="L310" t="s">
        <v>20</v>
      </c>
    </row>
    <row r="311" spans="1:12" x14ac:dyDescent="0.35">
      <c r="A311">
        <v>310</v>
      </c>
      <c r="B311" t="s">
        <v>17</v>
      </c>
      <c r="C311">
        <v>3</v>
      </c>
      <c r="D311">
        <v>100</v>
      </c>
      <c r="E311">
        <v>8.5</v>
      </c>
      <c r="F311" t="s">
        <v>18</v>
      </c>
      <c r="G311" t="s">
        <v>14</v>
      </c>
      <c r="H311" t="s">
        <v>15</v>
      </c>
      <c r="I311" t="s">
        <v>14</v>
      </c>
      <c r="J311">
        <v>66.900000000000006</v>
      </c>
      <c r="K311">
        <v>83.3</v>
      </c>
      <c r="L311" t="s">
        <v>20</v>
      </c>
    </row>
    <row r="312" spans="1:12" x14ac:dyDescent="0.35">
      <c r="A312">
        <v>311</v>
      </c>
      <c r="B312" t="s">
        <v>17</v>
      </c>
      <c r="C312">
        <v>4</v>
      </c>
      <c r="D312">
        <v>75</v>
      </c>
      <c r="E312">
        <v>8.1</v>
      </c>
      <c r="F312" t="s">
        <v>18</v>
      </c>
      <c r="G312" t="s">
        <v>14</v>
      </c>
      <c r="H312" t="s">
        <v>14</v>
      </c>
      <c r="I312" t="s">
        <v>15</v>
      </c>
      <c r="J312">
        <v>62.4</v>
      </c>
      <c r="K312">
        <v>82.6</v>
      </c>
      <c r="L312" t="s">
        <v>20</v>
      </c>
    </row>
    <row r="313" spans="1:12" x14ac:dyDescent="0.35">
      <c r="A313">
        <v>312</v>
      </c>
      <c r="B313" t="s">
        <v>12</v>
      </c>
      <c r="C313">
        <v>1.6</v>
      </c>
      <c r="D313">
        <v>78.2</v>
      </c>
      <c r="E313">
        <v>5.2</v>
      </c>
      <c r="F313" t="s">
        <v>23</v>
      </c>
      <c r="G313" t="s">
        <v>14</v>
      </c>
      <c r="H313" t="s">
        <v>15</v>
      </c>
      <c r="I313" t="s">
        <v>14</v>
      </c>
      <c r="J313">
        <v>63.2</v>
      </c>
      <c r="K313">
        <v>63.4</v>
      </c>
      <c r="L313" t="s">
        <v>21</v>
      </c>
    </row>
    <row r="314" spans="1:12" x14ac:dyDescent="0.35">
      <c r="A314">
        <v>313</v>
      </c>
      <c r="B314" t="s">
        <v>17</v>
      </c>
      <c r="C314">
        <v>4.9000000000000004</v>
      </c>
      <c r="D314">
        <v>90.1</v>
      </c>
      <c r="E314">
        <v>7.5</v>
      </c>
      <c r="F314" t="s">
        <v>19</v>
      </c>
      <c r="G314" t="s">
        <v>14</v>
      </c>
      <c r="H314" t="s">
        <v>14</v>
      </c>
      <c r="I314" t="s">
        <v>15</v>
      </c>
      <c r="J314">
        <v>92.5</v>
      </c>
      <c r="K314">
        <v>100</v>
      </c>
      <c r="L314" t="s">
        <v>16</v>
      </c>
    </row>
    <row r="315" spans="1:12" x14ac:dyDescent="0.35">
      <c r="A315">
        <v>314</v>
      </c>
      <c r="B315" t="s">
        <v>12</v>
      </c>
      <c r="C315">
        <v>3.2</v>
      </c>
      <c r="D315">
        <v>86.8</v>
      </c>
      <c r="E315">
        <v>8.4</v>
      </c>
      <c r="F315" t="s">
        <v>13</v>
      </c>
      <c r="G315" t="s">
        <v>14</v>
      </c>
      <c r="H315" t="s">
        <v>15</v>
      </c>
      <c r="I315" t="s">
        <v>15</v>
      </c>
      <c r="J315">
        <v>59.8</v>
      </c>
      <c r="K315">
        <v>79.400000000000006</v>
      </c>
      <c r="L315" t="s">
        <v>22</v>
      </c>
    </row>
    <row r="316" spans="1:12" x14ac:dyDescent="0.35">
      <c r="A316">
        <v>315</v>
      </c>
      <c r="B316" t="s">
        <v>12</v>
      </c>
      <c r="C316">
        <v>2.7</v>
      </c>
      <c r="D316">
        <v>88.5</v>
      </c>
      <c r="E316">
        <v>7.3</v>
      </c>
      <c r="F316" t="s">
        <v>23</v>
      </c>
      <c r="G316" t="s">
        <v>14</v>
      </c>
      <c r="H316" t="s">
        <v>14</v>
      </c>
      <c r="I316" t="s">
        <v>15</v>
      </c>
      <c r="J316">
        <v>99.3</v>
      </c>
      <c r="K316">
        <v>100</v>
      </c>
      <c r="L316" t="s">
        <v>16</v>
      </c>
    </row>
    <row r="317" spans="1:12" x14ac:dyDescent="0.35">
      <c r="A317">
        <v>316</v>
      </c>
      <c r="B317" t="s">
        <v>17</v>
      </c>
      <c r="C317">
        <v>5.0999999999999996</v>
      </c>
      <c r="D317">
        <v>89.9</v>
      </c>
      <c r="E317">
        <v>8.1</v>
      </c>
      <c r="F317" t="s">
        <v>24</v>
      </c>
      <c r="G317" t="s">
        <v>14</v>
      </c>
      <c r="H317" t="s">
        <v>14</v>
      </c>
      <c r="I317" t="s">
        <v>15</v>
      </c>
      <c r="J317">
        <v>75.2</v>
      </c>
      <c r="K317">
        <v>100</v>
      </c>
      <c r="L317" t="s">
        <v>16</v>
      </c>
    </row>
    <row r="318" spans="1:12" x14ac:dyDescent="0.35">
      <c r="A318">
        <v>317</v>
      </c>
      <c r="B318" t="s">
        <v>12</v>
      </c>
      <c r="C318">
        <v>2.4</v>
      </c>
      <c r="D318">
        <v>91.3</v>
      </c>
      <c r="E318">
        <v>9.1999999999999993</v>
      </c>
      <c r="F318" t="s">
        <v>23</v>
      </c>
      <c r="G318" t="s">
        <v>15</v>
      </c>
      <c r="H318" t="s">
        <v>14</v>
      </c>
      <c r="I318" t="s">
        <v>14</v>
      </c>
      <c r="J318">
        <v>71.099999999999994</v>
      </c>
      <c r="K318">
        <v>72.900000000000006</v>
      </c>
      <c r="L318" t="s">
        <v>22</v>
      </c>
    </row>
    <row r="319" spans="1:12" x14ac:dyDescent="0.35">
      <c r="A319">
        <v>318</v>
      </c>
      <c r="B319" t="s">
        <v>12</v>
      </c>
      <c r="C319">
        <v>1.4</v>
      </c>
      <c r="D319">
        <v>96.1</v>
      </c>
      <c r="E319">
        <v>8</v>
      </c>
      <c r="F319" t="s">
        <v>18</v>
      </c>
      <c r="G319" t="s">
        <v>15</v>
      </c>
      <c r="H319" t="s">
        <v>14</v>
      </c>
      <c r="I319" t="s">
        <v>15</v>
      </c>
      <c r="J319">
        <v>75.7</v>
      </c>
      <c r="K319">
        <v>79.2</v>
      </c>
      <c r="L319" t="s">
        <v>22</v>
      </c>
    </row>
    <row r="320" spans="1:12" x14ac:dyDescent="0.35">
      <c r="A320">
        <v>319</v>
      </c>
      <c r="B320" t="s">
        <v>12</v>
      </c>
      <c r="C320">
        <v>1.2</v>
      </c>
      <c r="D320">
        <v>89.1</v>
      </c>
      <c r="E320">
        <v>7.1</v>
      </c>
      <c r="F320" t="s">
        <v>19</v>
      </c>
      <c r="G320" t="s">
        <v>14</v>
      </c>
      <c r="H320" t="s">
        <v>15</v>
      </c>
      <c r="I320" t="s">
        <v>15</v>
      </c>
      <c r="J320">
        <v>100</v>
      </c>
      <c r="K320">
        <v>84.2</v>
      </c>
      <c r="L320" t="s">
        <v>20</v>
      </c>
    </row>
    <row r="321" spans="1:12" x14ac:dyDescent="0.35">
      <c r="A321">
        <v>320</v>
      </c>
      <c r="B321" t="s">
        <v>17</v>
      </c>
      <c r="C321">
        <v>4.4000000000000004</v>
      </c>
      <c r="D321">
        <v>82.6</v>
      </c>
      <c r="E321">
        <v>8.1</v>
      </c>
      <c r="F321" t="s">
        <v>13</v>
      </c>
      <c r="G321" t="s">
        <v>14</v>
      </c>
      <c r="H321" t="s">
        <v>14</v>
      </c>
      <c r="I321" t="s">
        <v>14</v>
      </c>
      <c r="J321">
        <v>58.1</v>
      </c>
      <c r="K321">
        <v>80.7</v>
      </c>
      <c r="L321" t="s">
        <v>20</v>
      </c>
    </row>
    <row r="322" spans="1:12" x14ac:dyDescent="0.35">
      <c r="A322">
        <v>321</v>
      </c>
      <c r="B322" t="s">
        <v>17</v>
      </c>
      <c r="C322">
        <v>1.6</v>
      </c>
      <c r="D322">
        <v>91.7</v>
      </c>
      <c r="E322">
        <v>7</v>
      </c>
      <c r="F322" t="s">
        <v>18</v>
      </c>
      <c r="G322" t="s">
        <v>14</v>
      </c>
      <c r="H322" t="s">
        <v>15</v>
      </c>
      <c r="I322" t="s">
        <v>15</v>
      </c>
      <c r="J322">
        <v>56.6</v>
      </c>
      <c r="K322">
        <v>85.3</v>
      </c>
      <c r="L322" t="s">
        <v>20</v>
      </c>
    </row>
    <row r="323" spans="1:12" x14ac:dyDescent="0.35">
      <c r="A323">
        <v>322</v>
      </c>
      <c r="B323" t="s">
        <v>12</v>
      </c>
      <c r="C323">
        <v>6.1</v>
      </c>
      <c r="D323">
        <v>100</v>
      </c>
      <c r="E323">
        <v>6.8</v>
      </c>
      <c r="F323" t="s">
        <v>18</v>
      </c>
      <c r="G323" t="s">
        <v>14</v>
      </c>
      <c r="H323" t="s">
        <v>15</v>
      </c>
      <c r="I323" t="s">
        <v>14</v>
      </c>
      <c r="J323">
        <v>60.9</v>
      </c>
      <c r="K323">
        <v>93.1</v>
      </c>
      <c r="L323" t="s">
        <v>16</v>
      </c>
    </row>
    <row r="324" spans="1:12" x14ac:dyDescent="0.35">
      <c r="A324">
        <v>323</v>
      </c>
      <c r="B324" t="s">
        <v>17</v>
      </c>
      <c r="C324">
        <v>0.5</v>
      </c>
      <c r="D324">
        <v>83.7</v>
      </c>
      <c r="E324">
        <v>6.4</v>
      </c>
      <c r="F324" t="s">
        <v>13</v>
      </c>
      <c r="G324" t="s">
        <v>14</v>
      </c>
      <c r="H324" t="s">
        <v>14</v>
      </c>
      <c r="I324" t="s">
        <v>15</v>
      </c>
      <c r="J324">
        <v>70.400000000000006</v>
      </c>
      <c r="K324">
        <v>73.5</v>
      </c>
      <c r="L324" t="s">
        <v>22</v>
      </c>
    </row>
    <row r="325" spans="1:12" x14ac:dyDescent="0.35">
      <c r="A325">
        <v>324</v>
      </c>
      <c r="B325" t="s">
        <v>17</v>
      </c>
      <c r="C325">
        <v>6</v>
      </c>
      <c r="D325">
        <v>75.3</v>
      </c>
      <c r="E325">
        <v>8.6999999999999993</v>
      </c>
      <c r="F325" t="s">
        <v>18</v>
      </c>
      <c r="G325" t="s">
        <v>14</v>
      </c>
      <c r="H325" t="s">
        <v>14</v>
      </c>
      <c r="I325" t="s">
        <v>15</v>
      </c>
      <c r="J325">
        <v>49.3</v>
      </c>
      <c r="K325">
        <v>90.8</v>
      </c>
      <c r="L325" t="s">
        <v>16</v>
      </c>
    </row>
    <row r="326" spans="1:12" x14ac:dyDescent="0.35">
      <c r="A326">
        <v>325</v>
      </c>
      <c r="B326" t="s">
        <v>17</v>
      </c>
      <c r="C326">
        <v>3.8</v>
      </c>
      <c r="D326">
        <v>96.1</v>
      </c>
      <c r="E326">
        <v>5.8</v>
      </c>
      <c r="F326" t="s">
        <v>18</v>
      </c>
      <c r="G326" t="s">
        <v>14</v>
      </c>
      <c r="H326" t="s">
        <v>14</v>
      </c>
      <c r="I326" t="s">
        <v>14</v>
      </c>
      <c r="J326">
        <v>70.3</v>
      </c>
      <c r="K326">
        <v>80.8</v>
      </c>
      <c r="L326" t="s">
        <v>20</v>
      </c>
    </row>
    <row r="327" spans="1:12" x14ac:dyDescent="0.35">
      <c r="A327">
        <v>326</v>
      </c>
      <c r="B327" t="s">
        <v>17</v>
      </c>
      <c r="C327">
        <v>3.4</v>
      </c>
      <c r="D327">
        <v>83.8</v>
      </c>
      <c r="E327">
        <v>8.6</v>
      </c>
      <c r="F327" t="s">
        <v>18</v>
      </c>
      <c r="G327" t="s">
        <v>14</v>
      </c>
      <c r="H327" t="s">
        <v>15</v>
      </c>
      <c r="I327" t="s">
        <v>15</v>
      </c>
      <c r="J327">
        <v>90.3</v>
      </c>
      <c r="K327">
        <v>88.9</v>
      </c>
      <c r="L327" t="s">
        <v>20</v>
      </c>
    </row>
    <row r="328" spans="1:12" x14ac:dyDescent="0.35">
      <c r="A328">
        <v>327</v>
      </c>
      <c r="B328" t="s">
        <v>12</v>
      </c>
      <c r="C328">
        <v>2.7</v>
      </c>
      <c r="D328">
        <v>63.3</v>
      </c>
      <c r="E328">
        <v>7.4</v>
      </c>
      <c r="F328" t="s">
        <v>23</v>
      </c>
      <c r="G328" t="s">
        <v>15</v>
      </c>
      <c r="H328" t="s">
        <v>14</v>
      </c>
      <c r="I328" t="s">
        <v>15</v>
      </c>
      <c r="J328">
        <v>71.8</v>
      </c>
      <c r="K328">
        <v>63.7</v>
      </c>
      <c r="L328" t="s">
        <v>21</v>
      </c>
    </row>
    <row r="329" spans="1:12" x14ac:dyDescent="0.35">
      <c r="A329">
        <v>328</v>
      </c>
      <c r="B329" t="s">
        <v>12</v>
      </c>
      <c r="C329">
        <v>4.0999999999999996</v>
      </c>
      <c r="D329">
        <v>93.5</v>
      </c>
      <c r="E329">
        <v>5.0999999999999996</v>
      </c>
      <c r="F329" t="s">
        <v>24</v>
      </c>
      <c r="G329" t="s">
        <v>14</v>
      </c>
      <c r="H329" t="s">
        <v>14</v>
      </c>
      <c r="I329" t="s">
        <v>15</v>
      </c>
      <c r="J329">
        <v>66.5</v>
      </c>
      <c r="K329">
        <v>82.6</v>
      </c>
      <c r="L329" t="s">
        <v>20</v>
      </c>
    </row>
    <row r="330" spans="1:12" x14ac:dyDescent="0.35">
      <c r="A330">
        <v>329</v>
      </c>
      <c r="B330" t="s">
        <v>17</v>
      </c>
      <c r="C330">
        <v>3.4</v>
      </c>
      <c r="D330">
        <v>79.599999999999994</v>
      </c>
      <c r="E330">
        <v>7.2</v>
      </c>
      <c r="F330" t="s">
        <v>18</v>
      </c>
      <c r="G330" t="s">
        <v>14</v>
      </c>
      <c r="H330" t="s">
        <v>14</v>
      </c>
      <c r="I330" t="s">
        <v>15</v>
      </c>
      <c r="J330">
        <v>62.6</v>
      </c>
      <c r="K330">
        <v>63.7</v>
      </c>
      <c r="L330" t="s">
        <v>21</v>
      </c>
    </row>
    <row r="331" spans="1:12" x14ac:dyDescent="0.35">
      <c r="A331">
        <v>330</v>
      </c>
      <c r="B331" t="s">
        <v>17</v>
      </c>
      <c r="C331">
        <v>5.2</v>
      </c>
      <c r="D331">
        <v>84.1</v>
      </c>
      <c r="E331">
        <v>4.3</v>
      </c>
      <c r="F331" t="s">
        <v>24</v>
      </c>
      <c r="G331" t="s">
        <v>14</v>
      </c>
      <c r="H331" t="s">
        <v>15</v>
      </c>
      <c r="I331" t="s">
        <v>15</v>
      </c>
      <c r="J331">
        <v>80.8</v>
      </c>
      <c r="K331">
        <v>96.6</v>
      </c>
      <c r="L331" t="s">
        <v>16</v>
      </c>
    </row>
    <row r="332" spans="1:12" x14ac:dyDescent="0.35">
      <c r="A332">
        <v>331</v>
      </c>
      <c r="B332" t="s">
        <v>12</v>
      </c>
      <c r="C332">
        <v>3.7</v>
      </c>
      <c r="D332">
        <v>88.3</v>
      </c>
      <c r="E332">
        <v>7.6</v>
      </c>
      <c r="F332" t="s">
        <v>24</v>
      </c>
      <c r="G332" t="s">
        <v>14</v>
      </c>
      <c r="H332" t="s">
        <v>14</v>
      </c>
      <c r="I332" t="s">
        <v>15</v>
      </c>
      <c r="J332">
        <v>60.1</v>
      </c>
      <c r="K332">
        <v>97</v>
      </c>
      <c r="L332" t="s">
        <v>16</v>
      </c>
    </row>
    <row r="333" spans="1:12" x14ac:dyDescent="0.35">
      <c r="A333">
        <v>332</v>
      </c>
      <c r="B333" t="s">
        <v>12</v>
      </c>
      <c r="C333">
        <v>3.7</v>
      </c>
      <c r="D333">
        <v>86.9</v>
      </c>
      <c r="E333">
        <v>7.9</v>
      </c>
      <c r="F333" t="s">
        <v>23</v>
      </c>
      <c r="G333" t="s">
        <v>15</v>
      </c>
      <c r="H333" t="s">
        <v>14</v>
      </c>
      <c r="I333" t="s">
        <v>15</v>
      </c>
      <c r="J333">
        <v>92.2</v>
      </c>
      <c r="K333">
        <v>93.3</v>
      </c>
      <c r="L333" t="s">
        <v>16</v>
      </c>
    </row>
    <row r="334" spans="1:12" x14ac:dyDescent="0.35">
      <c r="A334">
        <v>333</v>
      </c>
      <c r="B334" t="s">
        <v>17</v>
      </c>
      <c r="C334">
        <v>3</v>
      </c>
      <c r="D334">
        <v>92.1</v>
      </c>
      <c r="E334">
        <v>6.1</v>
      </c>
      <c r="F334" t="s">
        <v>18</v>
      </c>
      <c r="G334" t="s">
        <v>14</v>
      </c>
      <c r="H334" t="s">
        <v>14</v>
      </c>
      <c r="I334" t="s">
        <v>14</v>
      </c>
      <c r="J334">
        <v>93.2</v>
      </c>
      <c r="K334">
        <v>82.8</v>
      </c>
      <c r="L334" t="s">
        <v>20</v>
      </c>
    </row>
    <row r="335" spans="1:12" x14ac:dyDescent="0.35">
      <c r="A335">
        <v>334</v>
      </c>
      <c r="B335" t="s">
        <v>12</v>
      </c>
      <c r="C335">
        <v>3.4</v>
      </c>
      <c r="D335">
        <v>80.599999999999994</v>
      </c>
      <c r="E335">
        <v>6.9</v>
      </c>
      <c r="F335" t="s">
        <v>23</v>
      </c>
      <c r="G335" t="s">
        <v>14</v>
      </c>
      <c r="H335" t="s">
        <v>14</v>
      </c>
      <c r="I335" t="s">
        <v>15</v>
      </c>
      <c r="J335">
        <v>73.099999999999994</v>
      </c>
      <c r="K335">
        <v>81.2</v>
      </c>
      <c r="L335" t="s">
        <v>20</v>
      </c>
    </row>
    <row r="336" spans="1:12" x14ac:dyDescent="0.35">
      <c r="A336">
        <v>335</v>
      </c>
      <c r="B336" t="s">
        <v>17</v>
      </c>
      <c r="C336">
        <v>4</v>
      </c>
      <c r="D336">
        <v>90.1</v>
      </c>
      <c r="E336">
        <v>9.1</v>
      </c>
      <c r="F336" t="s">
        <v>19</v>
      </c>
      <c r="G336" t="s">
        <v>14</v>
      </c>
      <c r="H336" t="s">
        <v>15</v>
      </c>
      <c r="I336" t="s">
        <v>15</v>
      </c>
      <c r="J336">
        <v>69.900000000000006</v>
      </c>
      <c r="K336">
        <v>88.7</v>
      </c>
      <c r="L336" t="s">
        <v>20</v>
      </c>
    </row>
    <row r="337" spans="1:12" x14ac:dyDescent="0.35">
      <c r="A337">
        <v>336</v>
      </c>
      <c r="B337" t="s">
        <v>17</v>
      </c>
      <c r="C337">
        <v>0.9</v>
      </c>
      <c r="D337">
        <v>82.4</v>
      </c>
      <c r="E337">
        <v>6.2</v>
      </c>
      <c r="F337" t="s">
        <v>23</v>
      </c>
      <c r="G337" t="s">
        <v>14</v>
      </c>
      <c r="H337" t="s">
        <v>14</v>
      </c>
      <c r="I337" t="s">
        <v>15</v>
      </c>
      <c r="J337">
        <v>82.4</v>
      </c>
      <c r="K337">
        <v>71.2</v>
      </c>
      <c r="L337" t="s">
        <v>22</v>
      </c>
    </row>
    <row r="338" spans="1:12" x14ac:dyDescent="0.35">
      <c r="A338">
        <v>337</v>
      </c>
      <c r="B338" t="s">
        <v>12</v>
      </c>
      <c r="C338">
        <v>1.5</v>
      </c>
      <c r="D338">
        <v>92.4</v>
      </c>
      <c r="E338">
        <v>5.5</v>
      </c>
      <c r="F338" t="s">
        <v>18</v>
      </c>
      <c r="G338" t="s">
        <v>14</v>
      </c>
      <c r="H338" t="s">
        <v>15</v>
      </c>
      <c r="I338" t="s">
        <v>15</v>
      </c>
      <c r="J338">
        <v>83.1</v>
      </c>
      <c r="K338">
        <v>87.1</v>
      </c>
      <c r="L338" t="s">
        <v>20</v>
      </c>
    </row>
    <row r="339" spans="1:12" x14ac:dyDescent="0.35">
      <c r="A339">
        <v>338</v>
      </c>
      <c r="B339" t="s">
        <v>12</v>
      </c>
      <c r="C339">
        <v>4.5999999999999996</v>
      </c>
      <c r="D339">
        <v>91.2</v>
      </c>
      <c r="E339">
        <v>8.6</v>
      </c>
      <c r="F339" t="s">
        <v>13</v>
      </c>
      <c r="G339" t="s">
        <v>14</v>
      </c>
      <c r="H339" t="s">
        <v>15</v>
      </c>
      <c r="I339" t="s">
        <v>15</v>
      </c>
      <c r="J339">
        <v>60.3</v>
      </c>
      <c r="K339">
        <v>94.9</v>
      </c>
      <c r="L339" t="s">
        <v>16</v>
      </c>
    </row>
    <row r="340" spans="1:12" x14ac:dyDescent="0.35">
      <c r="A340">
        <v>339</v>
      </c>
      <c r="B340" t="s">
        <v>17</v>
      </c>
      <c r="C340">
        <v>3.8</v>
      </c>
      <c r="D340">
        <v>75.599999999999994</v>
      </c>
      <c r="E340">
        <v>9.1999999999999993</v>
      </c>
      <c r="F340" t="s">
        <v>13</v>
      </c>
      <c r="G340" t="s">
        <v>14</v>
      </c>
      <c r="H340" t="s">
        <v>15</v>
      </c>
      <c r="I340" t="s">
        <v>15</v>
      </c>
      <c r="J340">
        <v>63.7</v>
      </c>
      <c r="K340">
        <v>76.099999999999994</v>
      </c>
      <c r="L340" t="s">
        <v>22</v>
      </c>
    </row>
    <row r="341" spans="1:12" x14ac:dyDescent="0.35">
      <c r="A341">
        <v>340</v>
      </c>
      <c r="B341" t="s">
        <v>17</v>
      </c>
      <c r="C341">
        <v>3.2</v>
      </c>
      <c r="D341">
        <v>95.9</v>
      </c>
      <c r="E341">
        <v>6.8</v>
      </c>
      <c r="F341" t="s">
        <v>13</v>
      </c>
      <c r="G341" t="s">
        <v>14</v>
      </c>
      <c r="H341" t="s">
        <v>15</v>
      </c>
      <c r="I341" t="s">
        <v>15</v>
      </c>
      <c r="J341">
        <v>54.1</v>
      </c>
      <c r="K341">
        <v>85.1</v>
      </c>
      <c r="L341" t="s">
        <v>20</v>
      </c>
    </row>
    <row r="342" spans="1:12" x14ac:dyDescent="0.35">
      <c r="A342">
        <v>341</v>
      </c>
      <c r="B342" t="s">
        <v>12</v>
      </c>
      <c r="C342">
        <v>3.5</v>
      </c>
      <c r="D342">
        <v>79.599999999999994</v>
      </c>
      <c r="E342">
        <v>8</v>
      </c>
      <c r="F342" t="s">
        <v>18</v>
      </c>
      <c r="G342" t="s">
        <v>14</v>
      </c>
      <c r="H342" t="s">
        <v>14</v>
      </c>
      <c r="I342" t="s">
        <v>15</v>
      </c>
      <c r="J342">
        <v>74.900000000000006</v>
      </c>
      <c r="K342">
        <v>96.3</v>
      </c>
      <c r="L342" t="s">
        <v>16</v>
      </c>
    </row>
    <row r="343" spans="1:12" x14ac:dyDescent="0.35">
      <c r="A343">
        <v>342</v>
      </c>
      <c r="B343" t="s">
        <v>17</v>
      </c>
      <c r="C343">
        <v>4</v>
      </c>
      <c r="D343">
        <v>93.1</v>
      </c>
      <c r="E343">
        <v>8.4</v>
      </c>
      <c r="F343" t="s">
        <v>18</v>
      </c>
      <c r="G343" t="s">
        <v>14</v>
      </c>
      <c r="H343" t="s">
        <v>14</v>
      </c>
      <c r="I343" t="s">
        <v>15</v>
      </c>
      <c r="J343">
        <v>78</v>
      </c>
      <c r="K343">
        <v>100</v>
      </c>
      <c r="L343" t="s">
        <v>16</v>
      </c>
    </row>
    <row r="344" spans="1:12" x14ac:dyDescent="0.35">
      <c r="A344">
        <v>343</v>
      </c>
      <c r="B344" t="s">
        <v>12</v>
      </c>
      <c r="C344">
        <v>2.7</v>
      </c>
      <c r="D344">
        <v>88.7</v>
      </c>
      <c r="E344">
        <v>5.9</v>
      </c>
      <c r="F344" t="s">
        <v>23</v>
      </c>
      <c r="G344" t="s">
        <v>14</v>
      </c>
      <c r="H344" t="s">
        <v>15</v>
      </c>
      <c r="I344" t="s">
        <v>15</v>
      </c>
      <c r="J344">
        <v>53.8</v>
      </c>
      <c r="K344">
        <v>92</v>
      </c>
      <c r="L344" t="s">
        <v>16</v>
      </c>
    </row>
    <row r="345" spans="1:12" x14ac:dyDescent="0.35">
      <c r="A345">
        <v>344</v>
      </c>
      <c r="B345" t="s">
        <v>17</v>
      </c>
      <c r="C345">
        <v>2.2999999999999998</v>
      </c>
      <c r="D345">
        <v>100</v>
      </c>
      <c r="E345">
        <v>6.2</v>
      </c>
      <c r="F345" t="s">
        <v>24</v>
      </c>
      <c r="G345" t="s">
        <v>14</v>
      </c>
      <c r="H345" t="s">
        <v>14</v>
      </c>
      <c r="I345" t="s">
        <v>15</v>
      </c>
      <c r="J345">
        <v>64.5</v>
      </c>
      <c r="K345">
        <v>77.2</v>
      </c>
      <c r="L345" t="s">
        <v>22</v>
      </c>
    </row>
    <row r="346" spans="1:12" x14ac:dyDescent="0.35">
      <c r="A346">
        <v>345</v>
      </c>
      <c r="B346" t="s">
        <v>12</v>
      </c>
      <c r="C346">
        <v>3.8</v>
      </c>
      <c r="D346">
        <v>82.8</v>
      </c>
      <c r="E346">
        <v>8.3000000000000007</v>
      </c>
      <c r="F346" t="s">
        <v>18</v>
      </c>
      <c r="G346" t="s">
        <v>14</v>
      </c>
      <c r="H346" t="s">
        <v>15</v>
      </c>
      <c r="I346" t="s">
        <v>15</v>
      </c>
      <c r="J346">
        <v>53.8</v>
      </c>
      <c r="K346">
        <v>97.5</v>
      </c>
      <c r="L346" t="s">
        <v>16</v>
      </c>
    </row>
    <row r="347" spans="1:12" x14ac:dyDescent="0.35">
      <c r="A347">
        <v>346</v>
      </c>
      <c r="B347" t="s">
        <v>12</v>
      </c>
      <c r="C347">
        <v>2</v>
      </c>
      <c r="D347">
        <v>81.5</v>
      </c>
      <c r="E347">
        <v>8.8000000000000007</v>
      </c>
      <c r="F347" t="s">
        <v>19</v>
      </c>
      <c r="G347" t="s">
        <v>14</v>
      </c>
      <c r="H347" t="s">
        <v>14</v>
      </c>
      <c r="I347" t="s">
        <v>14</v>
      </c>
      <c r="J347">
        <v>59.2</v>
      </c>
      <c r="K347">
        <v>70.599999999999994</v>
      </c>
      <c r="L347" t="s">
        <v>22</v>
      </c>
    </row>
    <row r="348" spans="1:12" x14ac:dyDescent="0.35">
      <c r="A348">
        <v>347</v>
      </c>
      <c r="B348" t="s">
        <v>12</v>
      </c>
      <c r="C348">
        <v>4.0999999999999996</v>
      </c>
      <c r="D348">
        <v>84.8</v>
      </c>
      <c r="E348">
        <v>7.5</v>
      </c>
      <c r="F348" t="s">
        <v>18</v>
      </c>
      <c r="G348" t="s">
        <v>14</v>
      </c>
      <c r="H348" t="s">
        <v>15</v>
      </c>
      <c r="I348" t="s">
        <v>15</v>
      </c>
      <c r="J348">
        <v>76.599999999999994</v>
      </c>
      <c r="K348">
        <v>87.2</v>
      </c>
      <c r="L348" t="s">
        <v>20</v>
      </c>
    </row>
    <row r="349" spans="1:12" x14ac:dyDescent="0.35">
      <c r="A349">
        <v>348</v>
      </c>
      <c r="B349" t="s">
        <v>17</v>
      </c>
      <c r="C349">
        <v>0.9</v>
      </c>
      <c r="D349">
        <v>82</v>
      </c>
      <c r="E349">
        <v>5.7</v>
      </c>
      <c r="F349" t="s">
        <v>23</v>
      </c>
      <c r="G349" t="s">
        <v>14</v>
      </c>
      <c r="H349" t="s">
        <v>15</v>
      </c>
      <c r="I349" t="s">
        <v>15</v>
      </c>
      <c r="J349">
        <v>61.2</v>
      </c>
      <c r="K349">
        <v>69</v>
      </c>
      <c r="L349" t="s">
        <v>21</v>
      </c>
    </row>
    <row r="350" spans="1:12" x14ac:dyDescent="0.35">
      <c r="A350">
        <v>349</v>
      </c>
      <c r="B350" t="s">
        <v>17</v>
      </c>
      <c r="C350">
        <v>5</v>
      </c>
      <c r="D350">
        <v>93</v>
      </c>
      <c r="E350">
        <v>9.1999999999999993</v>
      </c>
      <c r="F350" t="s">
        <v>23</v>
      </c>
      <c r="G350" t="s">
        <v>14</v>
      </c>
      <c r="H350" t="s">
        <v>14</v>
      </c>
      <c r="I350" t="s">
        <v>14</v>
      </c>
      <c r="J350">
        <v>66.400000000000006</v>
      </c>
      <c r="K350">
        <v>90.2</v>
      </c>
      <c r="L350" t="s">
        <v>16</v>
      </c>
    </row>
    <row r="351" spans="1:12" x14ac:dyDescent="0.35">
      <c r="A351">
        <v>350</v>
      </c>
      <c r="B351" t="s">
        <v>12</v>
      </c>
      <c r="C351">
        <v>4.2</v>
      </c>
      <c r="D351">
        <v>68.8</v>
      </c>
      <c r="E351">
        <v>6.2</v>
      </c>
      <c r="F351" t="s">
        <v>23</v>
      </c>
      <c r="G351" t="s">
        <v>14</v>
      </c>
      <c r="H351" t="s">
        <v>14</v>
      </c>
      <c r="I351" t="s">
        <v>14</v>
      </c>
      <c r="J351">
        <v>50.5</v>
      </c>
      <c r="K351">
        <v>74</v>
      </c>
      <c r="L351" t="s">
        <v>22</v>
      </c>
    </row>
    <row r="352" spans="1:12" x14ac:dyDescent="0.35">
      <c r="A352">
        <v>351</v>
      </c>
      <c r="B352" t="s">
        <v>17</v>
      </c>
      <c r="C352">
        <v>3.9</v>
      </c>
      <c r="D352">
        <v>74.5</v>
      </c>
      <c r="E352">
        <v>6.4</v>
      </c>
      <c r="F352" t="s">
        <v>19</v>
      </c>
      <c r="G352" t="s">
        <v>14</v>
      </c>
      <c r="H352" t="s">
        <v>15</v>
      </c>
      <c r="I352" t="s">
        <v>15</v>
      </c>
      <c r="J352">
        <v>72.2</v>
      </c>
      <c r="K352">
        <v>75.3</v>
      </c>
      <c r="L352" t="s">
        <v>22</v>
      </c>
    </row>
    <row r="353" spans="1:12" x14ac:dyDescent="0.35">
      <c r="A353">
        <v>352</v>
      </c>
      <c r="B353" t="s">
        <v>12</v>
      </c>
      <c r="C353">
        <v>5</v>
      </c>
      <c r="D353">
        <v>74.3</v>
      </c>
      <c r="E353">
        <v>7.2</v>
      </c>
      <c r="F353" t="s">
        <v>18</v>
      </c>
      <c r="G353" t="s">
        <v>14</v>
      </c>
      <c r="H353" t="s">
        <v>15</v>
      </c>
      <c r="I353" t="s">
        <v>15</v>
      </c>
      <c r="J353">
        <v>69.5</v>
      </c>
      <c r="K353">
        <v>86.5</v>
      </c>
      <c r="L353" t="s">
        <v>20</v>
      </c>
    </row>
    <row r="354" spans="1:12" x14ac:dyDescent="0.35">
      <c r="A354">
        <v>353</v>
      </c>
      <c r="B354" t="s">
        <v>12</v>
      </c>
      <c r="C354">
        <v>6</v>
      </c>
      <c r="D354">
        <v>94.5</v>
      </c>
      <c r="E354">
        <v>8.6999999999999993</v>
      </c>
      <c r="F354" t="s">
        <v>24</v>
      </c>
      <c r="G354" t="s">
        <v>14</v>
      </c>
      <c r="H354" t="s">
        <v>14</v>
      </c>
      <c r="I354" t="s">
        <v>15</v>
      </c>
      <c r="J354">
        <v>61.3</v>
      </c>
      <c r="K354">
        <v>100</v>
      </c>
      <c r="L354" t="s">
        <v>16</v>
      </c>
    </row>
    <row r="355" spans="1:12" x14ac:dyDescent="0.35">
      <c r="A355">
        <v>354</v>
      </c>
      <c r="B355" t="s">
        <v>17</v>
      </c>
      <c r="C355">
        <v>5</v>
      </c>
      <c r="D355">
        <v>100</v>
      </c>
      <c r="E355">
        <v>7.8</v>
      </c>
      <c r="F355" t="s">
        <v>18</v>
      </c>
      <c r="G355" t="s">
        <v>14</v>
      </c>
      <c r="H355" t="s">
        <v>15</v>
      </c>
      <c r="I355" t="s">
        <v>14</v>
      </c>
      <c r="J355">
        <v>67.7</v>
      </c>
      <c r="K355">
        <v>93.6</v>
      </c>
      <c r="L355" t="s">
        <v>16</v>
      </c>
    </row>
    <row r="356" spans="1:12" x14ac:dyDescent="0.35">
      <c r="A356">
        <v>355</v>
      </c>
      <c r="B356" t="s">
        <v>17</v>
      </c>
      <c r="C356">
        <v>0.7</v>
      </c>
      <c r="D356">
        <v>84</v>
      </c>
      <c r="E356">
        <v>7.3</v>
      </c>
      <c r="F356" t="s">
        <v>23</v>
      </c>
      <c r="G356" t="s">
        <v>14</v>
      </c>
      <c r="H356" t="s">
        <v>14</v>
      </c>
      <c r="I356" t="s">
        <v>14</v>
      </c>
      <c r="J356">
        <v>72.2</v>
      </c>
      <c r="K356">
        <v>72</v>
      </c>
      <c r="L356" t="s">
        <v>22</v>
      </c>
    </row>
    <row r="357" spans="1:12" x14ac:dyDescent="0.35">
      <c r="A357">
        <v>356</v>
      </c>
      <c r="B357" t="s">
        <v>12</v>
      </c>
      <c r="C357">
        <v>1.6</v>
      </c>
      <c r="D357">
        <v>83.3</v>
      </c>
      <c r="E357">
        <v>7.4</v>
      </c>
      <c r="F357" t="s">
        <v>23</v>
      </c>
      <c r="G357" t="s">
        <v>14</v>
      </c>
      <c r="H357" t="s">
        <v>14</v>
      </c>
      <c r="I357" t="s">
        <v>15</v>
      </c>
      <c r="J357">
        <v>60.2</v>
      </c>
      <c r="K357">
        <v>76.2</v>
      </c>
      <c r="L357" t="s">
        <v>22</v>
      </c>
    </row>
    <row r="358" spans="1:12" x14ac:dyDescent="0.35">
      <c r="A358">
        <v>357</v>
      </c>
      <c r="B358" t="s">
        <v>17</v>
      </c>
      <c r="C358">
        <v>2.6</v>
      </c>
      <c r="D358">
        <v>85.7</v>
      </c>
      <c r="E358">
        <v>6.9</v>
      </c>
      <c r="F358" t="s">
        <v>23</v>
      </c>
      <c r="G358" t="s">
        <v>14</v>
      </c>
      <c r="H358" t="s">
        <v>15</v>
      </c>
      <c r="I358" t="s">
        <v>15</v>
      </c>
      <c r="J358">
        <v>52.3</v>
      </c>
      <c r="K358">
        <v>80.900000000000006</v>
      </c>
      <c r="L358" t="s">
        <v>20</v>
      </c>
    </row>
    <row r="359" spans="1:12" x14ac:dyDescent="0.35">
      <c r="A359">
        <v>358</v>
      </c>
      <c r="B359" t="s">
        <v>17</v>
      </c>
      <c r="C359">
        <v>3.5</v>
      </c>
      <c r="D359">
        <v>96.6</v>
      </c>
      <c r="E359">
        <v>7.5</v>
      </c>
      <c r="F359" t="s">
        <v>18</v>
      </c>
      <c r="G359" t="s">
        <v>14</v>
      </c>
      <c r="H359" t="s">
        <v>15</v>
      </c>
      <c r="I359" t="s">
        <v>14</v>
      </c>
      <c r="J359">
        <v>91.7</v>
      </c>
      <c r="K359">
        <v>85.3</v>
      </c>
      <c r="L359" t="s">
        <v>20</v>
      </c>
    </row>
    <row r="360" spans="1:12" x14ac:dyDescent="0.35">
      <c r="A360">
        <v>359</v>
      </c>
      <c r="B360" t="s">
        <v>12</v>
      </c>
      <c r="C360">
        <v>4.3</v>
      </c>
      <c r="D360">
        <v>75.7</v>
      </c>
      <c r="E360">
        <v>3.8</v>
      </c>
      <c r="F360" t="s">
        <v>24</v>
      </c>
      <c r="G360" t="s">
        <v>14</v>
      </c>
      <c r="H360" t="s">
        <v>15</v>
      </c>
      <c r="I360" t="s">
        <v>15</v>
      </c>
      <c r="J360">
        <v>62.4</v>
      </c>
      <c r="K360">
        <v>81.900000000000006</v>
      </c>
      <c r="L360" t="s">
        <v>20</v>
      </c>
    </row>
    <row r="361" spans="1:12" x14ac:dyDescent="0.35">
      <c r="A361">
        <v>360</v>
      </c>
      <c r="B361" t="s">
        <v>12</v>
      </c>
      <c r="C361">
        <v>2.4</v>
      </c>
      <c r="D361">
        <v>87.4</v>
      </c>
      <c r="E361">
        <v>6.4</v>
      </c>
      <c r="F361" t="s">
        <v>18</v>
      </c>
      <c r="G361" t="s">
        <v>14</v>
      </c>
      <c r="H361" t="s">
        <v>15</v>
      </c>
      <c r="I361" t="s">
        <v>15</v>
      </c>
      <c r="J361">
        <v>68.8</v>
      </c>
      <c r="K361">
        <v>78</v>
      </c>
      <c r="L361" t="s">
        <v>22</v>
      </c>
    </row>
    <row r="362" spans="1:12" x14ac:dyDescent="0.35">
      <c r="A362">
        <v>361</v>
      </c>
      <c r="B362" t="s">
        <v>17</v>
      </c>
      <c r="C362">
        <v>3.8</v>
      </c>
      <c r="D362">
        <v>94.8</v>
      </c>
      <c r="E362">
        <v>7.1</v>
      </c>
      <c r="F362" t="s">
        <v>18</v>
      </c>
      <c r="G362" t="s">
        <v>14</v>
      </c>
      <c r="H362" t="s">
        <v>14</v>
      </c>
      <c r="I362" t="s">
        <v>14</v>
      </c>
      <c r="J362">
        <v>82.1</v>
      </c>
      <c r="K362">
        <v>93.6</v>
      </c>
      <c r="L362" t="s">
        <v>16</v>
      </c>
    </row>
    <row r="363" spans="1:12" x14ac:dyDescent="0.35">
      <c r="A363">
        <v>362</v>
      </c>
      <c r="B363" t="s">
        <v>12</v>
      </c>
      <c r="C363">
        <v>2.4</v>
      </c>
      <c r="D363">
        <v>90</v>
      </c>
      <c r="E363">
        <v>5.4</v>
      </c>
      <c r="F363" t="s">
        <v>23</v>
      </c>
      <c r="G363" t="s">
        <v>14</v>
      </c>
      <c r="H363" t="s">
        <v>15</v>
      </c>
      <c r="I363" t="s">
        <v>14</v>
      </c>
      <c r="J363">
        <v>100</v>
      </c>
      <c r="K363">
        <v>95.1</v>
      </c>
      <c r="L363" t="s">
        <v>16</v>
      </c>
    </row>
    <row r="364" spans="1:12" x14ac:dyDescent="0.35">
      <c r="A364">
        <v>363</v>
      </c>
      <c r="B364" t="s">
        <v>12</v>
      </c>
      <c r="C364">
        <v>2.6</v>
      </c>
      <c r="D364">
        <v>86.9</v>
      </c>
      <c r="E364">
        <v>7.3</v>
      </c>
      <c r="F364" t="s">
        <v>13</v>
      </c>
      <c r="G364" t="s">
        <v>14</v>
      </c>
      <c r="H364" t="s">
        <v>14</v>
      </c>
      <c r="I364" t="s">
        <v>14</v>
      </c>
      <c r="J364">
        <v>55.1</v>
      </c>
      <c r="K364">
        <v>66.7</v>
      </c>
      <c r="L364" t="s">
        <v>21</v>
      </c>
    </row>
    <row r="365" spans="1:12" x14ac:dyDescent="0.35">
      <c r="A365">
        <v>364</v>
      </c>
      <c r="B365" t="s">
        <v>17</v>
      </c>
      <c r="C365">
        <v>1.4</v>
      </c>
      <c r="D365">
        <v>95</v>
      </c>
      <c r="E365">
        <v>6.6</v>
      </c>
      <c r="F365" t="s">
        <v>23</v>
      </c>
      <c r="G365" t="s">
        <v>14</v>
      </c>
      <c r="H365" t="s">
        <v>14</v>
      </c>
      <c r="I365" t="s">
        <v>15</v>
      </c>
      <c r="J365">
        <v>75.400000000000006</v>
      </c>
      <c r="K365">
        <v>75.599999999999994</v>
      </c>
      <c r="L365" t="s">
        <v>22</v>
      </c>
    </row>
    <row r="366" spans="1:12" x14ac:dyDescent="0.35">
      <c r="A366">
        <v>365</v>
      </c>
      <c r="B366" t="s">
        <v>12</v>
      </c>
      <c r="C366">
        <v>2.1</v>
      </c>
      <c r="D366">
        <v>58</v>
      </c>
      <c r="E366">
        <v>8.9</v>
      </c>
      <c r="F366" t="s">
        <v>13</v>
      </c>
      <c r="G366" t="s">
        <v>14</v>
      </c>
      <c r="H366" t="s">
        <v>14</v>
      </c>
      <c r="I366" t="s">
        <v>15</v>
      </c>
      <c r="J366">
        <v>61.5</v>
      </c>
      <c r="K366">
        <v>57.4</v>
      </c>
      <c r="L366" t="s">
        <v>25</v>
      </c>
    </row>
    <row r="367" spans="1:12" x14ac:dyDescent="0.35">
      <c r="A367">
        <v>366</v>
      </c>
      <c r="B367" t="s">
        <v>12</v>
      </c>
      <c r="C367">
        <v>1.5</v>
      </c>
      <c r="D367">
        <v>91.8</v>
      </c>
      <c r="E367">
        <v>8.6999999999999993</v>
      </c>
      <c r="F367" t="s">
        <v>18</v>
      </c>
      <c r="G367" t="s">
        <v>14</v>
      </c>
      <c r="H367" t="s">
        <v>14</v>
      </c>
      <c r="I367" t="s">
        <v>15</v>
      </c>
      <c r="J367">
        <v>63.5</v>
      </c>
      <c r="K367">
        <v>75.400000000000006</v>
      </c>
      <c r="L367" t="s">
        <v>22</v>
      </c>
    </row>
    <row r="368" spans="1:12" x14ac:dyDescent="0.35">
      <c r="A368">
        <v>367</v>
      </c>
      <c r="B368" t="s">
        <v>17</v>
      </c>
      <c r="C368">
        <v>2</v>
      </c>
      <c r="D368">
        <v>78.5</v>
      </c>
      <c r="E368">
        <v>6.2</v>
      </c>
      <c r="F368" t="s">
        <v>23</v>
      </c>
      <c r="G368" t="s">
        <v>14</v>
      </c>
      <c r="H368" t="s">
        <v>14</v>
      </c>
      <c r="I368" t="s">
        <v>15</v>
      </c>
      <c r="J368">
        <v>61.4</v>
      </c>
      <c r="K368">
        <v>80.5</v>
      </c>
      <c r="L368" t="s">
        <v>20</v>
      </c>
    </row>
    <row r="369" spans="1:12" x14ac:dyDescent="0.35">
      <c r="A369">
        <v>368</v>
      </c>
      <c r="B369" t="s">
        <v>17</v>
      </c>
      <c r="C369">
        <v>5.0999999999999996</v>
      </c>
      <c r="D369">
        <v>66.7</v>
      </c>
      <c r="E369">
        <v>6.6</v>
      </c>
      <c r="F369" t="s">
        <v>13</v>
      </c>
      <c r="G369" t="s">
        <v>15</v>
      </c>
      <c r="H369" t="s">
        <v>14</v>
      </c>
      <c r="I369" t="s">
        <v>15</v>
      </c>
      <c r="J369">
        <v>56.5</v>
      </c>
      <c r="K369">
        <v>75.099999999999994</v>
      </c>
      <c r="L369" t="s">
        <v>22</v>
      </c>
    </row>
    <row r="370" spans="1:12" x14ac:dyDescent="0.35">
      <c r="A370">
        <v>369</v>
      </c>
      <c r="B370" t="s">
        <v>12</v>
      </c>
      <c r="C370">
        <v>2.1</v>
      </c>
      <c r="D370">
        <v>90.1</v>
      </c>
      <c r="E370">
        <v>6.7</v>
      </c>
      <c r="F370" t="s">
        <v>18</v>
      </c>
      <c r="G370" t="s">
        <v>15</v>
      </c>
      <c r="H370" t="s">
        <v>14</v>
      </c>
      <c r="I370" t="s">
        <v>15</v>
      </c>
      <c r="J370">
        <v>69.5</v>
      </c>
      <c r="K370">
        <v>67.8</v>
      </c>
      <c r="L370" t="s">
        <v>21</v>
      </c>
    </row>
    <row r="371" spans="1:12" x14ac:dyDescent="0.35">
      <c r="A371">
        <v>370</v>
      </c>
      <c r="B371" t="s">
        <v>12</v>
      </c>
      <c r="C371">
        <v>7.4</v>
      </c>
      <c r="D371">
        <v>98.7</v>
      </c>
      <c r="E371">
        <v>6.3</v>
      </c>
      <c r="F371" t="s">
        <v>23</v>
      </c>
      <c r="G371" t="s">
        <v>14</v>
      </c>
      <c r="H371" t="s">
        <v>14</v>
      </c>
      <c r="I371" t="s">
        <v>15</v>
      </c>
      <c r="J371">
        <v>52.3</v>
      </c>
      <c r="K371">
        <v>97.4</v>
      </c>
      <c r="L371" t="s">
        <v>16</v>
      </c>
    </row>
    <row r="372" spans="1:12" x14ac:dyDescent="0.35">
      <c r="A372">
        <v>371</v>
      </c>
      <c r="B372" t="s">
        <v>17</v>
      </c>
      <c r="C372">
        <v>4.2</v>
      </c>
      <c r="D372">
        <v>83.6</v>
      </c>
      <c r="E372">
        <v>7</v>
      </c>
      <c r="F372" t="s">
        <v>13</v>
      </c>
      <c r="G372" t="s">
        <v>14</v>
      </c>
      <c r="H372" t="s">
        <v>15</v>
      </c>
      <c r="I372" t="s">
        <v>14</v>
      </c>
      <c r="J372">
        <v>81.400000000000006</v>
      </c>
      <c r="K372">
        <v>80.2</v>
      </c>
      <c r="L372" t="s">
        <v>20</v>
      </c>
    </row>
    <row r="373" spans="1:12" x14ac:dyDescent="0.35">
      <c r="A373">
        <v>372</v>
      </c>
      <c r="B373" t="s">
        <v>17</v>
      </c>
      <c r="C373">
        <v>3.8</v>
      </c>
      <c r="D373">
        <v>94.5</v>
      </c>
      <c r="E373">
        <v>5.9</v>
      </c>
      <c r="F373" t="s">
        <v>13</v>
      </c>
      <c r="G373" t="s">
        <v>14</v>
      </c>
      <c r="H373" t="s">
        <v>14</v>
      </c>
      <c r="I373" t="s">
        <v>15</v>
      </c>
      <c r="J373">
        <v>70.7</v>
      </c>
      <c r="K373">
        <v>82.8</v>
      </c>
      <c r="L373" t="s">
        <v>20</v>
      </c>
    </row>
    <row r="374" spans="1:12" x14ac:dyDescent="0.35">
      <c r="A374">
        <v>373</v>
      </c>
      <c r="B374" t="s">
        <v>17</v>
      </c>
      <c r="C374">
        <v>2.2000000000000002</v>
      </c>
      <c r="D374">
        <v>100</v>
      </c>
      <c r="E374">
        <v>5.4</v>
      </c>
      <c r="F374" t="s">
        <v>13</v>
      </c>
      <c r="G374" t="s">
        <v>14</v>
      </c>
      <c r="H374" t="s">
        <v>14</v>
      </c>
      <c r="I374" t="s">
        <v>15</v>
      </c>
      <c r="J374">
        <v>75.099999999999994</v>
      </c>
      <c r="K374">
        <v>87.8</v>
      </c>
      <c r="L374" t="s">
        <v>20</v>
      </c>
    </row>
    <row r="375" spans="1:12" x14ac:dyDescent="0.35">
      <c r="A375">
        <v>374</v>
      </c>
      <c r="B375" t="s">
        <v>17</v>
      </c>
      <c r="C375">
        <v>4.5999999999999996</v>
      </c>
      <c r="D375">
        <v>98.1</v>
      </c>
      <c r="E375">
        <v>7.5</v>
      </c>
      <c r="F375" t="s">
        <v>23</v>
      </c>
      <c r="G375" t="s">
        <v>14</v>
      </c>
      <c r="H375" t="s">
        <v>15</v>
      </c>
      <c r="I375" t="s">
        <v>15</v>
      </c>
      <c r="J375">
        <v>64.400000000000006</v>
      </c>
      <c r="K375">
        <v>85.8</v>
      </c>
      <c r="L375" t="s">
        <v>20</v>
      </c>
    </row>
    <row r="376" spans="1:12" x14ac:dyDescent="0.35">
      <c r="A376">
        <v>375</v>
      </c>
      <c r="B376" t="s">
        <v>12</v>
      </c>
      <c r="C376">
        <v>2.6</v>
      </c>
      <c r="D376">
        <v>100</v>
      </c>
      <c r="E376">
        <v>7.6</v>
      </c>
      <c r="F376" t="s">
        <v>23</v>
      </c>
      <c r="G376" t="s">
        <v>14</v>
      </c>
      <c r="H376" t="s">
        <v>15</v>
      </c>
      <c r="I376" t="s">
        <v>15</v>
      </c>
      <c r="J376">
        <v>65.599999999999994</v>
      </c>
      <c r="K376">
        <v>91.7</v>
      </c>
      <c r="L376" t="s">
        <v>16</v>
      </c>
    </row>
    <row r="377" spans="1:12" x14ac:dyDescent="0.35">
      <c r="A377">
        <v>376</v>
      </c>
      <c r="B377" t="s">
        <v>17</v>
      </c>
      <c r="C377">
        <v>3.7</v>
      </c>
      <c r="D377">
        <v>92.4</v>
      </c>
      <c r="E377">
        <v>5.8</v>
      </c>
      <c r="F377" t="s">
        <v>23</v>
      </c>
      <c r="G377" t="s">
        <v>14</v>
      </c>
      <c r="H377" t="s">
        <v>15</v>
      </c>
      <c r="I377" t="s">
        <v>14</v>
      </c>
      <c r="J377">
        <v>73.5</v>
      </c>
      <c r="K377">
        <v>84.9</v>
      </c>
      <c r="L377" t="s">
        <v>20</v>
      </c>
    </row>
    <row r="378" spans="1:12" x14ac:dyDescent="0.35">
      <c r="A378">
        <v>377</v>
      </c>
      <c r="B378" t="s">
        <v>17</v>
      </c>
      <c r="C378">
        <v>7.3</v>
      </c>
      <c r="D378">
        <v>85.8</v>
      </c>
      <c r="E378">
        <v>7.9</v>
      </c>
      <c r="F378" t="s">
        <v>18</v>
      </c>
      <c r="G378" t="s">
        <v>14</v>
      </c>
      <c r="H378" t="s">
        <v>14</v>
      </c>
      <c r="I378" t="s">
        <v>15</v>
      </c>
      <c r="J378">
        <v>56</v>
      </c>
      <c r="K378">
        <v>99.3</v>
      </c>
      <c r="L378" t="s">
        <v>16</v>
      </c>
    </row>
    <row r="379" spans="1:12" x14ac:dyDescent="0.35">
      <c r="A379">
        <v>378</v>
      </c>
      <c r="B379" t="s">
        <v>12</v>
      </c>
      <c r="C379">
        <v>3.4</v>
      </c>
      <c r="D379">
        <v>69</v>
      </c>
      <c r="E379">
        <v>6</v>
      </c>
      <c r="F379" t="s">
        <v>23</v>
      </c>
      <c r="G379" t="s">
        <v>14</v>
      </c>
      <c r="H379" t="s">
        <v>15</v>
      </c>
      <c r="I379" t="s">
        <v>15</v>
      </c>
      <c r="J379">
        <v>65.7</v>
      </c>
      <c r="K379">
        <v>74.3</v>
      </c>
      <c r="L379" t="s">
        <v>22</v>
      </c>
    </row>
    <row r="380" spans="1:12" x14ac:dyDescent="0.35">
      <c r="A380">
        <v>379</v>
      </c>
      <c r="B380" t="s">
        <v>17</v>
      </c>
      <c r="C380">
        <v>5.2</v>
      </c>
      <c r="D380">
        <v>82.5</v>
      </c>
      <c r="E380">
        <v>7.1</v>
      </c>
      <c r="F380" t="s">
        <v>23</v>
      </c>
      <c r="G380" t="s">
        <v>14</v>
      </c>
      <c r="H380" t="s">
        <v>14</v>
      </c>
      <c r="I380" t="s">
        <v>15</v>
      </c>
      <c r="J380">
        <v>59.7</v>
      </c>
      <c r="K380">
        <v>93.3</v>
      </c>
      <c r="L380" t="s">
        <v>16</v>
      </c>
    </row>
    <row r="381" spans="1:12" x14ac:dyDescent="0.35">
      <c r="A381">
        <v>380</v>
      </c>
      <c r="B381" t="s">
        <v>12</v>
      </c>
      <c r="C381">
        <v>2.4</v>
      </c>
      <c r="D381">
        <v>76.599999999999994</v>
      </c>
      <c r="E381">
        <v>7.8</v>
      </c>
      <c r="F381" t="s">
        <v>23</v>
      </c>
      <c r="G381" t="s">
        <v>14</v>
      </c>
      <c r="H381" t="s">
        <v>14</v>
      </c>
      <c r="I381" t="s">
        <v>15</v>
      </c>
      <c r="J381">
        <v>59.3</v>
      </c>
      <c r="K381">
        <v>79.400000000000006</v>
      </c>
      <c r="L381" t="s">
        <v>22</v>
      </c>
    </row>
    <row r="382" spans="1:12" x14ac:dyDescent="0.35">
      <c r="A382">
        <v>381</v>
      </c>
      <c r="B382" t="s">
        <v>17</v>
      </c>
      <c r="C382">
        <v>3.4</v>
      </c>
      <c r="D382">
        <v>100</v>
      </c>
      <c r="E382">
        <v>6.8</v>
      </c>
      <c r="F382" t="s">
        <v>13</v>
      </c>
      <c r="G382" t="s">
        <v>15</v>
      </c>
      <c r="H382" t="s">
        <v>14</v>
      </c>
      <c r="I382" t="s">
        <v>15</v>
      </c>
      <c r="J382">
        <v>44.7</v>
      </c>
      <c r="K382">
        <v>77.400000000000006</v>
      </c>
      <c r="L382" t="s">
        <v>22</v>
      </c>
    </row>
    <row r="383" spans="1:12" x14ac:dyDescent="0.35">
      <c r="A383">
        <v>382</v>
      </c>
      <c r="B383" t="s">
        <v>17</v>
      </c>
      <c r="C383">
        <v>6.2</v>
      </c>
      <c r="D383">
        <v>83.2</v>
      </c>
      <c r="E383">
        <v>7.3</v>
      </c>
      <c r="F383" t="s">
        <v>24</v>
      </c>
      <c r="G383" t="s">
        <v>14</v>
      </c>
      <c r="H383" t="s">
        <v>15</v>
      </c>
      <c r="I383" t="s">
        <v>15</v>
      </c>
      <c r="J383">
        <v>86.1</v>
      </c>
      <c r="K383">
        <v>100</v>
      </c>
      <c r="L383" t="s">
        <v>16</v>
      </c>
    </row>
    <row r="384" spans="1:12" x14ac:dyDescent="0.35">
      <c r="A384">
        <v>383</v>
      </c>
      <c r="B384" t="s">
        <v>17</v>
      </c>
      <c r="C384">
        <v>2.6</v>
      </c>
      <c r="D384">
        <v>86.2</v>
      </c>
      <c r="E384">
        <v>6.2</v>
      </c>
      <c r="F384" t="s">
        <v>23</v>
      </c>
      <c r="G384" t="s">
        <v>14</v>
      </c>
      <c r="H384" t="s">
        <v>14</v>
      </c>
      <c r="I384" t="s">
        <v>15</v>
      </c>
      <c r="J384">
        <v>61.8</v>
      </c>
      <c r="K384">
        <v>76.8</v>
      </c>
      <c r="L384" t="s">
        <v>22</v>
      </c>
    </row>
    <row r="385" spans="1:12" x14ac:dyDescent="0.35">
      <c r="A385">
        <v>384</v>
      </c>
      <c r="B385" t="s">
        <v>12</v>
      </c>
      <c r="C385">
        <v>6.2</v>
      </c>
      <c r="D385">
        <v>90.5</v>
      </c>
      <c r="E385">
        <v>6.6</v>
      </c>
      <c r="F385" t="s">
        <v>18</v>
      </c>
      <c r="G385" t="s">
        <v>14</v>
      </c>
      <c r="H385" t="s">
        <v>14</v>
      </c>
      <c r="I385" t="s">
        <v>15</v>
      </c>
      <c r="J385">
        <v>84</v>
      </c>
      <c r="K385">
        <v>100</v>
      </c>
      <c r="L385" t="s">
        <v>16</v>
      </c>
    </row>
    <row r="386" spans="1:12" x14ac:dyDescent="0.35">
      <c r="A386">
        <v>385</v>
      </c>
      <c r="B386" t="s">
        <v>12</v>
      </c>
      <c r="C386">
        <v>4.5999999999999996</v>
      </c>
      <c r="D386">
        <v>85.4</v>
      </c>
      <c r="E386">
        <v>6.6</v>
      </c>
      <c r="F386" t="s">
        <v>13</v>
      </c>
      <c r="G386" t="s">
        <v>15</v>
      </c>
      <c r="H386" t="s">
        <v>14</v>
      </c>
      <c r="I386" t="s">
        <v>15</v>
      </c>
      <c r="J386">
        <v>82.8</v>
      </c>
      <c r="K386">
        <v>88.6</v>
      </c>
      <c r="L386" t="s">
        <v>20</v>
      </c>
    </row>
    <row r="387" spans="1:12" x14ac:dyDescent="0.35">
      <c r="A387">
        <v>386</v>
      </c>
      <c r="B387" t="s">
        <v>17</v>
      </c>
      <c r="C387">
        <v>2.7</v>
      </c>
      <c r="D387">
        <v>100</v>
      </c>
      <c r="E387">
        <v>5.9</v>
      </c>
      <c r="F387" t="s">
        <v>24</v>
      </c>
      <c r="G387" t="s">
        <v>14</v>
      </c>
      <c r="H387" t="s">
        <v>15</v>
      </c>
      <c r="I387" t="s">
        <v>15</v>
      </c>
      <c r="J387">
        <v>54.6</v>
      </c>
      <c r="K387">
        <v>79.099999999999994</v>
      </c>
      <c r="L387" t="s">
        <v>22</v>
      </c>
    </row>
    <row r="388" spans="1:12" x14ac:dyDescent="0.35">
      <c r="A388">
        <v>387</v>
      </c>
      <c r="B388" t="s">
        <v>12</v>
      </c>
      <c r="C388">
        <v>4.4000000000000004</v>
      </c>
      <c r="D388">
        <v>78.8</v>
      </c>
      <c r="E388">
        <v>6.6</v>
      </c>
      <c r="F388" t="s">
        <v>18</v>
      </c>
      <c r="G388" t="s">
        <v>14</v>
      </c>
      <c r="H388" t="s">
        <v>15</v>
      </c>
      <c r="I388" t="s">
        <v>15</v>
      </c>
      <c r="J388">
        <v>56.9</v>
      </c>
      <c r="K388">
        <v>79.400000000000006</v>
      </c>
      <c r="L388" t="s">
        <v>22</v>
      </c>
    </row>
    <row r="389" spans="1:12" x14ac:dyDescent="0.35">
      <c r="A389">
        <v>388</v>
      </c>
      <c r="B389" t="s">
        <v>12</v>
      </c>
      <c r="C389">
        <v>5</v>
      </c>
      <c r="D389">
        <v>86.9</v>
      </c>
      <c r="E389">
        <v>4.9000000000000004</v>
      </c>
      <c r="F389" t="s">
        <v>19</v>
      </c>
      <c r="G389" t="s">
        <v>14</v>
      </c>
      <c r="H389" t="s">
        <v>14</v>
      </c>
      <c r="I389" t="s">
        <v>15</v>
      </c>
      <c r="J389">
        <v>100</v>
      </c>
      <c r="K389">
        <v>100</v>
      </c>
      <c r="L389" t="s">
        <v>16</v>
      </c>
    </row>
    <row r="390" spans="1:12" x14ac:dyDescent="0.35">
      <c r="A390">
        <v>389</v>
      </c>
      <c r="B390" t="s">
        <v>12</v>
      </c>
      <c r="C390">
        <v>4.4000000000000004</v>
      </c>
      <c r="D390">
        <v>77.599999999999994</v>
      </c>
      <c r="E390">
        <v>6.2</v>
      </c>
      <c r="F390" t="s">
        <v>23</v>
      </c>
      <c r="G390" t="s">
        <v>14</v>
      </c>
      <c r="H390" t="s">
        <v>15</v>
      </c>
      <c r="I390" t="s">
        <v>14</v>
      </c>
      <c r="J390">
        <v>91</v>
      </c>
      <c r="K390">
        <v>86.7</v>
      </c>
      <c r="L390" t="s">
        <v>20</v>
      </c>
    </row>
    <row r="391" spans="1:12" x14ac:dyDescent="0.35">
      <c r="A391">
        <v>390</v>
      </c>
      <c r="B391" t="s">
        <v>12</v>
      </c>
      <c r="C391">
        <v>1.1000000000000001</v>
      </c>
      <c r="D391">
        <v>71.8</v>
      </c>
      <c r="E391">
        <v>6.5</v>
      </c>
      <c r="F391" t="s">
        <v>13</v>
      </c>
      <c r="G391" t="s">
        <v>14</v>
      </c>
      <c r="H391" t="s">
        <v>14</v>
      </c>
      <c r="I391" t="s">
        <v>14</v>
      </c>
      <c r="J391">
        <v>69.599999999999994</v>
      </c>
      <c r="K391">
        <v>69.5</v>
      </c>
      <c r="L391" t="s">
        <v>21</v>
      </c>
    </row>
    <row r="392" spans="1:12" x14ac:dyDescent="0.35">
      <c r="A392">
        <v>391</v>
      </c>
      <c r="B392" t="s">
        <v>12</v>
      </c>
      <c r="C392">
        <v>2.4</v>
      </c>
      <c r="D392">
        <v>78.900000000000006</v>
      </c>
      <c r="E392">
        <v>6.5</v>
      </c>
      <c r="F392" t="s">
        <v>18</v>
      </c>
      <c r="G392" t="s">
        <v>14</v>
      </c>
      <c r="H392" t="s">
        <v>15</v>
      </c>
      <c r="I392" t="s">
        <v>15</v>
      </c>
      <c r="J392">
        <v>73.099999999999994</v>
      </c>
      <c r="K392">
        <v>86.3</v>
      </c>
      <c r="L392" t="s">
        <v>20</v>
      </c>
    </row>
    <row r="393" spans="1:12" x14ac:dyDescent="0.35">
      <c r="A393">
        <v>392</v>
      </c>
      <c r="B393" t="s">
        <v>12</v>
      </c>
      <c r="C393">
        <v>3.1</v>
      </c>
      <c r="D393">
        <v>84.6</v>
      </c>
      <c r="E393">
        <v>6.5</v>
      </c>
      <c r="F393" t="s">
        <v>18</v>
      </c>
      <c r="G393" t="s">
        <v>14</v>
      </c>
      <c r="H393" t="s">
        <v>14</v>
      </c>
      <c r="I393" t="s">
        <v>15</v>
      </c>
      <c r="J393">
        <v>62.4</v>
      </c>
      <c r="K393">
        <v>87.3</v>
      </c>
      <c r="L393" t="s">
        <v>20</v>
      </c>
    </row>
    <row r="394" spans="1:12" x14ac:dyDescent="0.35">
      <c r="A394">
        <v>393</v>
      </c>
      <c r="B394" t="s">
        <v>17</v>
      </c>
      <c r="C394">
        <v>3.4</v>
      </c>
      <c r="D394">
        <v>80.7</v>
      </c>
      <c r="E394">
        <v>6.7</v>
      </c>
      <c r="F394" t="s">
        <v>19</v>
      </c>
      <c r="G394" t="s">
        <v>15</v>
      </c>
      <c r="H394" t="s">
        <v>15</v>
      </c>
      <c r="I394" t="s">
        <v>15</v>
      </c>
      <c r="J394">
        <v>75.2</v>
      </c>
      <c r="K394">
        <v>72.099999999999994</v>
      </c>
      <c r="L394" t="s">
        <v>22</v>
      </c>
    </row>
    <row r="395" spans="1:12" x14ac:dyDescent="0.35">
      <c r="A395">
        <v>394</v>
      </c>
      <c r="B395" t="s">
        <v>17</v>
      </c>
      <c r="C395">
        <v>4.4000000000000004</v>
      </c>
      <c r="D395">
        <v>78.099999999999994</v>
      </c>
      <c r="E395">
        <v>7.4</v>
      </c>
      <c r="F395" t="s">
        <v>18</v>
      </c>
      <c r="G395" t="s">
        <v>14</v>
      </c>
      <c r="H395" t="s">
        <v>14</v>
      </c>
      <c r="I395" t="s">
        <v>15</v>
      </c>
      <c r="J395">
        <v>61.4</v>
      </c>
      <c r="K395">
        <v>92.3</v>
      </c>
      <c r="L395" t="s">
        <v>16</v>
      </c>
    </row>
    <row r="396" spans="1:12" x14ac:dyDescent="0.35">
      <c r="A396">
        <v>395</v>
      </c>
      <c r="B396" t="s">
        <v>12</v>
      </c>
      <c r="C396">
        <v>3.8</v>
      </c>
      <c r="D396">
        <v>70.900000000000006</v>
      </c>
      <c r="E396">
        <v>7.8</v>
      </c>
      <c r="F396" t="s">
        <v>23</v>
      </c>
      <c r="G396" t="s">
        <v>14</v>
      </c>
      <c r="H396" t="s">
        <v>15</v>
      </c>
      <c r="I396" t="s">
        <v>14</v>
      </c>
      <c r="J396">
        <v>45.6</v>
      </c>
      <c r="K396">
        <v>67.599999999999994</v>
      </c>
      <c r="L396" t="s">
        <v>21</v>
      </c>
    </row>
    <row r="397" spans="1:12" x14ac:dyDescent="0.35">
      <c r="A397">
        <v>396</v>
      </c>
      <c r="B397" t="s">
        <v>17</v>
      </c>
      <c r="C397">
        <v>1.5</v>
      </c>
      <c r="D397">
        <v>84.2</v>
      </c>
      <c r="E397">
        <v>6</v>
      </c>
      <c r="F397" t="s">
        <v>13</v>
      </c>
      <c r="G397" t="s">
        <v>14</v>
      </c>
      <c r="H397" t="s">
        <v>14</v>
      </c>
      <c r="I397" t="s">
        <v>15</v>
      </c>
      <c r="J397">
        <v>54.1</v>
      </c>
      <c r="K397">
        <v>72.7</v>
      </c>
      <c r="L397" t="s">
        <v>22</v>
      </c>
    </row>
    <row r="398" spans="1:12" x14ac:dyDescent="0.35">
      <c r="A398">
        <v>397</v>
      </c>
      <c r="B398" t="s">
        <v>17</v>
      </c>
      <c r="C398">
        <v>4.0999999999999996</v>
      </c>
      <c r="D398">
        <v>70</v>
      </c>
      <c r="E398">
        <v>5.4</v>
      </c>
      <c r="F398" t="s">
        <v>18</v>
      </c>
      <c r="G398" t="s">
        <v>14</v>
      </c>
      <c r="H398" t="s">
        <v>14</v>
      </c>
      <c r="I398" t="s">
        <v>15</v>
      </c>
      <c r="J398">
        <v>70.3</v>
      </c>
      <c r="K398">
        <v>76.099999999999994</v>
      </c>
      <c r="L398" t="s">
        <v>22</v>
      </c>
    </row>
    <row r="399" spans="1:12" x14ac:dyDescent="0.35">
      <c r="A399">
        <v>398</v>
      </c>
      <c r="B399" t="s">
        <v>17</v>
      </c>
      <c r="C399">
        <v>4.4000000000000004</v>
      </c>
      <c r="D399">
        <v>92.6</v>
      </c>
      <c r="E399">
        <v>5.5</v>
      </c>
      <c r="F399" t="s">
        <v>18</v>
      </c>
      <c r="G399" t="s">
        <v>15</v>
      </c>
      <c r="H399" t="s">
        <v>14</v>
      </c>
      <c r="I399" t="s">
        <v>15</v>
      </c>
      <c r="J399">
        <v>56.4</v>
      </c>
      <c r="K399">
        <v>81.2</v>
      </c>
      <c r="L399" t="s">
        <v>20</v>
      </c>
    </row>
    <row r="400" spans="1:12" x14ac:dyDescent="0.35">
      <c r="A400">
        <v>399</v>
      </c>
      <c r="B400" t="s">
        <v>17</v>
      </c>
      <c r="C400">
        <v>4.3</v>
      </c>
      <c r="D400">
        <v>85.8</v>
      </c>
      <c r="E400">
        <v>6.2</v>
      </c>
      <c r="F400" t="s">
        <v>13</v>
      </c>
      <c r="G400" t="s">
        <v>14</v>
      </c>
      <c r="H400" t="s">
        <v>14</v>
      </c>
      <c r="I400" t="s">
        <v>15</v>
      </c>
      <c r="J400">
        <v>69.2</v>
      </c>
      <c r="K400">
        <v>90.4</v>
      </c>
      <c r="L400" t="s">
        <v>16</v>
      </c>
    </row>
    <row r="401" spans="1:12" x14ac:dyDescent="0.35">
      <c r="A401">
        <v>400</v>
      </c>
      <c r="B401" t="s">
        <v>12</v>
      </c>
      <c r="C401">
        <v>5.0999999999999996</v>
      </c>
      <c r="D401">
        <v>70.400000000000006</v>
      </c>
      <c r="E401">
        <v>6.4</v>
      </c>
      <c r="F401" t="s">
        <v>19</v>
      </c>
      <c r="G401" t="s">
        <v>14</v>
      </c>
      <c r="H401" t="s">
        <v>14</v>
      </c>
      <c r="I401" t="s">
        <v>15</v>
      </c>
      <c r="J401">
        <v>57.1</v>
      </c>
      <c r="K401">
        <v>73.2</v>
      </c>
      <c r="L401" t="s">
        <v>22</v>
      </c>
    </row>
    <row r="402" spans="1:12" x14ac:dyDescent="0.35">
      <c r="A402">
        <v>401</v>
      </c>
      <c r="B402" t="s">
        <v>17</v>
      </c>
      <c r="C402">
        <v>4.8</v>
      </c>
      <c r="D402">
        <v>81.900000000000006</v>
      </c>
      <c r="E402">
        <v>5.9</v>
      </c>
      <c r="F402" t="s">
        <v>13</v>
      </c>
      <c r="G402" t="s">
        <v>14</v>
      </c>
      <c r="H402" t="s">
        <v>15</v>
      </c>
      <c r="I402" t="s">
        <v>14</v>
      </c>
      <c r="J402">
        <v>60.6</v>
      </c>
      <c r="K402">
        <v>85.2</v>
      </c>
      <c r="L402" t="s">
        <v>20</v>
      </c>
    </row>
    <row r="403" spans="1:12" x14ac:dyDescent="0.35">
      <c r="A403">
        <v>402</v>
      </c>
      <c r="B403" t="s">
        <v>17</v>
      </c>
      <c r="C403">
        <v>4.2</v>
      </c>
      <c r="D403">
        <v>77.5</v>
      </c>
      <c r="E403">
        <v>5.2</v>
      </c>
      <c r="F403" t="s">
        <v>13</v>
      </c>
      <c r="G403" t="s">
        <v>14</v>
      </c>
      <c r="H403" t="s">
        <v>14</v>
      </c>
      <c r="I403" t="s">
        <v>15</v>
      </c>
      <c r="J403">
        <v>80.2</v>
      </c>
      <c r="K403">
        <v>96.4</v>
      </c>
      <c r="L403" t="s">
        <v>16</v>
      </c>
    </row>
    <row r="404" spans="1:12" x14ac:dyDescent="0.35">
      <c r="A404">
        <v>403</v>
      </c>
      <c r="B404" t="s">
        <v>12</v>
      </c>
      <c r="C404">
        <v>3.4</v>
      </c>
      <c r="D404">
        <v>88.2</v>
      </c>
      <c r="E404">
        <v>6.3</v>
      </c>
      <c r="F404" t="s">
        <v>18</v>
      </c>
      <c r="G404" t="s">
        <v>14</v>
      </c>
      <c r="H404" t="s">
        <v>15</v>
      </c>
      <c r="I404" t="s">
        <v>14</v>
      </c>
      <c r="J404">
        <v>73</v>
      </c>
      <c r="K404">
        <v>81.900000000000006</v>
      </c>
      <c r="L404" t="s">
        <v>20</v>
      </c>
    </row>
    <row r="405" spans="1:12" x14ac:dyDescent="0.35">
      <c r="A405">
        <v>404</v>
      </c>
      <c r="B405" t="s">
        <v>12</v>
      </c>
      <c r="C405">
        <v>1</v>
      </c>
      <c r="D405">
        <v>98.4</v>
      </c>
      <c r="E405">
        <v>7</v>
      </c>
      <c r="F405" t="s">
        <v>13</v>
      </c>
      <c r="G405" t="s">
        <v>14</v>
      </c>
      <c r="H405" t="s">
        <v>15</v>
      </c>
      <c r="I405" t="s">
        <v>15</v>
      </c>
      <c r="J405">
        <v>69.900000000000006</v>
      </c>
      <c r="K405">
        <v>86.5</v>
      </c>
      <c r="L405" t="s">
        <v>20</v>
      </c>
    </row>
    <row r="406" spans="1:12" x14ac:dyDescent="0.35">
      <c r="A406">
        <v>405</v>
      </c>
      <c r="B406" t="s">
        <v>17</v>
      </c>
      <c r="C406">
        <v>4.0999999999999996</v>
      </c>
      <c r="D406">
        <v>66.2</v>
      </c>
      <c r="E406">
        <v>7.5</v>
      </c>
      <c r="F406" t="s">
        <v>13</v>
      </c>
      <c r="G406" t="s">
        <v>14</v>
      </c>
      <c r="H406" t="s">
        <v>15</v>
      </c>
      <c r="I406" t="s">
        <v>15</v>
      </c>
      <c r="J406">
        <v>80.5</v>
      </c>
      <c r="K406">
        <v>84.7</v>
      </c>
      <c r="L406" t="s">
        <v>20</v>
      </c>
    </row>
    <row r="407" spans="1:12" x14ac:dyDescent="0.35">
      <c r="A407">
        <v>406</v>
      </c>
      <c r="B407" t="s">
        <v>17</v>
      </c>
      <c r="C407">
        <v>3.8</v>
      </c>
      <c r="D407">
        <v>86.2</v>
      </c>
      <c r="E407">
        <v>6.1</v>
      </c>
      <c r="F407" t="s">
        <v>24</v>
      </c>
      <c r="G407" t="s">
        <v>14</v>
      </c>
      <c r="H407" t="s">
        <v>15</v>
      </c>
      <c r="I407" t="s">
        <v>15</v>
      </c>
      <c r="J407">
        <v>75.8</v>
      </c>
      <c r="K407">
        <v>93</v>
      </c>
      <c r="L407" t="s">
        <v>16</v>
      </c>
    </row>
    <row r="408" spans="1:12" x14ac:dyDescent="0.35">
      <c r="A408">
        <v>407</v>
      </c>
      <c r="B408" t="s">
        <v>17</v>
      </c>
      <c r="C408">
        <v>3.9</v>
      </c>
      <c r="D408">
        <v>83.4</v>
      </c>
      <c r="E408">
        <v>6.3</v>
      </c>
      <c r="F408" t="s">
        <v>13</v>
      </c>
      <c r="G408" t="s">
        <v>14</v>
      </c>
      <c r="H408" t="s">
        <v>15</v>
      </c>
      <c r="I408" t="s">
        <v>15</v>
      </c>
      <c r="J408">
        <v>87.4</v>
      </c>
      <c r="K408">
        <v>78.900000000000006</v>
      </c>
      <c r="L408" t="s">
        <v>22</v>
      </c>
    </row>
    <row r="409" spans="1:12" x14ac:dyDescent="0.35">
      <c r="A409">
        <v>408</v>
      </c>
      <c r="B409" t="s">
        <v>17</v>
      </c>
      <c r="C409">
        <v>1.6</v>
      </c>
      <c r="D409">
        <v>91.7</v>
      </c>
      <c r="E409">
        <v>5.7</v>
      </c>
      <c r="F409" t="s">
        <v>13</v>
      </c>
      <c r="G409" t="s">
        <v>14</v>
      </c>
      <c r="H409" t="s">
        <v>14</v>
      </c>
      <c r="I409" t="s">
        <v>15</v>
      </c>
      <c r="J409">
        <v>64.5</v>
      </c>
      <c r="K409">
        <v>90.4</v>
      </c>
      <c r="L409" t="s">
        <v>16</v>
      </c>
    </row>
    <row r="410" spans="1:12" x14ac:dyDescent="0.35">
      <c r="A410">
        <v>409</v>
      </c>
      <c r="B410" t="s">
        <v>17</v>
      </c>
      <c r="C410">
        <v>1.9</v>
      </c>
      <c r="D410">
        <v>87.1</v>
      </c>
      <c r="E410">
        <v>6.8</v>
      </c>
      <c r="F410" t="s">
        <v>18</v>
      </c>
      <c r="G410" t="s">
        <v>15</v>
      </c>
      <c r="H410" t="s">
        <v>15</v>
      </c>
      <c r="I410" t="s">
        <v>15</v>
      </c>
      <c r="J410">
        <v>64.8</v>
      </c>
      <c r="K410">
        <v>80.099999999999994</v>
      </c>
      <c r="L410" t="s">
        <v>20</v>
      </c>
    </row>
    <row r="411" spans="1:12" x14ac:dyDescent="0.35">
      <c r="A411">
        <v>410</v>
      </c>
      <c r="B411" t="s">
        <v>17</v>
      </c>
      <c r="C411">
        <v>5.0999999999999996</v>
      </c>
      <c r="D411">
        <v>77.5</v>
      </c>
      <c r="E411">
        <v>5.8</v>
      </c>
      <c r="F411" t="s">
        <v>19</v>
      </c>
      <c r="G411" t="s">
        <v>14</v>
      </c>
      <c r="H411" t="s">
        <v>14</v>
      </c>
      <c r="I411" t="s">
        <v>14</v>
      </c>
      <c r="J411">
        <v>54.4</v>
      </c>
      <c r="K411">
        <v>78.099999999999994</v>
      </c>
      <c r="L411" t="s">
        <v>22</v>
      </c>
    </row>
    <row r="412" spans="1:12" x14ac:dyDescent="0.35">
      <c r="A412">
        <v>411</v>
      </c>
      <c r="B412" t="s">
        <v>12</v>
      </c>
      <c r="C412">
        <v>3.4</v>
      </c>
      <c r="D412">
        <v>81.8</v>
      </c>
      <c r="E412">
        <v>7.5</v>
      </c>
      <c r="F412" t="s">
        <v>18</v>
      </c>
      <c r="G412" t="s">
        <v>14</v>
      </c>
      <c r="H412" t="s">
        <v>15</v>
      </c>
      <c r="I412" t="s">
        <v>15</v>
      </c>
      <c r="J412">
        <v>64.900000000000006</v>
      </c>
      <c r="K412">
        <v>70.099999999999994</v>
      </c>
      <c r="L412" t="s">
        <v>22</v>
      </c>
    </row>
    <row r="413" spans="1:12" x14ac:dyDescent="0.35">
      <c r="A413">
        <v>412</v>
      </c>
      <c r="B413" t="s">
        <v>17</v>
      </c>
      <c r="C413">
        <v>4.5</v>
      </c>
      <c r="D413">
        <v>77</v>
      </c>
      <c r="E413">
        <v>4.7</v>
      </c>
      <c r="F413" t="s">
        <v>18</v>
      </c>
      <c r="G413" t="s">
        <v>14</v>
      </c>
      <c r="H413" t="s">
        <v>15</v>
      </c>
      <c r="I413" t="s">
        <v>15</v>
      </c>
      <c r="J413">
        <v>81.599999999999994</v>
      </c>
      <c r="K413">
        <v>90.2</v>
      </c>
      <c r="L413" t="s">
        <v>16</v>
      </c>
    </row>
    <row r="414" spans="1:12" x14ac:dyDescent="0.35">
      <c r="A414">
        <v>413</v>
      </c>
      <c r="B414" t="s">
        <v>17</v>
      </c>
      <c r="C414">
        <v>3.5</v>
      </c>
      <c r="D414">
        <v>95.8</v>
      </c>
      <c r="E414">
        <v>6.4</v>
      </c>
      <c r="F414" t="s">
        <v>23</v>
      </c>
      <c r="G414" t="s">
        <v>14</v>
      </c>
      <c r="H414" t="s">
        <v>14</v>
      </c>
      <c r="I414" t="s">
        <v>15</v>
      </c>
      <c r="J414">
        <v>85.6</v>
      </c>
      <c r="K414">
        <v>86.5</v>
      </c>
      <c r="L414" t="s">
        <v>20</v>
      </c>
    </row>
    <row r="415" spans="1:12" x14ac:dyDescent="0.35">
      <c r="A415">
        <v>414</v>
      </c>
      <c r="B415" t="s">
        <v>12</v>
      </c>
      <c r="C415">
        <v>3.5</v>
      </c>
      <c r="D415">
        <v>85.2</v>
      </c>
      <c r="E415">
        <v>7.2</v>
      </c>
      <c r="F415" t="s">
        <v>13</v>
      </c>
      <c r="G415" t="s">
        <v>14</v>
      </c>
      <c r="H415" t="s">
        <v>14</v>
      </c>
      <c r="I415" t="s">
        <v>15</v>
      </c>
      <c r="J415">
        <v>81.5</v>
      </c>
      <c r="K415">
        <v>93.5</v>
      </c>
      <c r="L415" t="s">
        <v>16</v>
      </c>
    </row>
    <row r="416" spans="1:12" x14ac:dyDescent="0.35">
      <c r="A416">
        <v>415</v>
      </c>
      <c r="B416" t="s">
        <v>12</v>
      </c>
      <c r="C416">
        <v>4.9000000000000004</v>
      </c>
      <c r="D416">
        <v>100</v>
      </c>
      <c r="E416">
        <v>7</v>
      </c>
      <c r="F416" t="s">
        <v>13</v>
      </c>
      <c r="G416" t="s">
        <v>15</v>
      </c>
      <c r="H416" t="s">
        <v>14</v>
      </c>
      <c r="I416" t="s">
        <v>14</v>
      </c>
      <c r="J416">
        <v>48.5</v>
      </c>
      <c r="K416">
        <v>83.3</v>
      </c>
      <c r="L416" t="s">
        <v>20</v>
      </c>
    </row>
    <row r="417" spans="1:12" x14ac:dyDescent="0.35">
      <c r="A417">
        <v>416</v>
      </c>
      <c r="B417" t="s">
        <v>12</v>
      </c>
      <c r="C417">
        <v>2.7</v>
      </c>
      <c r="D417">
        <v>84.4</v>
      </c>
      <c r="E417">
        <v>10</v>
      </c>
      <c r="F417" t="s">
        <v>13</v>
      </c>
      <c r="G417" t="s">
        <v>14</v>
      </c>
      <c r="H417" t="s">
        <v>15</v>
      </c>
      <c r="I417" t="s">
        <v>14</v>
      </c>
      <c r="J417">
        <v>83</v>
      </c>
      <c r="K417">
        <v>81.2</v>
      </c>
      <c r="L417" t="s">
        <v>20</v>
      </c>
    </row>
    <row r="418" spans="1:12" x14ac:dyDescent="0.35">
      <c r="A418">
        <v>417</v>
      </c>
      <c r="B418" t="s">
        <v>12</v>
      </c>
      <c r="C418">
        <v>3.6</v>
      </c>
      <c r="D418">
        <v>77.900000000000006</v>
      </c>
      <c r="E418">
        <v>7.2</v>
      </c>
      <c r="F418" t="s">
        <v>23</v>
      </c>
      <c r="G418" t="s">
        <v>15</v>
      </c>
      <c r="H418" t="s">
        <v>15</v>
      </c>
      <c r="I418" t="s">
        <v>15</v>
      </c>
      <c r="J418">
        <v>47.9</v>
      </c>
      <c r="K418">
        <v>76</v>
      </c>
      <c r="L418" t="s">
        <v>22</v>
      </c>
    </row>
    <row r="419" spans="1:12" x14ac:dyDescent="0.35">
      <c r="A419">
        <v>418</v>
      </c>
      <c r="B419" t="s">
        <v>17</v>
      </c>
      <c r="C419">
        <v>2.8</v>
      </c>
      <c r="D419">
        <v>69.900000000000006</v>
      </c>
      <c r="E419">
        <v>5.6</v>
      </c>
      <c r="F419" t="s">
        <v>18</v>
      </c>
      <c r="G419" t="s">
        <v>14</v>
      </c>
      <c r="H419" t="s">
        <v>14</v>
      </c>
      <c r="I419" t="s">
        <v>15</v>
      </c>
      <c r="J419">
        <v>80.8</v>
      </c>
      <c r="K419">
        <v>84.9</v>
      </c>
      <c r="L419" t="s">
        <v>20</v>
      </c>
    </row>
    <row r="420" spans="1:12" x14ac:dyDescent="0.35">
      <c r="A420">
        <v>419</v>
      </c>
      <c r="B420" t="s">
        <v>17</v>
      </c>
      <c r="C420">
        <v>2.8</v>
      </c>
      <c r="D420">
        <v>67</v>
      </c>
      <c r="E420">
        <v>6.7</v>
      </c>
      <c r="F420" t="s">
        <v>23</v>
      </c>
      <c r="G420" t="s">
        <v>14</v>
      </c>
      <c r="H420" t="s">
        <v>15</v>
      </c>
      <c r="I420" t="s">
        <v>15</v>
      </c>
      <c r="J420">
        <v>65.599999999999994</v>
      </c>
      <c r="K420">
        <v>79.2</v>
      </c>
      <c r="L420" t="s">
        <v>22</v>
      </c>
    </row>
    <row r="421" spans="1:12" x14ac:dyDescent="0.35">
      <c r="A421">
        <v>420</v>
      </c>
      <c r="B421" t="s">
        <v>17</v>
      </c>
      <c r="C421">
        <v>3</v>
      </c>
      <c r="D421">
        <v>69.2</v>
      </c>
      <c r="E421">
        <v>4.7</v>
      </c>
      <c r="F421" t="s">
        <v>13</v>
      </c>
      <c r="G421" t="s">
        <v>15</v>
      </c>
      <c r="H421" t="s">
        <v>15</v>
      </c>
      <c r="I421" t="s">
        <v>15</v>
      </c>
      <c r="J421">
        <v>78.400000000000006</v>
      </c>
      <c r="K421">
        <v>72.8</v>
      </c>
      <c r="L421" t="s">
        <v>22</v>
      </c>
    </row>
    <row r="422" spans="1:12" x14ac:dyDescent="0.35">
      <c r="A422">
        <v>421</v>
      </c>
      <c r="B422" t="s">
        <v>17</v>
      </c>
      <c r="C422">
        <v>3.8</v>
      </c>
      <c r="D422">
        <v>87.7</v>
      </c>
      <c r="E422">
        <v>6.7</v>
      </c>
      <c r="F422" t="s">
        <v>13</v>
      </c>
      <c r="G422" t="s">
        <v>14</v>
      </c>
      <c r="H422" t="s">
        <v>14</v>
      </c>
      <c r="I422" t="s">
        <v>14</v>
      </c>
      <c r="J422">
        <v>54</v>
      </c>
      <c r="K422">
        <v>69.900000000000006</v>
      </c>
      <c r="L422" t="s">
        <v>21</v>
      </c>
    </row>
    <row r="423" spans="1:12" x14ac:dyDescent="0.35">
      <c r="A423">
        <v>422</v>
      </c>
      <c r="B423" t="s">
        <v>17</v>
      </c>
      <c r="C423">
        <v>2.8</v>
      </c>
      <c r="D423">
        <v>90.1</v>
      </c>
      <c r="E423">
        <v>5.8</v>
      </c>
      <c r="F423" t="s">
        <v>13</v>
      </c>
      <c r="G423" t="s">
        <v>15</v>
      </c>
      <c r="H423" t="s">
        <v>14</v>
      </c>
      <c r="I423" t="s">
        <v>15</v>
      </c>
      <c r="J423">
        <v>84.1</v>
      </c>
      <c r="K423">
        <v>89.6</v>
      </c>
      <c r="L423" t="s">
        <v>20</v>
      </c>
    </row>
    <row r="424" spans="1:12" x14ac:dyDescent="0.35">
      <c r="A424">
        <v>423</v>
      </c>
      <c r="B424" t="s">
        <v>17</v>
      </c>
      <c r="C424">
        <v>5.4</v>
      </c>
      <c r="D424">
        <v>69.2</v>
      </c>
      <c r="E424">
        <v>7.9</v>
      </c>
      <c r="F424" t="s">
        <v>18</v>
      </c>
      <c r="G424" t="s">
        <v>14</v>
      </c>
      <c r="H424" t="s">
        <v>15</v>
      </c>
      <c r="I424" t="s">
        <v>14</v>
      </c>
      <c r="J424">
        <v>52.4</v>
      </c>
      <c r="K424">
        <v>77.3</v>
      </c>
      <c r="L424" t="s">
        <v>22</v>
      </c>
    </row>
    <row r="425" spans="1:12" x14ac:dyDescent="0.35">
      <c r="A425">
        <v>424</v>
      </c>
      <c r="B425" t="s">
        <v>12</v>
      </c>
      <c r="C425">
        <v>2.2000000000000002</v>
      </c>
      <c r="D425">
        <v>94</v>
      </c>
      <c r="E425">
        <v>6.1</v>
      </c>
      <c r="F425" t="s">
        <v>23</v>
      </c>
      <c r="G425" t="s">
        <v>15</v>
      </c>
      <c r="H425" t="s">
        <v>15</v>
      </c>
      <c r="I425" t="s">
        <v>15</v>
      </c>
      <c r="J425">
        <v>62</v>
      </c>
      <c r="K425">
        <v>64.599999999999994</v>
      </c>
      <c r="L425" t="s">
        <v>21</v>
      </c>
    </row>
    <row r="426" spans="1:12" x14ac:dyDescent="0.35">
      <c r="A426">
        <v>425</v>
      </c>
      <c r="B426" t="s">
        <v>17</v>
      </c>
      <c r="C426">
        <v>3.2</v>
      </c>
      <c r="D426">
        <v>80.2</v>
      </c>
      <c r="E426">
        <v>6.7</v>
      </c>
      <c r="F426" t="s">
        <v>13</v>
      </c>
      <c r="G426" t="s">
        <v>14</v>
      </c>
      <c r="H426" t="s">
        <v>15</v>
      </c>
      <c r="I426" t="s">
        <v>14</v>
      </c>
      <c r="J426">
        <v>58</v>
      </c>
      <c r="K426">
        <v>81.8</v>
      </c>
      <c r="L426" t="s">
        <v>20</v>
      </c>
    </row>
    <row r="427" spans="1:12" x14ac:dyDescent="0.35">
      <c r="A427">
        <v>426</v>
      </c>
      <c r="B427" t="s">
        <v>12</v>
      </c>
      <c r="C427">
        <v>2.8</v>
      </c>
      <c r="D427">
        <v>86.5</v>
      </c>
      <c r="E427">
        <v>6</v>
      </c>
      <c r="F427" t="s">
        <v>18</v>
      </c>
      <c r="G427" t="s">
        <v>14</v>
      </c>
      <c r="H427" t="s">
        <v>14</v>
      </c>
      <c r="I427" t="s">
        <v>15</v>
      </c>
      <c r="J427">
        <v>48.9</v>
      </c>
      <c r="K427">
        <v>86.2</v>
      </c>
      <c r="L427" t="s">
        <v>20</v>
      </c>
    </row>
    <row r="428" spans="1:12" x14ac:dyDescent="0.35">
      <c r="A428">
        <v>427</v>
      </c>
      <c r="B428" t="s">
        <v>12</v>
      </c>
      <c r="C428">
        <v>5.7</v>
      </c>
      <c r="D428">
        <v>100</v>
      </c>
      <c r="E428">
        <v>8.9</v>
      </c>
      <c r="F428" t="s">
        <v>13</v>
      </c>
      <c r="G428" t="s">
        <v>14</v>
      </c>
      <c r="H428" t="s">
        <v>14</v>
      </c>
      <c r="I428" t="s">
        <v>14</v>
      </c>
      <c r="J428">
        <v>71.099999999999994</v>
      </c>
      <c r="K428">
        <v>100</v>
      </c>
      <c r="L428" t="s">
        <v>16</v>
      </c>
    </row>
    <row r="429" spans="1:12" x14ac:dyDescent="0.35">
      <c r="A429">
        <v>428</v>
      </c>
      <c r="B429" t="s">
        <v>17</v>
      </c>
      <c r="C429">
        <v>3.8</v>
      </c>
      <c r="D429">
        <v>94</v>
      </c>
      <c r="E429">
        <v>6.4</v>
      </c>
      <c r="F429" t="s">
        <v>19</v>
      </c>
      <c r="G429" t="s">
        <v>14</v>
      </c>
      <c r="H429" t="s">
        <v>14</v>
      </c>
      <c r="I429" t="s">
        <v>15</v>
      </c>
      <c r="J429">
        <v>91.7</v>
      </c>
      <c r="K429">
        <v>100</v>
      </c>
      <c r="L429" t="s">
        <v>16</v>
      </c>
    </row>
    <row r="430" spans="1:12" x14ac:dyDescent="0.35">
      <c r="A430">
        <v>429</v>
      </c>
      <c r="B430" t="s">
        <v>12</v>
      </c>
      <c r="C430">
        <v>5</v>
      </c>
      <c r="D430">
        <v>82.3</v>
      </c>
      <c r="E430">
        <v>9</v>
      </c>
      <c r="F430" t="s">
        <v>13</v>
      </c>
      <c r="G430" t="s">
        <v>14</v>
      </c>
      <c r="H430" t="s">
        <v>14</v>
      </c>
      <c r="I430" t="s">
        <v>15</v>
      </c>
      <c r="J430">
        <v>100</v>
      </c>
      <c r="K430">
        <v>100</v>
      </c>
      <c r="L430" t="s">
        <v>16</v>
      </c>
    </row>
    <row r="431" spans="1:12" x14ac:dyDescent="0.35">
      <c r="A431">
        <v>430</v>
      </c>
      <c r="B431" t="s">
        <v>17</v>
      </c>
      <c r="C431">
        <v>1.3</v>
      </c>
      <c r="D431">
        <v>76.099999999999994</v>
      </c>
      <c r="E431">
        <v>7.8</v>
      </c>
      <c r="F431" t="s">
        <v>19</v>
      </c>
      <c r="G431" t="s">
        <v>14</v>
      </c>
      <c r="H431" t="s">
        <v>14</v>
      </c>
      <c r="I431" t="s">
        <v>15</v>
      </c>
      <c r="J431">
        <v>71.2</v>
      </c>
      <c r="K431">
        <v>72</v>
      </c>
      <c r="L431" t="s">
        <v>22</v>
      </c>
    </row>
    <row r="432" spans="1:12" x14ac:dyDescent="0.35">
      <c r="A432">
        <v>431</v>
      </c>
      <c r="B432" t="s">
        <v>12</v>
      </c>
      <c r="C432">
        <v>3.9</v>
      </c>
      <c r="D432">
        <v>63.5</v>
      </c>
      <c r="E432">
        <v>7.4</v>
      </c>
      <c r="F432" t="s">
        <v>18</v>
      </c>
      <c r="G432" t="s">
        <v>14</v>
      </c>
      <c r="H432" t="s">
        <v>15</v>
      </c>
      <c r="I432" t="s">
        <v>15</v>
      </c>
      <c r="J432">
        <v>83.4</v>
      </c>
      <c r="K432">
        <v>81.2</v>
      </c>
      <c r="L432" t="s">
        <v>20</v>
      </c>
    </row>
    <row r="433" spans="1:12" x14ac:dyDescent="0.35">
      <c r="A433">
        <v>432</v>
      </c>
      <c r="B433" t="s">
        <v>17</v>
      </c>
      <c r="C433">
        <v>4.8</v>
      </c>
      <c r="D433">
        <v>77.8</v>
      </c>
      <c r="E433">
        <v>7.2</v>
      </c>
      <c r="F433" t="s">
        <v>18</v>
      </c>
      <c r="G433" t="s">
        <v>14</v>
      </c>
      <c r="H433" t="s">
        <v>14</v>
      </c>
      <c r="I433" t="s">
        <v>15</v>
      </c>
      <c r="J433">
        <v>72.8</v>
      </c>
      <c r="K433">
        <v>100</v>
      </c>
      <c r="L433" t="s">
        <v>16</v>
      </c>
    </row>
    <row r="434" spans="1:12" x14ac:dyDescent="0.35">
      <c r="A434">
        <v>433</v>
      </c>
      <c r="B434" t="s">
        <v>12</v>
      </c>
      <c r="C434">
        <v>3.6</v>
      </c>
      <c r="D434">
        <v>82.9</v>
      </c>
      <c r="E434">
        <v>7.3</v>
      </c>
      <c r="F434" t="s">
        <v>18</v>
      </c>
      <c r="G434" t="s">
        <v>14</v>
      </c>
      <c r="H434" t="s">
        <v>15</v>
      </c>
      <c r="I434" t="s">
        <v>14</v>
      </c>
      <c r="J434">
        <v>76</v>
      </c>
      <c r="K434">
        <v>79.7</v>
      </c>
      <c r="L434" t="s">
        <v>22</v>
      </c>
    </row>
    <row r="435" spans="1:12" x14ac:dyDescent="0.35">
      <c r="A435">
        <v>434</v>
      </c>
      <c r="B435" t="s">
        <v>17</v>
      </c>
      <c r="C435">
        <v>5.0999999999999996</v>
      </c>
      <c r="D435">
        <v>75.099999999999994</v>
      </c>
      <c r="E435">
        <v>4.5</v>
      </c>
      <c r="F435" t="s">
        <v>13</v>
      </c>
      <c r="G435" t="s">
        <v>14</v>
      </c>
      <c r="H435" t="s">
        <v>14</v>
      </c>
      <c r="I435" t="s">
        <v>15</v>
      </c>
      <c r="J435">
        <v>65.900000000000006</v>
      </c>
      <c r="K435">
        <v>89.4</v>
      </c>
      <c r="L435" t="s">
        <v>20</v>
      </c>
    </row>
    <row r="436" spans="1:12" x14ac:dyDescent="0.35">
      <c r="A436">
        <v>435</v>
      </c>
      <c r="B436" t="s">
        <v>17</v>
      </c>
      <c r="C436">
        <v>2.7</v>
      </c>
      <c r="D436">
        <v>83.7</v>
      </c>
      <c r="E436">
        <v>6.5</v>
      </c>
      <c r="F436" t="s">
        <v>18</v>
      </c>
      <c r="G436" t="s">
        <v>14</v>
      </c>
      <c r="H436" t="s">
        <v>15</v>
      </c>
      <c r="I436" t="s">
        <v>15</v>
      </c>
      <c r="J436">
        <v>72.3</v>
      </c>
      <c r="K436">
        <v>77.8</v>
      </c>
      <c r="L436" t="s">
        <v>22</v>
      </c>
    </row>
    <row r="437" spans="1:12" x14ac:dyDescent="0.35">
      <c r="A437">
        <v>436</v>
      </c>
      <c r="B437" t="s">
        <v>17</v>
      </c>
      <c r="C437">
        <v>5.6</v>
      </c>
      <c r="D437">
        <v>85.8</v>
      </c>
      <c r="E437">
        <v>7.8</v>
      </c>
      <c r="F437" t="s">
        <v>18</v>
      </c>
      <c r="G437" t="s">
        <v>14</v>
      </c>
      <c r="H437" t="s">
        <v>14</v>
      </c>
      <c r="I437" t="s">
        <v>14</v>
      </c>
      <c r="J437">
        <v>76.400000000000006</v>
      </c>
      <c r="K437">
        <v>93.4</v>
      </c>
      <c r="L437" t="s">
        <v>16</v>
      </c>
    </row>
    <row r="438" spans="1:12" x14ac:dyDescent="0.35">
      <c r="A438">
        <v>437</v>
      </c>
      <c r="B438" t="s">
        <v>17</v>
      </c>
      <c r="C438">
        <v>6.9</v>
      </c>
      <c r="D438">
        <v>82.8</v>
      </c>
      <c r="E438">
        <v>6.7</v>
      </c>
      <c r="F438" t="s">
        <v>19</v>
      </c>
      <c r="G438" t="s">
        <v>14</v>
      </c>
      <c r="H438" t="s">
        <v>14</v>
      </c>
      <c r="I438" t="s">
        <v>14</v>
      </c>
      <c r="J438">
        <v>63.1</v>
      </c>
      <c r="K438">
        <v>100</v>
      </c>
      <c r="L438" t="s">
        <v>16</v>
      </c>
    </row>
    <row r="439" spans="1:12" x14ac:dyDescent="0.35">
      <c r="A439">
        <v>438</v>
      </c>
      <c r="B439" t="s">
        <v>17</v>
      </c>
      <c r="C439">
        <v>3</v>
      </c>
      <c r="D439">
        <v>78.5</v>
      </c>
      <c r="E439">
        <v>5.0999999999999996</v>
      </c>
      <c r="F439" t="s">
        <v>23</v>
      </c>
      <c r="G439" t="s">
        <v>14</v>
      </c>
      <c r="H439" t="s">
        <v>14</v>
      </c>
      <c r="I439" t="s">
        <v>15</v>
      </c>
      <c r="J439">
        <v>69.099999999999994</v>
      </c>
      <c r="K439">
        <v>76.5</v>
      </c>
      <c r="L439" t="s">
        <v>22</v>
      </c>
    </row>
    <row r="440" spans="1:12" x14ac:dyDescent="0.35">
      <c r="A440">
        <v>439</v>
      </c>
      <c r="B440" t="s">
        <v>12</v>
      </c>
      <c r="C440">
        <v>2.8</v>
      </c>
      <c r="D440">
        <v>86.7</v>
      </c>
      <c r="E440">
        <v>6.7</v>
      </c>
      <c r="F440" t="s">
        <v>23</v>
      </c>
      <c r="G440" t="s">
        <v>14</v>
      </c>
      <c r="H440" t="s">
        <v>15</v>
      </c>
      <c r="I440" t="s">
        <v>15</v>
      </c>
      <c r="J440">
        <v>69.3</v>
      </c>
      <c r="K440">
        <v>79.3</v>
      </c>
      <c r="L440" t="s">
        <v>22</v>
      </c>
    </row>
    <row r="441" spans="1:12" x14ac:dyDescent="0.35">
      <c r="A441">
        <v>440</v>
      </c>
      <c r="B441" t="s">
        <v>12</v>
      </c>
      <c r="C441">
        <v>5.7</v>
      </c>
      <c r="D441">
        <v>89.4</v>
      </c>
      <c r="E441">
        <v>8.8000000000000007</v>
      </c>
      <c r="F441" t="s">
        <v>18</v>
      </c>
      <c r="G441" t="s">
        <v>15</v>
      </c>
      <c r="H441" t="s">
        <v>15</v>
      </c>
      <c r="I441" t="s">
        <v>15</v>
      </c>
      <c r="J441">
        <v>79.900000000000006</v>
      </c>
      <c r="K441">
        <v>100</v>
      </c>
      <c r="L441" t="s">
        <v>16</v>
      </c>
    </row>
    <row r="442" spans="1:12" x14ac:dyDescent="0.35">
      <c r="A442">
        <v>441</v>
      </c>
      <c r="B442" t="s">
        <v>12</v>
      </c>
      <c r="C442">
        <v>5.9</v>
      </c>
      <c r="D442">
        <v>74.099999999999994</v>
      </c>
      <c r="E442">
        <v>8.3000000000000007</v>
      </c>
      <c r="F442" t="s">
        <v>18</v>
      </c>
      <c r="G442" t="s">
        <v>14</v>
      </c>
      <c r="H442" t="s">
        <v>14</v>
      </c>
      <c r="I442" t="s">
        <v>15</v>
      </c>
      <c r="J442">
        <v>57.2</v>
      </c>
      <c r="K442">
        <v>98.9</v>
      </c>
      <c r="L442" t="s">
        <v>16</v>
      </c>
    </row>
    <row r="443" spans="1:12" x14ac:dyDescent="0.35">
      <c r="A443">
        <v>442</v>
      </c>
      <c r="B443" t="s">
        <v>17</v>
      </c>
      <c r="C443">
        <v>2.7</v>
      </c>
      <c r="D443">
        <v>99.1</v>
      </c>
      <c r="E443">
        <v>6.7</v>
      </c>
      <c r="F443" t="s">
        <v>18</v>
      </c>
      <c r="G443" t="s">
        <v>14</v>
      </c>
      <c r="H443" t="s">
        <v>14</v>
      </c>
      <c r="I443" t="s">
        <v>14</v>
      </c>
      <c r="J443">
        <v>69.400000000000006</v>
      </c>
      <c r="K443">
        <v>87.5</v>
      </c>
      <c r="L443" t="s">
        <v>20</v>
      </c>
    </row>
    <row r="444" spans="1:12" x14ac:dyDescent="0.35">
      <c r="A444">
        <v>443</v>
      </c>
      <c r="B444" t="s">
        <v>12</v>
      </c>
      <c r="C444">
        <v>2.9</v>
      </c>
      <c r="D444">
        <v>84</v>
      </c>
      <c r="E444">
        <v>7.9</v>
      </c>
      <c r="F444" t="s">
        <v>23</v>
      </c>
      <c r="G444" t="s">
        <v>14</v>
      </c>
      <c r="H444" t="s">
        <v>15</v>
      </c>
      <c r="I444" t="s">
        <v>14</v>
      </c>
      <c r="J444">
        <v>92.9</v>
      </c>
      <c r="K444">
        <v>85.2</v>
      </c>
      <c r="L444" t="s">
        <v>20</v>
      </c>
    </row>
    <row r="445" spans="1:12" x14ac:dyDescent="0.35">
      <c r="A445">
        <v>444</v>
      </c>
      <c r="B445" t="s">
        <v>17</v>
      </c>
      <c r="C445">
        <v>3.1</v>
      </c>
      <c r="D445">
        <v>85.2</v>
      </c>
      <c r="E445">
        <v>6.4</v>
      </c>
      <c r="F445" t="s">
        <v>19</v>
      </c>
      <c r="G445" t="s">
        <v>14</v>
      </c>
      <c r="H445" t="s">
        <v>14</v>
      </c>
      <c r="I445" t="s">
        <v>15</v>
      </c>
      <c r="J445">
        <v>84</v>
      </c>
      <c r="K445">
        <v>86</v>
      </c>
      <c r="L445" t="s">
        <v>20</v>
      </c>
    </row>
    <row r="446" spans="1:12" x14ac:dyDescent="0.35">
      <c r="A446">
        <v>445</v>
      </c>
      <c r="B446" t="s">
        <v>17</v>
      </c>
      <c r="C446">
        <v>1.5</v>
      </c>
      <c r="D446">
        <v>92.1</v>
      </c>
      <c r="E446">
        <v>4.8</v>
      </c>
      <c r="F446" t="s">
        <v>13</v>
      </c>
      <c r="G446" t="s">
        <v>14</v>
      </c>
      <c r="H446" t="s">
        <v>14</v>
      </c>
      <c r="I446" t="s">
        <v>14</v>
      </c>
      <c r="J446">
        <v>86.2</v>
      </c>
      <c r="K446">
        <v>80.7</v>
      </c>
      <c r="L446" t="s">
        <v>20</v>
      </c>
    </row>
    <row r="447" spans="1:12" x14ac:dyDescent="0.35">
      <c r="A447">
        <v>446</v>
      </c>
      <c r="B447" t="s">
        <v>12</v>
      </c>
      <c r="C447">
        <v>2.1</v>
      </c>
      <c r="D447">
        <v>87.3</v>
      </c>
      <c r="E447">
        <v>5.7</v>
      </c>
      <c r="F447" t="s">
        <v>18</v>
      </c>
      <c r="G447" t="s">
        <v>14</v>
      </c>
      <c r="H447" t="s">
        <v>15</v>
      </c>
      <c r="I447" t="s">
        <v>15</v>
      </c>
      <c r="J447">
        <v>70.3</v>
      </c>
      <c r="K447">
        <v>79.900000000000006</v>
      </c>
      <c r="L447" t="s">
        <v>22</v>
      </c>
    </row>
    <row r="448" spans="1:12" x14ac:dyDescent="0.35">
      <c r="A448">
        <v>447</v>
      </c>
      <c r="B448" t="s">
        <v>12</v>
      </c>
      <c r="C448">
        <v>2</v>
      </c>
      <c r="D448">
        <v>94.5</v>
      </c>
      <c r="E448">
        <v>8.6999999999999993</v>
      </c>
      <c r="F448" t="s">
        <v>13</v>
      </c>
      <c r="G448" t="s">
        <v>14</v>
      </c>
      <c r="H448" t="s">
        <v>15</v>
      </c>
      <c r="I448" t="s">
        <v>15</v>
      </c>
      <c r="J448">
        <v>73.900000000000006</v>
      </c>
      <c r="K448">
        <v>79.099999999999994</v>
      </c>
      <c r="L448" t="s">
        <v>22</v>
      </c>
    </row>
    <row r="449" spans="1:12" x14ac:dyDescent="0.35">
      <c r="A449">
        <v>448</v>
      </c>
      <c r="B449" t="s">
        <v>17</v>
      </c>
      <c r="C449">
        <v>2.2999999999999998</v>
      </c>
      <c r="D449">
        <v>87.9</v>
      </c>
      <c r="E449">
        <v>6.5</v>
      </c>
      <c r="F449" t="s">
        <v>18</v>
      </c>
      <c r="G449" t="s">
        <v>14</v>
      </c>
      <c r="H449" t="s">
        <v>14</v>
      </c>
      <c r="I449" t="s">
        <v>14</v>
      </c>
      <c r="J449">
        <v>82</v>
      </c>
      <c r="K449">
        <v>87.1</v>
      </c>
      <c r="L449" t="s">
        <v>20</v>
      </c>
    </row>
    <row r="450" spans="1:12" x14ac:dyDescent="0.35">
      <c r="A450">
        <v>449</v>
      </c>
      <c r="B450" t="s">
        <v>12</v>
      </c>
      <c r="C450">
        <v>3.4</v>
      </c>
      <c r="D450">
        <v>78.900000000000006</v>
      </c>
      <c r="E450">
        <v>6.5</v>
      </c>
      <c r="F450" t="s">
        <v>13</v>
      </c>
      <c r="G450" t="s">
        <v>14</v>
      </c>
      <c r="H450" t="s">
        <v>14</v>
      </c>
      <c r="I450" t="s">
        <v>15</v>
      </c>
      <c r="J450">
        <v>88.7</v>
      </c>
      <c r="K450">
        <v>90.7</v>
      </c>
      <c r="L450" t="s">
        <v>16</v>
      </c>
    </row>
    <row r="451" spans="1:12" x14ac:dyDescent="0.35">
      <c r="A451">
        <v>450</v>
      </c>
      <c r="B451" t="s">
        <v>17</v>
      </c>
      <c r="C451">
        <v>3.9</v>
      </c>
      <c r="D451">
        <v>88.6</v>
      </c>
      <c r="E451">
        <v>6.4</v>
      </c>
      <c r="F451" t="s">
        <v>13</v>
      </c>
      <c r="G451" t="s">
        <v>14</v>
      </c>
      <c r="H451" t="s">
        <v>15</v>
      </c>
      <c r="I451" t="s">
        <v>14</v>
      </c>
      <c r="J451">
        <v>46.6</v>
      </c>
      <c r="K451">
        <v>64.599999999999994</v>
      </c>
      <c r="L451" t="s">
        <v>21</v>
      </c>
    </row>
    <row r="452" spans="1:12" x14ac:dyDescent="0.35">
      <c r="A452">
        <v>451</v>
      </c>
      <c r="B452" t="s">
        <v>17</v>
      </c>
      <c r="C452">
        <v>5.8</v>
      </c>
      <c r="D452">
        <v>73.599999999999994</v>
      </c>
      <c r="E452">
        <v>9.1</v>
      </c>
      <c r="F452" t="s">
        <v>23</v>
      </c>
      <c r="G452" t="s">
        <v>15</v>
      </c>
      <c r="H452" t="s">
        <v>14</v>
      </c>
      <c r="I452" t="s">
        <v>15</v>
      </c>
      <c r="J452">
        <v>54.2</v>
      </c>
      <c r="K452">
        <v>77.900000000000006</v>
      </c>
      <c r="L452" t="s">
        <v>22</v>
      </c>
    </row>
    <row r="453" spans="1:12" x14ac:dyDescent="0.35">
      <c r="A453">
        <v>452</v>
      </c>
      <c r="B453" t="s">
        <v>17</v>
      </c>
      <c r="C453">
        <v>2</v>
      </c>
      <c r="D453">
        <v>86.1</v>
      </c>
      <c r="E453">
        <v>8.8000000000000007</v>
      </c>
      <c r="F453" t="s">
        <v>18</v>
      </c>
      <c r="G453" t="s">
        <v>14</v>
      </c>
      <c r="H453" t="s">
        <v>14</v>
      </c>
      <c r="I453" t="s">
        <v>14</v>
      </c>
      <c r="J453">
        <v>85.7</v>
      </c>
      <c r="K453">
        <v>82</v>
      </c>
      <c r="L453" t="s">
        <v>20</v>
      </c>
    </row>
    <row r="454" spans="1:12" x14ac:dyDescent="0.35">
      <c r="A454">
        <v>453</v>
      </c>
      <c r="B454" t="s">
        <v>17</v>
      </c>
      <c r="C454">
        <v>5</v>
      </c>
      <c r="D454">
        <v>84.7</v>
      </c>
      <c r="E454">
        <v>9.5</v>
      </c>
      <c r="F454" t="s">
        <v>18</v>
      </c>
      <c r="G454" t="s">
        <v>14</v>
      </c>
      <c r="H454" t="s">
        <v>15</v>
      </c>
      <c r="I454" t="s">
        <v>15</v>
      </c>
      <c r="J454">
        <v>66.7</v>
      </c>
      <c r="K454">
        <v>92.8</v>
      </c>
      <c r="L454" t="s">
        <v>16</v>
      </c>
    </row>
    <row r="455" spans="1:12" x14ac:dyDescent="0.35">
      <c r="A455">
        <v>454</v>
      </c>
      <c r="B455" t="s">
        <v>17</v>
      </c>
      <c r="C455">
        <v>3.2</v>
      </c>
      <c r="D455">
        <v>82.9</v>
      </c>
      <c r="E455">
        <v>6.6</v>
      </c>
      <c r="F455" t="s">
        <v>19</v>
      </c>
      <c r="G455" t="s">
        <v>15</v>
      </c>
      <c r="H455" t="s">
        <v>15</v>
      </c>
      <c r="I455" t="s">
        <v>15</v>
      </c>
      <c r="J455">
        <v>61.9</v>
      </c>
      <c r="K455">
        <v>85.4</v>
      </c>
      <c r="L455" t="s">
        <v>20</v>
      </c>
    </row>
    <row r="456" spans="1:12" x14ac:dyDescent="0.35">
      <c r="A456">
        <v>455</v>
      </c>
      <c r="B456" t="s">
        <v>12</v>
      </c>
      <c r="C456">
        <v>3.4</v>
      </c>
      <c r="D456">
        <v>83.7</v>
      </c>
      <c r="E456">
        <v>7.2</v>
      </c>
      <c r="F456" t="s">
        <v>18</v>
      </c>
      <c r="G456" t="s">
        <v>14</v>
      </c>
      <c r="H456" t="s">
        <v>14</v>
      </c>
      <c r="I456" t="s">
        <v>15</v>
      </c>
      <c r="J456">
        <v>55</v>
      </c>
      <c r="K456">
        <v>80.7</v>
      </c>
      <c r="L456" t="s">
        <v>20</v>
      </c>
    </row>
    <row r="457" spans="1:12" x14ac:dyDescent="0.35">
      <c r="A457">
        <v>456</v>
      </c>
      <c r="B457" t="s">
        <v>12</v>
      </c>
      <c r="C457">
        <v>4.5</v>
      </c>
      <c r="D457">
        <v>66.2</v>
      </c>
      <c r="E457">
        <v>5</v>
      </c>
      <c r="F457" t="s">
        <v>18</v>
      </c>
      <c r="G457" t="s">
        <v>14</v>
      </c>
      <c r="H457" t="s">
        <v>15</v>
      </c>
      <c r="I457" t="s">
        <v>15</v>
      </c>
      <c r="J457">
        <v>63.3</v>
      </c>
      <c r="K457">
        <v>72.7</v>
      </c>
      <c r="L457" t="s">
        <v>22</v>
      </c>
    </row>
    <row r="458" spans="1:12" x14ac:dyDescent="0.35">
      <c r="A458">
        <v>457</v>
      </c>
      <c r="B458" t="s">
        <v>17</v>
      </c>
      <c r="C458">
        <v>1.8</v>
      </c>
      <c r="D458">
        <v>79.5</v>
      </c>
      <c r="E458">
        <v>8.6</v>
      </c>
      <c r="F458" t="s">
        <v>18</v>
      </c>
      <c r="G458" t="s">
        <v>14</v>
      </c>
      <c r="H458" t="s">
        <v>15</v>
      </c>
      <c r="I458" t="s">
        <v>14</v>
      </c>
      <c r="J458">
        <v>53.2</v>
      </c>
      <c r="K458">
        <v>68.8</v>
      </c>
      <c r="L458" t="s">
        <v>21</v>
      </c>
    </row>
    <row r="459" spans="1:12" x14ac:dyDescent="0.35">
      <c r="A459">
        <v>458</v>
      </c>
      <c r="B459" t="s">
        <v>17</v>
      </c>
      <c r="C459">
        <v>4.0999999999999996</v>
      </c>
      <c r="D459">
        <v>85.9</v>
      </c>
      <c r="E459">
        <v>5.4</v>
      </c>
      <c r="F459" t="s">
        <v>18</v>
      </c>
      <c r="G459" t="s">
        <v>15</v>
      </c>
      <c r="H459" t="s">
        <v>14</v>
      </c>
      <c r="I459" t="s">
        <v>15</v>
      </c>
      <c r="J459">
        <v>95.1</v>
      </c>
      <c r="K459">
        <v>89.9</v>
      </c>
      <c r="L459" t="s">
        <v>20</v>
      </c>
    </row>
    <row r="460" spans="1:12" x14ac:dyDescent="0.35">
      <c r="A460">
        <v>459</v>
      </c>
      <c r="B460" t="s">
        <v>12</v>
      </c>
      <c r="C460">
        <v>3.7</v>
      </c>
      <c r="D460">
        <v>86.6</v>
      </c>
      <c r="E460">
        <v>7.1</v>
      </c>
      <c r="F460" t="s">
        <v>13</v>
      </c>
      <c r="G460" t="s">
        <v>15</v>
      </c>
      <c r="H460" t="s">
        <v>15</v>
      </c>
      <c r="I460" t="s">
        <v>15</v>
      </c>
      <c r="J460">
        <v>69.7</v>
      </c>
      <c r="K460">
        <v>83.3</v>
      </c>
      <c r="L460" t="s">
        <v>20</v>
      </c>
    </row>
    <row r="461" spans="1:12" x14ac:dyDescent="0.35">
      <c r="A461">
        <v>460</v>
      </c>
      <c r="B461" t="s">
        <v>12</v>
      </c>
      <c r="C461">
        <v>4.2</v>
      </c>
      <c r="D461">
        <v>74.7</v>
      </c>
      <c r="E461">
        <v>5.5</v>
      </c>
      <c r="F461" t="s">
        <v>23</v>
      </c>
      <c r="G461" t="s">
        <v>14</v>
      </c>
      <c r="H461" t="s">
        <v>14</v>
      </c>
      <c r="I461" t="s">
        <v>15</v>
      </c>
      <c r="J461">
        <v>69.3</v>
      </c>
      <c r="K461">
        <v>86.8</v>
      </c>
      <c r="L461" t="s">
        <v>20</v>
      </c>
    </row>
    <row r="462" spans="1:12" x14ac:dyDescent="0.35">
      <c r="A462">
        <v>461</v>
      </c>
      <c r="B462" t="s">
        <v>17</v>
      </c>
      <c r="C462">
        <v>3.9</v>
      </c>
      <c r="D462">
        <v>97.7</v>
      </c>
      <c r="E462">
        <v>6.1</v>
      </c>
      <c r="F462" t="s">
        <v>18</v>
      </c>
      <c r="G462" t="s">
        <v>14</v>
      </c>
      <c r="H462" t="s">
        <v>14</v>
      </c>
      <c r="I462" t="s">
        <v>14</v>
      </c>
      <c r="J462">
        <v>77.099999999999994</v>
      </c>
      <c r="K462">
        <v>98.2</v>
      </c>
      <c r="L462" t="s">
        <v>16</v>
      </c>
    </row>
    <row r="463" spans="1:12" x14ac:dyDescent="0.35">
      <c r="A463">
        <v>462</v>
      </c>
      <c r="B463" t="s">
        <v>12</v>
      </c>
      <c r="C463">
        <v>7.2</v>
      </c>
      <c r="D463">
        <v>76.3</v>
      </c>
      <c r="E463">
        <v>5.8</v>
      </c>
      <c r="F463" t="s">
        <v>13</v>
      </c>
      <c r="G463" t="s">
        <v>14</v>
      </c>
      <c r="H463" t="s">
        <v>15</v>
      </c>
      <c r="I463" t="s">
        <v>15</v>
      </c>
      <c r="J463">
        <v>81.5</v>
      </c>
      <c r="K463">
        <v>100</v>
      </c>
      <c r="L463" t="s">
        <v>16</v>
      </c>
    </row>
    <row r="464" spans="1:12" x14ac:dyDescent="0.35">
      <c r="A464">
        <v>463</v>
      </c>
      <c r="B464" t="s">
        <v>17</v>
      </c>
      <c r="C464">
        <v>2.5</v>
      </c>
      <c r="D464">
        <v>94.7</v>
      </c>
      <c r="E464">
        <v>6.1</v>
      </c>
      <c r="F464" t="s">
        <v>23</v>
      </c>
      <c r="G464" t="s">
        <v>14</v>
      </c>
      <c r="H464" t="s">
        <v>14</v>
      </c>
      <c r="I464" t="s">
        <v>14</v>
      </c>
      <c r="J464">
        <v>81.400000000000006</v>
      </c>
      <c r="K464">
        <v>95.1</v>
      </c>
      <c r="L464" t="s">
        <v>16</v>
      </c>
    </row>
    <row r="465" spans="1:12" x14ac:dyDescent="0.35">
      <c r="A465">
        <v>464</v>
      </c>
      <c r="B465" t="s">
        <v>12</v>
      </c>
      <c r="C465">
        <v>2.7</v>
      </c>
      <c r="D465">
        <v>89.3</v>
      </c>
      <c r="E465">
        <v>6.2</v>
      </c>
      <c r="F465" t="s">
        <v>13</v>
      </c>
      <c r="G465" t="s">
        <v>14</v>
      </c>
      <c r="H465" t="s">
        <v>14</v>
      </c>
      <c r="I465" t="s">
        <v>15</v>
      </c>
      <c r="J465">
        <v>82.9</v>
      </c>
      <c r="K465">
        <v>93.5</v>
      </c>
      <c r="L465" t="s">
        <v>16</v>
      </c>
    </row>
    <row r="466" spans="1:12" x14ac:dyDescent="0.35">
      <c r="A466">
        <v>465</v>
      </c>
      <c r="B466" t="s">
        <v>17</v>
      </c>
      <c r="C466">
        <v>2.6</v>
      </c>
      <c r="D466">
        <v>78.5</v>
      </c>
      <c r="E466">
        <v>6.1</v>
      </c>
      <c r="F466" t="s">
        <v>24</v>
      </c>
      <c r="G466" t="s">
        <v>15</v>
      </c>
      <c r="H466" t="s">
        <v>14</v>
      </c>
      <c r="I466" t="s">
        <v>14</v>
      </c>
      <c r="J466">
        <v>62.4</v>
      </c>
      <c r="K466">
        <v>63.2</v>
      </c>
      <c r="L466" t="s">
        <v>21</v>
      </c>
    </row>
    <row r="467" spans="1:12" x14ac:dyDescent="0.35">
      <c r="A467">
        <v>466</v>
      </c>
      <c r="B467" t="s">
        <v>12</v>
      </c>
      <c r="C467">
        <v>2.7</v>
      </c>
      <c r="D467">
        <v>100</v>
      </c>
      <c r="E467">
        <v>7.8</v>
      </c>
      <c r="F467" t="s">
        <v>24</v>
      </c>
      <c r="G467" t="s">
        <v>14</v>
      </c>
      <c r="H467" t="s">
        <v>14</v>
      </c>
      <c r="I467" t="s">
        <v>15</v>
      </c>
      <c r="J467">
        <v>66.400000000000006</v>
      </c>
      <c r="K467">
        <v>100</v>
      </c>
      <c r="L467" t="s">
        <v>16</v>
      </c>
    </row>
    <row r="468" spans="1:12" x14ac:dyDescent="0.35">
      <c r="A468">
        <v>467</v>
      </c>
      <c r="B468" t="s">
        <v>17</v>
      </c>
      <c r="C468">
        <v>2.5</v>
      </c>
      <c r="D468">
        <v>73.099999999999994</v>
      </c>
      <c r="E468">
        <v>5.5</v>
      </c>
      <c r="F468" t="s">
        <v>18</v>
      </c>
      <c r="G468" t="s">
        <v>14</v>
      </c>
      <c r="H468" t="s">
        <v>15</v>
      </c>
      <c r="I468" t="s">
        <v>14</v>
      </c>
      <c r="J468">
        <v>79.2</v>
      </c>
      <c r="K468">
        <v>77.099999999999994</v>
      </c>
      <c r="L468" t="s">
        <v>22</v>
      </c>
    </row>
    <row r="469" spans="1:12" x14ac:dyDescent="0.35">
      <c r="A469">
        <v>468</v>
      </c>
      <c r="B469" t="s">
        <v>12</v>
      </c>
      <c r="C469">
        <v>5.3</v>
      </c>
      <c r="D469">
        <v>94.2</v>
      </c>
      <c r="E469">
        <v>7.1</v>
      </c>
      <c r="F469" t="s">
        <v>23</v>
      </c>
      <c r="G469" t="s">
        <v>14</v>
      </c>
      <c r="H469" t="s">
        <v>15</v>
      </c>
      <c r="I469" t="s">
        <v>15</v>
      </c>
      <c r="J469">
        <v>63.7</v>
      </c>
      <c r="K469">
        <v>88.8</v>
      </c>
      <c r="L469" t="s">
        <v>20</v>
      </c>
    </row>
    <row r="470" spans="1:12" x14ac:dyDescent="0.35">
      <c r="A470">
        <v>469</v>
      </c>
      <c r="B470" t="s">
        <v>12</v>
      </c>
      <c r="C470">
        <v>5.6</v>
      </c>
      <c r="D470">
        <v>95</v>
      </c>
      <c r="E470">
        <v>8.3000000000000007</v>
      </c>
      <c r="F470" t="s">
        <v>13</v>
      </c>
      <c r="G470" t="s">
        <v>14</v>
      </c>
      <c r="H470" t="s">
        <v>15</v>
      </c>
      <c r="I470" t="s">
        <v>15</v>
      </c>
      <c r="J470">
        <v>69.900000000000006</v>
      </c>
      <c r="K470">
        <v>100</v>
      </c>
      <c r="L470" t="s">
        <v>16</v>
      </c>
    </row>
    <row r="471" spans="1:12" x14ac:dyDescent="0.35">
      <c r="A471">
        <v>470</v>
      </c>
      <c r="B471" t="s">
        <v>17</v>
      </c>
      <c r="C471">
        <v>2.6</v>
      </c>
      <c r="D471">
        <v>78.3</v>
      </c>
      <c r="E471">
        <v>6.2</v>
      </c>
      <c r="F471" t="s">
        <v>19</v>
      </c>
      <c r="G471" t="s">
        <v>14</v>
      </c>
      <c r="H471" t="s">
        <v>14</v>
      </c>
      <c r="I471" t="s">
        <v>14</v>
      </c>
      <c r="J471">
        <v>74.8</v>
      </c>
      <c r="K471">
        <v>89.9</v>
      </c>
      <c r="L471" t="s">
        <v>20</v>
      </c>
    </row>
    <row r="472" spans="1:12" x14ac:dyDescent="0.35">
      <c r="A472">
        <v>471</v>
      </c>
      <c r="B472" t="s">
        <v>12</v>
      </c>
      <c r="C472">
        <v>2.2999999999999998</v>
      </c>
      <c r="D472">
        <v>98.9</v>
      </c>
      <c r="E472">
        <v>5.9</v>
      </c>
      <c r="F472" t="s">
        <v>13</v>
      </c>
      <c r="G472" t="s">
        <v>14</v>
      </c>
      <c r="H472" t="s">
        <v>14</v>
      </c>
      <c r="I472" t="s">
        <v>15</v>
      </c>
      <c r="J472">
        <v>79.400000000000006</v>
      </c>
      <c r="K472">
        <v>87.6</v>
      </c>
      <c r="L472" t="s">
        <v>20</v>
      </c>
    </row>
    <row r="473" spans="1:12" x14ac:dyDescent="0.35">
      <c r="A473">
        <v>472</v>
      </c>
      <c r="B473" t="s">
        <v>17</v>
      </c>
      <c r="C473">
        <v>4.2</v>
      </c>
      <c r="D473">
        <v>82.5</v>
      </c>
      <c r="E473">
        <v>6.5</v>
      </c>
      <c r="F473" t="s">
        <v>19</v>
      </c>
      <c r="G473" t="s">
        <v>15</v>
      </c>
      <c r="H473" t="s">
        <v>14</v>
      </c>
      <c r="I473" t="s">
        <v>14</v>
      </c>
      <c r="J473">
        <v>48.7</v>
      </c>
      <c r="K473">
        <v>68</v>
      </c>
      <c r="L473" t="s">
        <v>21</v>
      </c>
    </row>
    <row r="474" spans="1:12" x14ac:dyDescent="0.35">
      <c r="A474">
        <v>473</v>
      </c>
      <c r="B474" t="s">
        <v>12</v>
      </c>
      <c r="C474">
        <v>2.7</v>
      </c>
      <c r="D474">
        <v>87.9</v>
      </c>
      <c r="E474">
        <v>8.1999999999999993</v>
      </c>
      <c r="F474" t="s">
        <v>23</v>
      </c>
      <c r="G474" t="s">
        <v>15</v>
      </c>
      <c r="H474" t="s">
        <v>14</v>
      </c>
      <c r="I474" t="s">
        <v>15</v>
      </c>
      <c r="J474">
        <v>78.599999999999994</v>
      </c>
      <c r="K474">
        <v>82.2</v>
      </c>
      <c r="L474" t="s">
        <v>20</v>
      </c>
    </row>
    <row r="475" spans="1:12" x14ac:dyDescent="0.35">
      <c r="A475">
        <v>474</v>
      </c>
      <c r="B475" t="s">
        <v>17</v>
      </c>
      <c r="C475">
        <v>4.4000000000000004</v>
      </c>
      <c r="D475">
        <v>87.6</v>
      </c>
      <c r="E475">
        <v>7</v>
      </c>
      <c r="F475" t="s">
        <v>18</v>
      </c>
      <c r="G475" t="s">
        <v>14</v>
      </c>
      <c r="H475" t="s">
        <v>14</v>
      </c>
      <c r="I475" t="s">
        <v>15</v>
      </c>
      <c r="J475">
        <v>67.2</v>
      </c>
      <c r="K475">
        <v>94</v>
      </c>
      <c r="L475" t="s">
        <v>16</v>
      </c>
    </row>
    <row r="476" spans="1:12" x14ac:dyDescent="0.35">
      <c r="A476">
        <v>475</v>
      </c>
      <c r="B476" t="s">
        <v>12</v>
      </c>
      <c r="C476">
        <v>3.8</v>
      </c>
      <c r="D476">
        <v>83.7</v>
      </c>
      <c r="E476">
        <v>6.2</v>
      </c>
      <c r="F476" t="s">
        <v>13</v>
      </c>
      <c r="G476" t="s">
        <v>15</v>
      </c>
      <c r="H476" t="s">
        <v>15</v>
      </c>
      <c r="I476" t="s">
        <v>15</v>
      </c>
      <c r="J476">
        <v>78.5</v>
      </c>
      <c r="K476">
        <v>90.9</v>
      </c>
      <c r="L476" t="s">
        <v>16</v>
      </c>
    </row>
    <row r="477" spans="1:12" x14ac:dyDescent="0.35">
      <c r="A477">
        <v>476</v>
      </c>
      <c r="B477" t="s">
        <v>17</v>
      </c>
      <c r="C477">
        <v>1.2</v>
      </c>
      <c r="D477">
        <v>93.1</v>
      </c>
      <c r="E477">
        <v>7.4</v>
      </c>
      <c r="F477" t="s">
        <v>19</v>
      </c>
      <c r="G477" t="s">
        <v>14</v>
      </c>
      <c r="H477" t="s">
        <v>15</v>
      </c>
      <c r="I477" t="s">
        <v>15</v>
      </c>
      <c r="J477">
        <v>79.3</v>
      </c>
      <c r="K477">
        <v>85</v>
      </c>
      <c r="L477" t="s">
        <v>20</v>
      </c>
    </row>
    <row r="478" spans="1:12" x14ac:dyDescent="0.35">
      <c r="A478">
        <v>477</v>
      </c>
      <c r="B478" t="s">
        <v>12</v>
      </c>
      <c r="C478">
        <v>5.8</v>
      </c>
      <c r="D478">
        <v>92.9</v>
      </c>
      <c r="E478">
        <v>5.5</v>
      </c>
      <c r="F478" t="s">
        <v>24</v>
      </c>
      <c r="G478" t="s">
        <v>14</v>
      </c>
      <c r="H478" t="s">
        <v>15</v>
      </c>
      <c r="I478" t="s">
        <v>14</v>
      </c>
      <c r="J478">
        <v>89.3</v>
      </c>
      <c r="K478">
        <v>100</v>
      </c>
      <c r="L478" t="s">
        <v>16</v>
      </c>
    </row>
    <row r="479" spans="1:12" x14ac:dyDescent="0.35">
      <c r="A479">
        <v>478</v>
      </c>
      <c r="B479" t="s">
        <v>17</v>
      </c>
      <c r="C479">
        <v>6.2</v>
      </c>
      <c r="D479">
        <v>67.5</v>
      </c>
      <c r="E479">
        <v>7.6</v>
      </c>
      <c r="F479" t="s">
        <v>18</v>
      </c>
      <c r="G479" t="s">
        <v>14</v>
      </c>
      <c r="H479" t="s">
        <v>14</v>
      </c>
      <c r="I479" t="s">
        <v>15</v>
      </c>
      <c r="J479">
        <v>86.2</v>
      </c>
      <c r="K479">
        <v>100</v>
      </c>
      <c r="L479" t="s">
        <v>16</v>
      </c>
    </row>
    <row r="480" spans="1:12" x14ac:dyDescent="0.35">
      <c r="A480">
        <v>479</v>
      </c>
      <c r="B480" t="s">
        <v>12</v>
      </c>
      <c r="C480">
        <v>2.6</v>
      </c>
      <c r="D480">
        <v>98</v>
      </c>
      <c r="E480">
        <v>7.3</v>
      </c>
      <c r="F480" t="s">
        <v>23</v>
      </c>
      <c r="G480" t="s">
        <v>14</v>
      </c>
      <c r="H480" t="s">
        <v>15</v>
      </c>
      <c r="I480" t="s">
        <v>14</v>
      </c>
      <c r="J480">
        <v>86.2</v>
      </c>
      <c r="K480">
        <v>87.4</v>
      </c>
      <c r="L480" t="s">
        <v>20</v>
      </c>
    </row>
    <row r="481" spans="1:12" x14ac:dyDescent="0.35">
      <c r="A481">
        <v>480</v>
      </c>
      <c r="B481" t="s">
        <v>17</v>
      </c>
      <c r="C481">
        <v>2.9</v>
      </c>
      <c r="D481">
        <v>68.400000000000006</v>
      </c>
      <c r="E481">
        <v>6.4</v>
      </c>
      <c r="F481" t="s">
        <v>18</v>
      </c>
      <c r="G481" t="s">
        <v>15</v>
      </c>
      <c r="H481" t="s">
        <v>14</v>
      </c>
      <c r="I481" t="s">
        <v>15</v>
      </c>
      <c r="J481">
        <v>87.3</v>
      </c>
      <c r="K481">
        <v>84.8</v>
      </c>
      <c r="L481" t="s">
        <v>20</v>
      </c>
    </row>
    <row r="482" spans="1:12" x14ac:dyDescent="0.35">
      <c r="A482">
        <v>481</v>
      </c>
      <c r="B482" t="s">
        <v>17</v>
      </c>
      <c r="C482">
        <v>3.9</v>
      </c>
      <c r="D482">
        <v>95.3</v>
      </c>
      <c r="E482">
        <v>5.8</v>
      </c>
      <c r="F482" t="s">
        <v>18</v>
      </c>
      <c r="G482" t="s">
        <v>14</v>
      </c>
      <c r="H482" t="s">
        <v>14</v>
      </c>
      <c r="I482" t="s">
        <v>15</v>
      </c>
      <c r="J482">
        <v>73.5</v>
      </c>
      <c r="K482">
        <v>89.5</v>
      </c>
      <c r="L482" t="s">
        <v>20</v>
      </c>
    </row>
    <row r="483" spans="1:12" x14ac:dyDescent="0.35">
      <c r="A483">
        <v>482</v>
      </c>
      <c r="B483" t="s">
        <v>17</v>
      </c>
      <c r="C483">
        <v>4</v>
      </c>
      <c r="D483">
        <v>96.3</v>
      </c>
      <c r="E483">
        <v>5.7</v>
      </c>
      <c r="F483" t="s">
        <v>13</v>
      </c>
      <c r="G483" t="s">
        <v>14</v>
      </c>
      <c r="H483" t="s">
        <v>15</v>
      </c>
      <c r="I483" t="s">
        <v>15</v>
      </c>
      <c r="J483">
        <v>70.400000000000006</v>
      </c>
      <c r="K483">
        <v>92.3</v>
      </c>
      <c r="L483" t="s">
        <v>16</v>
      </c>
    </row>
    <row r="484" spans="1:12" x14ac:dyDescent="0.35">
      <c r="A484">
        <v>483</v>
      </c>
      <c r="B484" t="s">
        <v>12</v>
      </c>
      <c r="C484">
        <v>4.5</v>
      </c>
      <c r="D484">
        <v>74.099999999999994</v>
      </c>
      <c r="E484">
        <v>7.4</v>
      </c>
      <c r="F484" t="s">
        <v>18</v>
      </c>
      <c r="G484" t="s">
        <v>14</v>
      </c>
      <c r="H484" t="s">
        <v>15</v>
      </c>
      <c r="I484" t="s">
        <v>14</v>
      </c>
      <c r="J484">
        <v>80.5</v>
      </c>
      <c r="K484">
        <v>86.6</v>
      </c>
      <c r="L484" t="s">
        <v>20</v>
      </c>
    </row>
    <row r="485" spans="1:12" x14ac:dyDescent="0.35">
      <c r="A485">
        <v>484</v>
      </c>
      <c r="B485" t="s">
        <v>17</v>
      </c>
      <c r="C485">
        <v>6.5</v>
      </c>
      <c r="D485">
        <v>80.900000000000006</v>
      </c>
      <c r="E485">
        <v>8.3000000000000007</v>
      </c>
      <c r="F485" t="s">
        <v>23</v>
      </c>
      <c r="G485" t="s">
        <v>14</v>
      </c>
      <c r="H485" t="s">
        <v>14</v>
      </c>
      <c r="I485" t="s">
        <v>15</v>
      </c>
      <c r="J485">
        <v>78.8</v>
      </c>
      <c r="K485">
        <v>100</v>
      </c>
      <c r="L485" t="s">
        <v>16</v>
      </c>
    </row>
    <row r="486" spans="1:12" x14ac:dyDescent="0.35">
      <c r="A486">
        <v>485</v>
      </c>
      <c r="B486" t="s">
        <v>12</v>
      </c>
      <c r="C486">
        <v>3.2</v>
      </c>
      <c r="D486">
        <v>73.900000000000006</v>
      </c>
      <c r="E486">
        <v>6</v>
      </c>
      <c r="F486" t="s">
        <v>18</v>
      </c>
      <c r="G486" t="s">
        <v>14</v>
      </c>
      <c r="H486" t="s">
        <v>14</v>
      </c>
      <c r="I486" t="s">
        <v>15</v>
      </c>
      <c r="J486">
        <v>66.3</v>
      </c>
      <c r="K486">
        <v>75.7</v>
      </c>
      <c r="L486" t="s">
        <v>22</v>
      </c>
    </row>
    <row r="487" spans="1:12" x14ac:dyDescent="0.35">
      <c r="A487">
        <v>486</v>
      </c>
      <c r="B487" t="s">
        <v>17</v>
      </c>
      <c r="C487">
        <v>2.2999999999999998</v>
      </c>
      <c r="D487">
        <v>82.9</v>
      </c>
      <c r="E487">
        <v>7.4</v>
      </c>
      <c r="F487" t="s">
        <v>23</v>
      </c>
      <c r="G487" t="s">
        <v>14</v>
      </c>
      <c r="H487" t="s">
        <v>14</v>
      </c>
      <c r="I487" t="s">
        <v>14</v>
      </c>
      <c r="J487">
        <v>74.900000000000006</v>
      </c>
      <c r="K487">
        <v>87.3</v>
      </c>
      <c r="L487" t="s">
        <v>20</v>
      </c>
    </row>
    <row r="488" spans="1:12" x14ac:dyDescent="0.35">
      <c r="A488">
        <v>487</v>
      </c>
      <c r="B488" t="s">
        <v>12</v>
      </c>
      <c r="C488">
        <v>1.4</v>
      </c>
      <c r="D488">
        <v>81.900000000000006</v>
      </c>
      <c r="E488">
        <v>4.3</v>
      </c>
      <c r="F488" t="s">
        <v>18</v>
      </c>
      <c r="G488" t="s">
        <v>14</v>
      </c>
      <c r="H488" t="s">
        <v>15</v>
      </c>
      <c r="I488" t="s">
        <v>15</v>
      </c>
      <c r="J488">
        <v>69.599999999999994</v>
      </c>
      <c r="K488">
        <v>66.599999999999994</v>
      </c>
      <c r="L488" t="s">
        <v>21</v>
      </c>
    </row>
    <row r="489" spans="1:12" x14ac:dyDescent="0.35">
      <c r="A489">
        <v>488</v>
      </c>
      <c r="B489" t="s">
        <v>17</v>
      </c>
      <c r="C489">
        <v>2.4</v>
      </c>
      <c r="D489">
        <v>92.8</v>
      </c>
      <c r="E489">
        <v>6.1</v>
      </c>
      <c r="F489" t="s">
        <v>18</v>
      </c>
      <c r="G489" t="s">
        <v>14</v>
      </c>
      <c r="H489" t="s">
        <v>14</v>
      </c>
      <c r="I489" t="s">
        <v>15</v>
      </c>
      <c r="J489">
        <v>59.8</v>
      </c>
      <c r="K489">
        <v>74.099999999999994</v>
      </c>
      <c r="L489" t="s">
        <v>22</v>
      </c>
    </row>
    <row r="490" spans="1:12" x14ac:dyDescent="0.35">
      <c r="A490">
        <v>489</v>
      </c>
      <c r="B490" t="s">
        <v>12</v>
      </c>
      <c r="C490">
        <v>3.5</v>
      </c>
      <c r="D490">
        <v>98.1</v>
      </c>
      <c r="E490">
        <v>6.8</v>
      </c>
      <c r="F490" t="s">
        <v>18</v>
      </c>
      <c r="G490" t="s">
        <v>14</v>
      </c>
      <c r="H490" t="s">
        <v>15</v>
      </c>
      <c r="I490" t="s">
        <v>15</v>
      </c>
      <c r="J490">
        <v>85.5</v>
      </c>
      <c r="K490">
        <v>100</v>
      </c>
      <c r="L490" t="s">
        <v>16</v>
      </c>
    </row>
    <row r="491" spans="1:12" x14ac:dyDescent="0.35">
      <c r="A491">
        <v>490</v>
      </c>
      <c r="B491" t="s">
        <v>12</v>
      </c>
      <c r="C491">
        <v>6.2</v>
      </c>
      <c r="D491">
        <v>99</v>
      </c>
      <c r="E491">
        <v>5.7</v>
      </c>
      <c r="F491" t="s">
        <v>18</v>
      </c>
      <c r="G491" t="s">
        <v>14</v>
      </c>
      <c r="H491" t="s">
        <v>14</v>
      </c>
      <c r="I491" t="s">
        <v>15</v>
      </c>
      <c r="J491">
        <v>70.7</v>
      </c>
      <c r="K491">
        <v>100</v>
      </c>
      <c r="L491" t="s">
        <v>16</v>
      </c>
    </row>
    <row r="492" spans="1:12" x14ac:dyDescent="0.35">
      <c r="A492">
        <v>491</v>
      </c>
      <c r="B492" t="s">
        <v>17</v>
      </c>
      <c r="C492">
        <v>2.7</v>
      </c>
      <c r="D492">
        <v>79.400000000000006</v>
      </c>
      <c r="E492">
        <v>5.7</v>
      </c>
      <c r="F492" t="s">
        <v>18</v>
      </c>
      <c r="G492" t="s">
        <v>14</v>
      </c>
      <c r="H492" t="s">
        <v>14</v>
      </c>
      <c r="I492" t="s">
        <v>15</v>
      </c>
      <c r="J492">
        <v>94.6</v>
      </c>
      <c r="K492">
        <v>74.3</v>
      </c>
      <c r="L492" t="s">
        <v>22</v>
      </c>
    </row>
    <row r="493" spans="1:12" x14ac:dyDescent="0.35">
      <c r="A493">
        <v>492</v>
      </c>
      <c r="B493" t="s">
        <v>12</v>
      </c>
      <c r="C493">
        <v>3.8</v>
      </c>
      <c r="D493">
        <v>82.9</v>
      </c>
      <c r="E493">
        <v>6</v>
      </c>
      <c r="F493" t="s">
        <v>18</v>
      </c>
      <c r="G493" t="s">
        <v>14</v>
      </c>
      <c r="H493" t="s">
        <v>14</v>
      </c>
      <c r="I493" t="s">
        <v>14</v>
      </c>
      <c r="J493">
        <v>50.5</v>
      </c>
      <c r="K493">
        <v>71.099999999999994</v>
      </c>
      <c r="L493" t="s">
        <v>22</v>
      </c>
    </row>
    <row r="494" spans="1:12" x14ac:dyDescent="0.35">
      <c r="A494">
        <v>493</v>
      </c>
      <c r="B494" t="s">
        <v>12</v>
      </c>
      <c r="C494">
        <v>3.5</v>
      </c>
      <c r="D494">
        <v>68.2</v>
      </c>
      <c r="E494">
        <v>7.2</v>
      </c>
      <c r="F494" t="s">
        <v>13</v>
      </c>
      <c r="G494" t="s">
        <v>14</v>
      </c>
      <c r="H494" t="s">
        <v>14</v>
      </c>
      <c r="I494" t="s">
        <v>15</v>
      </c>
      <c r="J494">
        <v>63.3</v>
      </c>
      <c r="K494">
        <v>66.7</v>
      </c>
      <c r="L494" t="s">
        <v>21</v>
      </c>
    </row>
    <row r="495" spans="1:12" x14ac:dyDescent="0.35">
      <c r="A495">
        <v>494</v>
      </c>
      <c r="B495" t="s">
        <v>17</v>
      </c>
      <c r="C495">
        <v>5.3</v>
      </c>
      <c r="D495">
        <v>76.900000000000006</v>
      </c>
      <c r="E495">
        <v>6.6</v>
      </c>
      <c r="F495" t="s">
        <v>18</v>
      </c>
      <c r="G495" t="s">
        <v>14</v>
      </c>
      <c r="H495" t="s">
        <v>14</v>
      </c>
      <c r="I495" t="s">
        <v>14</v>
      </c>
      <c r="J495">
        <v>70.400000000000006</v>
      </c>
      <c r="K495">
        <v>82.1</v>
      </c>
      <c r="L495" t="s">
        <v>20</v>
      </c>
    </row>
    <row r="496" spans="1:12" x14ac:dyDescent="0.35">
      <c r="A496">
        <v>495</v>
      </c>
      <c r="B496" t="s">
        <v>12</v>
      </c>
      <c r="C496">
        <v>7.3</v>
      </c>
      <c r="D496">
        <v>94.6</v>
      </c>
      <c r="E496">
        <v>4.0999999999999996</v>
      </c>
      <c r="F496" t="s">
        <v>13</v>
      </c>
      <c r="G496" t="s">
        <v>14</v>
      </c>
      <c r="H496" t="s">
        <v>15</v>
      </c>
      <c r="I496" t="s">
        <v>15</v>
      </c>
      <c r="J496">
        <v>83.6</v>
      </c>
      <c r="K496">
        <v>88.5</v>
      </c>
      <c r="L496" t="s">
        <v>20</v>
      </c>
    </row>
    <row r="497" spans="1:12" x14ac:dyDescent="0.35">
      <c r="A497">
        <v>496</v>
      </c>
      <c r="B497" t="s">
        <v>12</v>
      </c>
      <c r="C497">
        <v>2.7</v>
      </c>
      <c r="D497">
        <v>100</v>
      </c>
      <c r="E497">
        <v>4.3</v>
      </c>
      <c r="F497" t="s">
        <v>13</v>
      </c>
      <c r="G497" t="s">
        <v>15</v>
      </c>
      <c r="H497" t="s">
        <v>15</v>
      </c>
      <c r="I497" t="s">
        <v>15</v>
      </c>
      <c r="J497">
        <v>74.8</v>
      </c>
      <c r="K497">
        <v>79.400000000000006</v>
      </c>
      <c r="L497" t="s">
        <v>22</v>
      </c>
    </row>
    <row r="498" spans="1:12" x14ac:dyDescent="0.35">
      <c r="A498">
        <v>497</v>
      </c>
      <c r="B498" t="s">
        <v>12</v>
      </c>
      <c r="C498">
        <v>2.8</v>
      </c>
      <c r="D498">
        <v>72.7</v>
      </c>
      <c r="E498">
        <v>6.1</v>
      </c>
      <c r="F498" t="s">
        <v>24</v>
      </c>
      <c r="G498" t="s">
        <v>14</v>
      </c>
      <c r="H498" t="s">
        <v>15</v>
      </c>
      <c r="I498" t="s">
        <v>15</v>
      </c>
      <c r="J498">
        <v>73.7</v>
      </c>
      <c r="K498">
        <v>71</v>
      </c>
      <c r="L498" t="s">
        <v>22</v>
      </c>
    </row>
    <row r="499" spans="1:12" x14ac:dyDescent="0.35">
      <c r="A499">
        <v>498</v>
      </c>
      <c r="B499" t="s">
        <v>17</v>
      </c>
      <c r="C499">
        <v>5.0999999999999996</v>
      </c>
      <c r="D499">
        <v>79.099999999999994</v>
      </c>
      <c r="E499">
        <v>7.3</v>
      </c>
      <c r="F499" t="s">
        <v>19</v>
      </c>
      <c r="G499" t="s">
        <v>14</v>
      </c>
      <c r="H499" t="s">
        <v>15</v>
      </c>
      <c r="I499" t="s">
        <v>15</v>
      </c>
      <c r="J499">
        <v>56.5</v>
      </c>
      <c r="K499">
        <v>85.4</v>
      </c>
      <c r="L499" t="s">
        <v>20</v>
      </c>
    </row>
    <row r="500" spans="1:12" x14ac:dyDescent="0.35">
      <c r="A500">
        <v>499</v>
      </c>
      <c r="B500" t="s">
        <v>12</v>
      </c>
      <c r="C500">
        <v>4.5</v>
      </c>
      <c r="D500">
        <v>84.7</v>
      </c>
      <c r="E500">
        <v>3.5</v>
      </c>
      <c r="F500" t="s">
        <v>13</v>
      </c>
      <c r="G500" t="s">
        <v>15</v>
      </c>
      <c r="H500" t="s">
        <v>15</v>
      </c>
      <c r="I500" t="s">
        <v>14</v>
      </c>
      <c r="J500">
        <v>56.1</v>
      </c>
      <c r="K500">
        <v>61.8</v>
      </c>
      <c r="L500" t="s">
        <v>21</v>
      </c>
    </row>
    <row r="501" spans="1:12" x14ac:dyDescent="0.35">
      <c r="A501">
        <v>500</v>
      </c>
      <c r="B501" t="s">
        <v>17</v>
      </c>
      <c r="C501">
        <v>6.3</v>
      </c>
      <c r="D501">
        <v>87.8</v>
      </c>
      <c r="E501">
        <v>6.2</v>
      </c>
      <c r="F501" t="s">
        <v>18</v>
      </c>
      <c r="G501" t="s">
        <v>14</v>
      </c>
      <c r="H501" t="s">
        <v>15</v>
      </c>
      <c r="I501" t="s">
        <v>15</v>
      </c>
      <c r="J501">
        <v>73.900000000000006</v>
      </c>
      <c r="K501">
        <v>99.6</v>
      </c>
      <c r="L501" t="s">
        <v>16</v>
      </c>
    </row>
    <row r="502" spans="1:12" x14ac:dyDescent="0.35">
      <c r="A502">
        <v>501</v>
      </c>
      <c r="B502" t="s">
        <v>12</v>
      </c>
      <c r="C502">
        <v>4.4000000000000004</v>
      </c>
      <c r="D502">
        <v>76.900000000000006</v>
      </c>
      <c r="E502">
        <v>6.2</v>
      </c>
      <c r="F502" t="s">
        <v>18</v>
      </c>
      <c r="G502" t="s">
        <v>14</v>
      </c>
      <c r="H502" t="s">
        <v>15</v>
      </c>
      <c r="I502" t="s">
        <v>15</v>
      </c>
      <c r="J502">
        <v>53.6</v>
      </c>
      <c r="K502">
        <v>76.099999999999994</v>
      </c>
      <c r="L502" t="s">
        <v>22</v>
      </c>
    </row>
    <row r="503" spans="1:12" x14ac:dyDescent="0.35">
      <c r="A503">
        <v>502</v>
      </c>
      <c r="B503" t="s">
        <v>12</v>
      </c>
      <c r="C503">
        <v>3</v>
      </c>
      <c r="D503">
        <v>89.2</v>
      </c>
      <c r="E503">
        <v>8.5</v>
      </c>
      <c r="F503" t="s">
        <v>19</v>
      </c>
      <c r="G503" t="s">
        <v>14</v>
      </c>
      <c r="H503" t="s">
        <v>14</v>
      </c>
      <c r="I503" t="s">
        <v>14</v>
      </c>
      <c r="J503">
        <v>63.6</v>
      </c>
      <c r="K503">
        <v>90.4</v>
      </c>
      <c r="L503" t="s">
        <v>16</v>
      </c>
    </row>
    <row r="504" spans="1:12" x14ac:dyDescent="0.35">
      <c r="A504">
        <v>503</v>
      </c>
      <c r="B504" t="s">
        <v>12</v>
      </c>
      <c r="C504">
        <v>4.4000000000000004</v>
      </c>
      <c r="D504">
        <v>80.3</v>
      </c>
      <c r="E504">
        <v>6.3</v>
      </c>
      <c r="F504" t="s">
        <v>18</v>
      </c>
      <c r="G504" t="s">
        <v>15</v>
      </c>
      <c r="H504" t="s">
        <v>14</v>
      </c>
      <c r="I504" t="s">
        <v>15</v>
      </c>
      <c r="J504">
        <v>76</v>
      </c>
      <c r="K504">
        <v>93.3</v>
      </c>
      <c r="L504" t="s">
        <v>16</v>
      </c>
    </row>
    <row r="505" spans="1:12" x14ac:dyDescent="0.35">
      <c r="A505">
        <v>504</v>
      </c>
      <c r="B505" t="s">
        <v>17</v>
      </c>
      <c r="C505">
        <v>5.2</v>
      </c>
      <c r="D505">
        <v>84.9</v>
      </c>
      <c r="E505">
        <v>7.3</v>
      </c>
      <c r="F505" t="s">
        <v>18</v>
      </c>
      <c r="G505" t="s">
        <v>15</v>
      </c>
      <c r="H505" t="s">
        <v>14</v>
      </c>
      <c r="I505" t="s">
        <v>15</v>
      </c>
      <c r="J505">
        <v>58.2</v>
      </c>
      <c r="K505">
        <v>88.9</v>
      </c>
      <c r="L505" t="s">
        <v>20</v>
      </c>
    </row>
    <row r="506" spans="1:12" x14ac:dyDescent="0.35">
      <c r="A506">
        <v>505</v>
      </c>
      <c r="B506" t="s">
        <v>12</v>
      </c>
      <c r="C506">
        <v>4.7</v>
      </c>
      <c r="D506">
        <v>90.5</v>
      </c>
      <c r="E506">
        <v>7</v>
      </c>
      <c r="F506" t="s">
        <v>18</v>
      </c>
      <c r="G506" t="s">
        <v>14</v>
      </c>
      <c r="H506" t="s">
        <v>14</v>
      </c>
      <c r="I506" t="s">
        <v>15</v>
      </c>
      <c r="J506">
        <v>89.3</v>
      </c>
      <c r="K506">
        <v>99</v>
      </c>
      <c r="L506" t="s">
        <v>16</v>
      </c>
    </row>
    <row r="507" spans="1:12" x14ac:dyDescent="0.35">
      <c r="A507">
        <v>506</v>
      </c>
      <c r="B507" t="s">
        <v>12</v>
      </c>
      <c r="C507">
        <v>4.3</v>
      </c>
      <c r="D507">
        <v>85.1</v>
      </c>
      <c r="E507">
        <v>4.2</v>
      </c>
      <c r="F507" t="s">
        <v>18</v>
      </c>
      <c r="G507" t="s">
        <v>14</v>
      </c>
      <c r="H507" t="s">
        <v>14</v>
      </c>
      <c r="I507" t="s">
        <v>14</v>
      </c>
      <c r="J507">
        <v>84.7</v>
      </c>
      <c r="K507">
        <v>100</v>
      </c>
      <c r="L507" t="s">
        <v>16</v>
      </c>
    </row>
    <row r="508" spans="1:12" x14ac:dyDescent="0.35">
      <c r="A508">
        <v>507</v>
      </c>
      <c r="B508" t="s">
        <v>17</v>
      </c>
      <c r="C508">
        <v>5.0999999999999996</v>
      </c>
      <c r="D508">
        <v>80.599999999999994</v>
      </c>
      <c r="E508">
        <v>7.7</v>
      </c>
      <c r="F508" t="s">
        <v>18</v>
      </c>
      <c r="G508" t="s">
        <v>14</v>
      </c>
      <c r="H508" t="s">
        <v>15</v>
      </c>
      <c r="I508" t="s">
        <v>15</v>
      </c>
      <c r="J508">
        <v>51.1</v>
      </c>
      <c r="K508">
        <v>74.5</v>
      </c>
      <c r="L508" t="s">
        <v>22</v>
      </c>
    </row>
    <row r="509" spans="1:12" x14ac:dyDescent="0.35">
      <c r="A509">
        <v>508</v>
      </c>
      <c r="B509" t="s">
        <v>12</v>
      </c>
      <c r="C509">
        <v>5.3</v>
      </c>
      <c r="D509">
        <v>83.9</v>
      </c>
      <c r="E509">
        <v>7.1</v>
      </c>
      <c r="F509" t="s">
        <v>23</v>
      </c>
      <c r="G509" t="s">
        <v>15</v>
      </c>
      <c r="H509" t="s">
        <v>14</v>
      </c>
      <c r="I509" t="s">
        <v>14</v>
      </c>
      <c r="J509">
        <v>58.8</v>
      </c>
      <c r="K509">
        <v>72.8</v>
      </c>
      <c r="L509" t="s">
        <v>22</v>
      </c>
    </row>
    <row r="510" spans="1:12" x14ac:dyDescent="0.35">
      <c r="A510">
        <v>509</v>
      </c>
      <c r="B510" t="s">
        <v>17</v>
      </c>
      <c r="C510">
        <v>5.6</v>
      </c>
      <c r="D510">
        <v>84.1</v>
      </c>
      <c r="E510">
        <v>7.4</v>
      </c>
      <c r="F510" t="s">
        <v>18</v>
      </c>
      <c r="G510" t="s">
        <v>15</v>
      </c>
      <c r="H510" t="s">
        <v>14</v>
      </c>
      <c r="I510" t="s">
        <v>14</v>
      </c>
      <c r="J510">
        <v>42.6</v>
      </c>
      <c r="K510">
        <v>76.099999999999994</v>
      </c>
      <c r="L510" t="s">
        <v>22</v>
      </c>
    </row>
    <row r="511" spans="1:12" x14ac:dyDescent="0.35">
      <c r="A511">
        <v>510</v>
      </c>
      <c r="B511" t="s">
        <v>17</v>
      </c>
      <c r="C511">
        <v>4.5</v>
      </c>
      <c r="D511">
        <v>81.3</v>
      </c>
      <c r="E511">
        <v>10</v>
      </c>
      <c r="F511" t="s">
        <v>13</v>
      </c>
      <c r="G511" t="s">
        <v>14</v>
      </c>
      <c r="H511" t="s">
        <v>14</v>
      </c>
      <c r="I511" t="s">
        <v>14</v>
      </c>
      <c r="J511">
        <v>60.6</v>
      </c>
      <c r="K511">
        <v>99.5</v>
      </c>
      <c r="L511" t="s">
        <v>16</v>
      </c>
    </row>
    <row r="512" spans="1:12" x14ac:dyDescent="0.35">
      <c r="A512">
        <v>511</v>
      </c>
      <c r="B512" t="s">
        <v>12</v>
      </c>
      <c r="C512">
        <v>3.2</v>
      </c>
      <c r="D512">
        <v>82.4</v>
      </c>
      <c r="E512">
        <v>4.3</v>
      </c>
      <c r="F512" t="s">
        <v>18</v>
      </c>
      <c r="G512" t="s">
        <v>14</v>
      </c>
      <c r="H512" t="s">
        <v>14</v>
      </c>
      <c r="I512" t="s">
        <v>14</v>
      </c>
      <c r="J512">
        <v>79.2</v>
      </c>
      <c r="K512">
        <v>79.900000000000006</v>
      </c>
      <c r="L512" t="s">
        <v>22</v>
      </c>
    </row>
    <row r="513" spans="1:12" x14ac:dyDescent="0.35">
      <c r="A513">
        <v>512</v>
      </c>
      <c r="B513" t="s">
        <v>17</v>
      </c>
      <c r="C513">
        <v>3.7</v>
      </c>
      <c r="D513">
        <v>100</v>
      </c>
      <c r="E513">
        <v>8.9</v>
      </c>
      <c r="F513" t="s">
        <v>18</v>
      </c>
      <c r="G513" t="s">
        <v>14</v>
      </c>
      <c r="H513" t="s">
        <v>14</v>
      </c>
      <c r="I513" t="s">
        <v>14</v>
      </c>
      <c r="J513">
        <v>65</v>
      </c>
      <c r="K513">
        <v>88.2</v>
      </c>
      <c r="L513" t="s">
        <v>20</v>
      </c>
    </row>
    <row r="514" spans="1:12" x14ac:dyDescent="0.35">
      <c r="A514">
        <v>513</v>
      </c>
      <c r="B514" t="s">
        <v>12</v>
      </c>
      <c r="C514">
        <v>5.3</v>
      </c>
      <c r="D514">
        <v>90.6</v>
      </c>
      <c r="E514">
        <v>6.5</v>
      </c>
      <c r="F514" t="s">
        <v>19</v>
      </c>
      <c r="G514" t="s">
        <v>14</v>
      </c>
      <c r="H514" t="s">
        <v>14</v>
      </c>
      <c r="I514" t="s">
        <v>15</v>
      </c>
      <c r="J514">
        <v>75.5</v>
      </c>
      <c r="K514">
        <v>88.9</v>
      </c>
      <c r="L514" t="s">
        <v>20</v>
      </c>
    </row>
    <row r="515" spans="1:12" x14ac:dyDescent="0.35">
      <c r="A515">
        <v>514</v>
      </c>
      <c r="B515" t="s">
        <v>17</v>
      </c>
      <c r="C515">
        <v>2.2999999999999998</v>
      </c>
      <c r="D515">
        <v>82</v>
      </c>
      <c r="E515">
        <v>7.1</v>
      </c>
      <c r="F515" t="s">
        <v>18</v>
      </c>
      <c r="G515" t="s">
        <v>14</v>
      </c>
      <c r="H515" t="s">
        <v>14</v>
      </c>
      <c r="I515" t="s">
        <v>15</v>
      </c>
      <c r="J515">
        <v>51.7</v>
      </c>
      <c r="K515">
        <v>77.900000000000006</v>
      </c>
      <c r="L515" t="s">
        <v>22</v>
      </c>
    </row>
    <row r="516" spans="1:12" x14ac:dyDescent="0.35">
      <c r="A516">
        <v>515</v>
      </c>
      <c r="B516" t="s">
        <v>17</v>
      </c>
      <c r="C516">
        <v>4.0999999999999996</v>
      </c>
      <c r="D516">
        <v>92</v>
      </c>
      <c r="E516">
        <v>6.7</v>
      </c>
      <c r="F516" t="s">
        <v>23</v>
      </c>
      <c r="G516" t="s">
        <v>14</v>
      </c>
      <c r="H516" t="s">
        <v>14</v>
      </c>
      <c r="I516" t="s">
        <v>14</v>
      </c>
      <c r="J516">
        <v>79.599999999999994</v>
      </c>
      <c r="K516">
        <v>97.2</v>
      </c>
      <c r="L516" t="s">
        <v>16</v>
      </c>
    </row>
    <row r="517" spans="1:12" x14ac:dyDescent="0.35">
      <c r="A517">
        <v>516</v>
      </c>
      <c r="B517" t="s">
        <v>12</v>
      </c>
      <c r="C517">
        <v>2.9</v>
      </c>
      <c r="D517">
        <v>81.7</v>
      </c>
      <c r="E517">
        <v>6.3</v>
      </c>
      <c r="F517" t="s">
        <v>13</v>
      </c>
      <c r="G517" t="s">
        <v>14</v>
      </c>
      <c r="H517" t="s">
        <v>15</v>
      </c>
      <c r="I517" t="s">
        <v>14</v>
      </c>
      <c r="J517">
        <v>63.3</v>
      </c>
      <c r="K517">
        <v>79.3</v>
      </c>
      <c r="L517" t="s">
        <v>22</v>
      </c>
    </row>
    <row r="518" spans="1:12" x14ac:dyDescent="0.35">
      <c r="A518">
        <v>517</v>
      </c>
      <c r="B518" t="s">
        <v>17</v>
      </c>
      <c r="C518">
        <v>3.5</v>
      </c>
      <c r="D518">
        <v>96.7</v>
      </c>
      <c r="E518">
        <v>6.1</v>
      </c>
      <c r="F518" t="s">
        <v>18</v>
      </c>
      <c r="G518" t="s">
        <v>14</v>
      </c>
      <c r="H518" t="s">
        <v>15</v>
      </c>
      <c r="I518" t="s">
        <v>15</v>
      </c>
      <c r="J518">
        <v>70.099999999999994</v>
      </c>
      <c r="K518">
        <v>84.2</v>
      </c>
      <c r="L518" t="s">
        <v>20</v>
      </c>
    </row>
    <row r="519" spans="1:12" x14ac:dyDescent="0.35">
      <c r="A519">
        <v>518</v>
      </c>
      <c r="B519" t="s">
        <v>17</v>
      </c>
      <c r="C519">
        <v>5.4</v>
      </c>
      <c r="D519">
        <v>88.7</v>
      </c>
      <c r="E519">
        <v>7.2</v>
      </c>
      <c r="F519" t="s">
        <v>19</v>
      </c>
      <c r="G519" t="s">
        <v>15</v>
      </c>
      <c r="H519" t="s">
        <v>14</v>
      </c>
      <c r="I519" t="s">
        <v>15</v>
      </c>
      <c r="J519">
        <v>68.900000000000006</v>
      </c>
      <c r="K519">
        <v>86.3</v>
      </c>
      <c r="L519" t="s">
        <v>20</v>
      </c>
    </row>
    <row r="520" spans="1:12" x14ac:dyDescent="0.35">
      <c r="A520">
        <v>519</v>
      </c>
      <c r="B520" t="s">
        <v>17</v>
      </c>
      <c r="C520">
        <v>3.8</v>
      </c>
      <c r="D520">
        <v>83.9</v>
      </c>
      <c r="E520">
        <v>5</v>
      </c>
      <c r="F520" t="s">
        <v>18</v>
      </c>
      <c r="G520" t="s">
        <v>14</v>
      </c>
      <c r="H520" t="s">
        <v>14</v>
      </c>
      <c r="I520" t="s">
        <v>14</v>
      </c>
      <c r="J520">
        <v>54.7</v>
      </c>
      <c r="K520">
        <v>67.599999999999994</v>
      </c>
      <c r="L520" t="s">
        <v>21</v>
      </c>
    </row>
    <row r="521" spans="1:12" x14ac:dyDescent="0.35">
      <c r="A521">
        <v>520</v>
      </c>
      <c r="B521" t="s">
        <v>17</v>
      </c>
      <c r="C521">
        <v>3.6</v>
      </c>
      <c r="D521">
        <v>89.5</v>
      </c>
      <c r="E521">
        <v>7.7</v>
      </c>
      <c r="F521" t="s">
        <v>24</v>
      </c>
      <c r="G521" t="s">
        <v>14</v>
      </c>
      <c r="H521" t="s">
        <v>14</v>
      </c>
      <c r="I521" t="s">
        <v>14</v>
      </c>
      <c r="J521">
        <v>56.2</v>
      </c>
      <c r="K521">
        <v>80.7</v>
      </c>
      <c r="L521" t="s">
        <v>20</v>
      </c>
    </row>
    <row r="522" spans="1:12" x14ac:dyDescent="0.35">
      <c r="A522">
        <v>521</v>
      </c>
      <c r="B522" t="s">
        <v>17</v>
      </c>
      <c r="C522">
        <v>1.5</v>
      </c>
      <c r="D522">
        <v>69.3</v>
      </c>
      <c r="E522">
        <v>6.3</v>
      </c>
      <c r="F522" t="s">
        <v>18</v>
      </c>
      <c r="G522" t="s">
        <v>14</v>
      </c>
      <c r="H522" t="s">
        <v>15</v>
      </c>
      <c r="I522" t="s">
        <v>14</v>
      </c>
      <c r="J522">
        <v>81.599999999999994</v>
      </c>
      <c r="K522">
        <v>64.7</v>
      </c>
      <c r="L522" t="s">
        <v>21</v>
      </c>
    </row>
    <row r="523" spans="1:12" x14ac:dyDescent="0.35">
      <c r="A523">
        <v>522</v>
      </c>
      <c r="B523" t="s">
        <v>12</v>
      </c>
      <c r="C523">
        <v>4.5999999999999996</v>
      </c>
      <c r="D523">
        <v>73.7</v>
      </c>
      <c r="E523">
        <v>5.4</v>
      </c>
      <c r="F523" t="s">
        <v>24</v>
      </c>
      <c r="G523" t="s">
        <v>15</v>
      </c>
      <c r="H523" t="s">
        <v>14</v>
      </c>
      <c r="I523" t="s">
        <v>14</v>
      </c>
      <c r="J523">
        <v>74.8</v>
      </c>
      <c r="K523">
        <v>71.8</v>
      </c>
      <c r="L523" t="s">
        <v>22</v>
      </c>
    </row>
    <row r="524" spans="1:12" x14ac:dyDescent="0.35">
      <c r="A524">
        <v>523</v>
      </c>
      <c r="B524" t="s">
        <v>17</v>
      </c>
      <c r="C524">
        <v>4.5</v>
      </c>
      <c r="D524">
        <v>73.099999999999994</v>
      </c>
      <c r="E524">
        <v>6.3</v>
      </c>
      <c r="F524" t="s">
        <v>18</v>
      </c>
      <c r="G524" t="s">
        <v>14</v>
      </c>
      <c r="H524" t="s">
        <v>14</v>
      </c>
      <c r="I524" t="s">
        <v>14</v>
      </c>
      <c r="J524">
        <v>82.6</v>
      </c>
      <c r="K524">
        <v>84.9</v>
      </c>
      <c r="L524" t="s">
        <v>20</v>
      </c>
    </row>
    <row r="525" spans="1:12" x14ac:dyDescent="0.35">
      <c r="A525">
        <v>524</v>
      </c>
      <c r="B525" t="s">
        <v>12</v>
      </c>
      <c r="C525">
        <v>6.7</v>
      </c>
      <c r="D525">
        <v>86.4</v>
      </c>
      <c r="E525">
        <v>8.3000000000000007</v>
      </c>
      <c r="F525" t="s">
        <v>13</v>
      </c>
      <c r="G525" t="s">
        <v>14</v>
      </c>
      <c r="H525" t="s">
        <v>15</v>
      </c>
      <c r="I525" t="s">
        <v>15</v>
      </c>
      <c r="J525">
        <v>73.900000000000006</v>
      </c>
      <c r="K525">
        <v>100</v>
      </c>
      <c r="L525" t="s">
        <v>16</v>
      </c>
    </row>
    <row r="526" spans="1:12" x14ac:dyDescent="0.35">
      <c r="A526">
        <v>525</v>
      </c>
      <c r="B526" t="s">
        <v>17</v>
      </c>
      <c r="C526">
        <v>3</v>
      </c>
      <c r="D526">
        <v>100</v>
      </c>
      <c r="E526">
        <v>6.2</v>
      </c>
      <c r="F526" t="s">
        <v>23</v>
      </c>
      <c r="G526" t="s">
        <v>14</v>
      </c>
      <c r="H526" t="s">
        <v>14</v>
      </c>
      <c r="I526" t="s">
        <v>14</v>
      </c>
      <c r="J526">
        <v>71.7</v>
      </c>
      <c r="K526">
        <v>82.4</v>
      </c>
      <c r="L526" t="s">
        <v>20</v>
      </c>
    </row>
    <row r="527" spans="1:12" x14ac:dyDescent="0.35">
      <c r="A527">
        <v>526</v>
      </c>
      <c r="B527" t="s">
        <v>12</v>
      </c>
      <c r="C527">
        <v>3.8</v>
      </c>
      <c r="D527">
        <v>100</v>
      </c>
      <c r="E527">
        <v>7.2</v>
      </c>
      <c r="F527" t="s">
        <v>19</v>
      </c>
      <c r="G527" t="s">
        <v>14</v>
      </c>
      <c r="H527" t="s">
        <v>14</v>
      </c>
      <c r="I527" t="s">
        <v>15</v>
      </c>
      <c r="J527">
        <v>49.3</v>
      </c>
      <c r="K527">
        <v>87.3</v>
      </c>
      <c r="L527" t="s">
        <v>20</v>
      </c>
    </row>
    <row r="528" spans="1:12" x14ac:dyDescent="0.35">
      <c r="A528">
        <v>527</v>
      </c>
      <c r="B528" t="s">
        <v>12</v>
      </c>
      <c r="C528">
        <v>3.9</v>
      </c>
      <c r="D528">
        <v>91.4</v>
      </c>
      <c r="E528">
        <v>5.9</v>
      </c>
      <c r="F528" t="s">
        <v>19</v>
      </c>
      <c r="G528" t="s">
        <v>14</v>
      </c>
      <c r="H528" t="s">
        <v>14</v>
      </c>
      <c r="I528" t="s">
        <v>14</v>
      </c>
      <c r="J528">
        <v>66.8</v>
      </c>
      <c r="K528">
        <v>84.8</v>
      </c>
      <c r="L528" t="s">
        <v>20</v>
      </c>
    </row>
    <row r="529" spans="1:12" x14ac:dyDescent="0.35">
      <c r="A529">
        <v>528</v>
      </c>
      <c r="B529" t="s">
        <v>17</v>
      </c>
      <c r="C529">
        <v>5.9</v>
      </c>
      <c r="D529">
        <v>90</v>
      </c>
      <c r="E529">
        <v>7.7</v>
      </c>
      <c r="F529" t="s">
        <v>23</v>
      </c>
      <c r="G529" t="s">
        <v>14</v>
      </c>
      <c r="H529" t="s">
        <v>15</v>
      </c>
      <c r="I529" t="s">
        <v>15</v>
      </c>
      <c r="J529">
        <v>69.7</v>
      </c>
      <c r="K529">
        <v>96.4</v>
      </c>
      <c r="L529" t="s">
        <v>16</v>
      </c>
    </row>
    <row r="530" spans="1:12" x14ac:dyDescent="0.35">
      <c r="A530">
        <v>529</v>
      </c>
      <c r="B530" t="s">
        <v>17</v>
      </c>
      <c r="C530">
        <v>3.4</v>
      </c>
      <c r="D530">
        <v>67</v>
      </c>
      <c r="E530">
        <v>7.6</v>
      </c>
      <c r="F530" t="s">
        <v>24</v>
      </c>
      <c r="G530" t="s">
        <v>15</v>
      </c>
      <c r="H530" t="s">
        <v>15</v>
      </c>
      <c r="I530" t="s">
        <v>15</v>
      </c>
      <c r="J530">
        <v>93.4</v>
      </c>
      <c r="K530">
        <v>84.3</v>
      </c>
      <c r="L530" t="s">
        <v>20</v>
      </c>
    </row>
    <row r="531" spans="1:12" x14ac:dyDescent="0.35">
      <c r="A531">
        <v>530</v>
      </c>
      <c r="B531" t="s">
        <v>17</v>
      </c>
      <c r="C531">
        <v>3.9</v>
      </c>
      <c r="D531">
        <v>79.599999999999994</v>
      </c>
      <c r="E531">
        <v>9</v>
      </c>
      <c r="F531" t="s">
        <v>18</v>
      </c>
      <c r="G531" t="s">
        <v>14</v>
      </c>
      <c r="H531" t="s">
        <v>15</v>
      </c>
      <c r="I531" t="s">
        <v>15</v>
      </c>
      <c r="J531">
        <v>78.2</v>
      </c>
      <c r="K531">
        <v>84.5</v>
      </c>
      <c r="L531" t="s">
        <v>20</v>
      </c>
    </row>
    <row r="532" spans="1:12" x14ac:dyDescent="0.35">
      <c r="A532">
        <v>531</v>
      </c>
      <c r="B532" t="s">
        <v>12</v>
      </c>
      <c r="C532">
        <v>4.4000000000000004</v>
      </c>
      <c r="D532">
        <v>77.099999999999994</v>
      </c>
      <c r="E532">
        <v>6.6</v>
      </c>
      <c r="F532" t="s">
        <v>18</v>
      </c>
      <c r="G532" t="s">
        <v>14</v>
      </c>
      <c r="H532" t="s">
        <v>14</v>
      </c>
      <c r="I532" t="s">
        <v>15</v>
      </c>
      <c r="J532">
        <v>88.4</v>
      </c>
      <c r="K532">
        <v>94.7</v>
      </c>
      <c r="L532" t="s">
        <v>16</v>
      </c>
    </row>
    <row r="533" spans="1:12" x14ac:dyDescent="0.35">
      <c r="A533">
        <v>532</v>
      </c>
      <c r="B533" t="s">
        <v>17</v>
      </c>
      <c r="C533">
        <v>3.8</v>
      </c>
      <c r="D533">
        <v>78.8</v>
      </c>
      <c r="E533">
        <v>7.6</v>
      </c>
      <c r="F533" t="s">
        <v>18</v>
      </c>
      <c r="G533" t="s">
        <v>14</v>
      </c>
      <c r="H533" t="s">
        <v>14</v>
      </c>
      <c r="I533" t="s">
        <v>15</v>
      </c>
      <c r="J533">
        <v>77.2</v>
      </c>
      <c r="K533">
        <v>89.6</v>
      </c>
      <c r="L533" t="s">
        <v>20</v>
      </c>
    </row>
    <row r="534" spans="1:12" x14ac:dyDescent="0.35">
      <c r="A534">
        <v>533</v>
      </c>
      <c r="B534" t="s">
        <v>12</v>
      </c>
      <c r="C534">
        <v>2.8</v>
      </c>
      <c r="D534">
        <v>83.3</v>
      </c>
      <c r="E534">
        <v>6.9</v>
      </c>
      <c r="F534" t="s">
        <v>13</v>
      </c>
      <c r="G534" t="s">
        <v>14</v>
      </c>
      <c r="H534" t="s">
        <v>15</v>
      </c>
      <c r="I534" t="s">
        <v>15</v>
      </c>
      <c r="J534">
        <v>61.5</v>
      </c>
      <c r="K534">
        <v>68.599999999999994</v>
      </c>
      <c r="L534" t="s">
        <v>21</v>
      </c>
    </row>
    <row r="535" spans="1:12" x14ac:dyDescent="0.35">
      <c r="A535">
        <v>534</v>
      </c>
      <c r="B535" t="s">
        <v>12</v>
      </c>
      <c r="C535">
        <v>3.8</v>
      </c>
      <c r="D535">
        <v>80.3</v>
      </c>
      <c r="E535">
        <v>8.4</v>
      </c>
      <c r="F535" t="s">
        <v>13</v>
      </c>
      <c r="G535" t="s">
        <v>14</v>
      </c>
      <c r="H535" t="s">
        <v>15</v>
      </c>
      <c r="I535" t="s">
        <v>15</v>
      </c>
      <c r="J535">
        <v>71.400000000000006</v>
      </c>
      <c r="K535">
        <v>92.8</v>
      </c>
      <c r="L535" t="s">
        <v>16</v>
      </c>
    </row>
    <row r="536" spans="1:12" x14ac:dyDescent="0.35">
      <c r="A536">
        <v>535</v>
      </c>
      <c r="B536" t="s">
        <v>12</v>
      </c>
      <c r="C536">
        <v>5.0999999999999996</v>
      </c>
      <c r="D536">
        <v>65.2</v>
      </c>
      <c r="E536">
        <v>5.9</v>
      </c>
      <c r="F536" t="s">
        <v>13</v>
      </c>
      <c r="G536" t="s">
        <v>14</v>
      </c>
      <c r="H536" t="s">
        <v>14</v>
      </c>
      <c r="I536" t="s">
        <v>15</v>
      </c>
      <c r="J536">
        <v>72.8</v>
      </c>
      <c r="K536">
        <v>80.7</v>
      </c>
      <c r="L536" t="s">
        <v>20</v>
      </c>
    </row>
    <row r="537" spans="1:12" x14ac:dyDescent="0.35">
      <c r="A537">
        <v>536</v>
      </c>
      <c r="B537" t="s">
        <v>17</v>
      </c>
      <c r="C537">
        <v>2</v>
      </c>
      <c r="D537">
        <v>92.5</v>
      </c>
      <c r="E537">
        <v>7.7</v>
      </c>
      <c r="F537" t="s">
        <v>18</v>
      </c>
      <c r="G537" t="s">
        <v>14</v>
      </c>
      <c r="H537" t="s">
        <v>15</v>
      </c>
      <c r="I537" t="s">
        <v>15</v>
      </c>
      <c r="J537">
        <v>58.7</v>
      </c>
      <c r="K537">
        <v>77.599999999999994</v>
      </c>
      <c r="L537" t="s">
        <v>22</v>
      </c>
    </row>
    <row r="538" spans="1:12" x14ac:dyDescent="0.35">
      <c r="A538">
        <v>537</v>
      </c>
      <c r="B538" t="s">
        <v>17</v>
      </c>
      <c r="C538">
        <v>3.7</v>
      </c>
      <c r="D538">
        <v>74.3</v>
      </c>
      <c r="E538">
        <v>6.6</v>
      </c>
      <c r="F538" t="s">
        <v>23</v>
      </c>
      <c r="G538" t="s">
        <v>14</v>
      </c>
      <c r="H538" t="s">
        <v>14</v>
      </c>
      <c r="I538" t="s">
        <v>15</v>
      </c>
      <c r="J538">
        <v>65.400000000000006</v>
      </c>
      <c r="K538">
        <v>87.7</v>
      </c>
      <c r="L538" t="s">
        <v>20</v>
      </c>
    </row>
    <row r="539" spans="1:12" x14ac:dyDescent="0.35">
      <c r="A539">
        <v>538</v>
      </c>
      <c r="B539" t="s">
        <v>12</v>
      </c>
      <c r="C539">
        <v>2.4</v>
      </c>
      <c r="D539">
        <v>87.4</v>
      </c>
      <c r="E539">
        <v>6.7</v>
      </c>
      <c r="F539" t="s">
        <v>18</v>
      </c>
      <c r="G539" t="s">
        <v>14</v>
      </c>
      <c r="H539" t="s">
        <v>14</v>
      </c>
      <c r="I539" t="s">
        <v>15</v>
      </c>
      <c r="J539">
        <v>67.5</v>
      </c>
      <c r="K539">
        <v>86</v>
      </c>
      <c r="L539" t="s">
        <v>20</v>
      </c>
    </row>
    <row r="540" spans="1:12" x14ac:dyDescent="0.35">
      <c r="A540">
        <v>539</v>
      </c>
      <c r="B540" t="s">
        <v>12</v>
      </c>
      <c r="C540">
        <v>5.3</v>
      </c>
      <c r="D540">
        <v>100</v>
      </c>
      <c r="E540">
        <v>6.9</v>
      </c>
      <c r="F540" t="s">
        <v>18</v>
      </c>
      <c r="G540" t="s">
        <v>14</v>
      </c>
      <c r="H540" t="s">
        <v>15</v>
      </c>
      <c r="I540" t="s">
        <v>15</v>
      </c>
      <c r="J540">
        <v>89.3</v>
      </c>
      <c r="K540">
        <v>100</v>
      </c>
      <c r="L540" t="s">
        <v>16</v>
      </c>
    </row>
    <row r="541" spans="1:12" x14ac:dyDescent="0.35">
      <c r="A541">
        <v>540</v>
      </c>
      <c r="B541" t="s">
        <v>17</v>
      </c>
      <c r="C541">
        <v>1.2</v>
      </c>
      <c r="D541">
        <v>75.8</v>
      </c>
      <c r="E541">
        <v>7.1</v>
      </c>
      <c r="F541" t="s">
        <v>13</v>
      </c>
      <c r="G541" t="s">
        <v>14</v>
      </c>
      <c r="H541" t="s">
        <v>14</v>
      </c>
      <c r="I541" t="s">
        <v>14</v>
      </c>
      <c r="J541">
        <v>45</v>
      </c>
      <c r="K541">
        <v>57.3</v>
      </c>
      <c r="L541" t="s">
        <v>25</v>
      </c>
    </row>
    <row r="542" spans="1:12" x14ac:dyDescent="0.35">
      <c r="A542">
        <v>541</v>
      </c>
      <c r="B542" t="s">
        <v>12</v>
      </c>
      <c r="C542">
        <v>2.7</v>
      </c>
      <c r="D542">
        <v>59.7</v>
      </c>
      <c r="E542">
        <v>6.7</v>
      </c>
      <c r="F542" t="s">
        <v>23</v>
      </c>
      <c r="G542" t="s">
        <v>15</v>
      </c>
      <c r="H542" t="s">
        <v>15</v>
      </c>
      <c r="I542" t="s">
        <v>14</v>
      </c>
      <c r="J542">
        <v>84.5</v>
      </c>
      <c r="K542">
        <v>75.599999999999994</v>
      </c>
      <c r="L542" t="s">
        <v>22</v>
      </c>
    </row>
    <row r="543" spans="1:12" x14ac:dyDescent="0.35">
      <c r="A543">
        <v>542</v>
      </c>
      <c r="B543" t="s">
        <v>17</v>
      </c>
      <c r="C543">
        <v>4.0999999999999996</v>
      </c>
      <c r="D543">
        <v>82.1</v>
      </c>
      <c r="E543">
        <v>7.1</v>
      </c>
      <c r="F543" t="s">
        <v>23</v>
      </c>
      <c r="G543" t="s">
        <v>14</v>
      </c>
      <c r="H543" t="s">
        <v>14</v>
      </c>
      <c r="I543" t="s">
        <v>15</v>
      </c>
      <c r="J543">
        <v>58.8</v>
      </c>
      <c r="K543">
        <v>87.3</v>
      </c>
      <c r="L543" t="s">
        <v>20</v>
      </c>
    </row>
    <row r="544" spans="1:12" x14ac:dyDescent="0.35">
      <c r="A544">
        <v>543</v>
      </c>
      <c r="B544" t="s">
        <v>12</v>
      </c>
      <c r="C544">
        <v>5.8</v>
      </c>
      <c r="D544">
        <v>96</v>
      </c>
      <c r="E544">
        <v>8.6999999999999993</v>
      </c>
      <c r="F544" t="s">
        <v>13</v>
      </c>
      <c r="G544" t="s">
        <v>14</v>
      </c>
      <c r="H544" t="s">
        <v>14</v>
      </c>
      <c r="I544" t="s">
        <v>14</v>
      </c>
      <c r="J544">
        <v>53.5</v>
      </c>
      <c r="K544">
        <v>88.8</v>
      </c>
      <c r="L544" t="s">
        <v>20</v>
      </c>
    </row>
    <row r="545" spans="1:12" x14ac:dyDescent="0.35">
      <c r="A545">
        <v>544</v>
      </c>
      <c r="B545" t="s">
        <v>17</v>
      </c>
      <c r="C545">
        <v>3.4</v>
      </c>
      <c r="D545">
        <v>100</v>
      </c>
      <c r="E545">
        <v>8</v>
      </c>
      <c r="F545" t="s">
        <v>18</v>
      </c>
      <c r="G545" t="s">
        <v>14</v>
      </c>
      <c r="H545" t="s">
        <v>15</v>
      </c>
      <c r="I545" t="s">
        <v>15</v>
      </c>
      <c r="J545">
        <v>84.2</v>
      </c>
      <c r="K545">
        <v>91.8</v>
      </c>
      <c r="L545" t="s">
        <v>16</v>
      </c>
    </row>
    <row r="546" spans="1:12" x14ac:dyDescent="0.35">
      <c r="A546">
        <v>545</v>
      </c>
      <c r="B546" t="s">
        <v>12</v>
      </c>
      <c r="C546">
        <v>2.7</v>
      </c>
      <c r="D546">
        <v>72.7</v>
      </c>
      <c r="E546">
        <v>7.8</v>
      </c>
      <c r="F546" t="s">
        <v>13</v>
      </c>
      <c r="G546" t="s">
        <v>14</v>
      </c>
      <c r="H546" t="s">
        <v>15</v>
      </c>
      <c r="I546" t="s">
        <v>14</v>
      </c>
      <c r="J546">
        <v>78.8</v>
      </c>
      <c r="K546">
        <v>66</v>
      </c>
      <c r="L546" t="s">
        <v>21</v>
      </c>
    </row>
    <row r="547" spans="1:12" x14ac:dyDescent="0.35">
      <c r="A547">
        <v>546</v>
      </c>
      <c r="B547" t="s">
        <v>17</v>
      </c>
      <c r="C547">
        <v>6.3</v>
      </c>
      <c r="D547">
        <v>90</v>
      </c>
      <c r="E547">
        <v>6.3</v>
      </c>
      <c r="F547" t="s">
        <v>18</v>
      </c>
      <c r="G547" t="s">
        <v>14</v>
      </c>
      <c r="H547" t="s">
        <v>14</v>
      </c>
      <c r="I547" t="s">
        <v>15</v>
      </c>
      <c r="J547">
        <v>85.1</v>
      </c>
      <c r="K547">
        <v>100</v>
      </c>
      <c r="L547" t="s">
        <v>16</v>
      </c>
    </row>
    <row r="548" spans="1:12" x14ac:dyDescent="0.35">
      <c r="A548">
        <v>547</v>
      </c>
      <c r="B548" t="s">
        <v>12</v>
      </c>
      <c r="C548">
        <v>1.3</v>
      </c>
      <c r="D548">
        <v>80.3</v>
      </c>
      <c r="E548">
        <v>5.7</v>
      </c>
      <c r="F548" t="s">
        <v>13</v>
      </c>
      <c r="G548" t="s">
        <v>15</v>
      </c>
      <c r="H548" t="s">
        <v>14</v>
      </c>
      <c r="I548" t="s">
        <v>15</v>
      </c>
      <c r="J548">
        <v>79.599999999999994</v>
      </c>
      <c r="K548">
        <v>71.099999999999994</v>
      </c>
      <c r="L548" t="s">
        <v>22</v>
      </c>
    </row>
    <row r="549" spans="1:12" x14ac:dyDescent="0.35">
      <c r="A549">
        <v>548</v>
      </c>
      <c r="B549" t="s">
        <v>17</v>
      </c>
      <c r="C549">
        <v>0.5</v>
      </c>
      <c r="D549">
        <v>83.9</v>
      </c>
      <c r="E549">
        <v>7.9</v>
      </c>
      <c r="F549" t="s">
        <v>13</v>
      </c>
      <c r="G549" t="s">
        <v>14</v>
      </c>
      <c r="H549" t="s">
        <v>15</v>
      </c>
      <c r="I549" t="s">
        <v>15</v>
      </c>
      <c r="J549">
        <v>94.7</v>
      </c>
      <c r="K549">
        <v>88.8</v>
      </c>
      <c r="L549" t="s">
        <v>20</v>
      </c>
    </row>
    <row r="550" spans="1:12" x14ac:dyDescent="0.35">
      <c r="A550">
        <v>549</v>
      </c>
      <c r="B550" t="s">
        <v>17</v>
      </c>
      <c r="C550">
        <v>4.2</v>
      </c>
      <c r="D550">
        <v>100</v>
      </c>
      <c r="E550">
        <v>7.9</v>
      </c>
      <c r="F550" t="s">
        <v>18</v>
      </c>
      <c r="G550" t="s">
        <v>14</v>
      </c>
      <c r="H550" t="s">
        <v>14</v>
      </c>
      <c r="I550" t="s">
        <v>15</v>
      </c>
      <c r="J550">
        <v>76.7</v>
      </c>
      <c r="K550">
        <v>100</v>
      </c>
      <c r="L550" t="s">
        <v>16</v>
      </c>
    </row>
    <row r="551" spans="1:12" x14ac:dyDescent="0.35">
      <c r="A551">
        <v>550</v>
      </c>
      <c r="B551" t="s">
        <v>12</v>
      </c>
      <c r="C551">
        <v>2.7</v>
      </c>
      <c r="D551">
        <v>70</v>
      </c>
      <c r="E551">
        <v>8.6</v>
      </c>
      <c r="F551" t="s">
        <v>18</v>
      </c>
      <c r="G551" t="s">
        <v>14</v>
      </c>
      <c r="H551" t="s">
        <v>15</v>
      </c>
      <c r="I551" t="s">
        <v>15</v>
      </c>
      <c r="J551">
        <v>68.099999999999994</v>
      </c>
      <c r="K551">
        <v>85.2</v>
      </c>
      <c r="L551" t="s">
        <v>20</v>
      </c>
    </row>
    <row r="552" spans="1:12" x14ac:dyDescent="0.35">
      <c r="A552">
        <v>551</v>
      </c>
      <c r="B552" t="s">
        <v>12</v>
      </c>
      <c r="C552">
        <v>2</v>
      </c>
      <c r="D552">
        <v>87.5</v>
      </c>
      <c r="E552">
        <v>6.1</v>
      </c>
      <c r="F552" t="s">
        <v>19</v>
      </c>
      <c r="G552" t="s">
        <v>14</v>
      </c>
      <c r="H552" t="s">
        <v>15</v>
      </c>
      <c r="I552" t="s">
        <v>15</v>
      </c>
      <c r="J552">
        <v>74.099999999999994</v>
      </c>
      <c r="K552">
        <v>75.400000000000006</v>
      </c>
      <c r="L552" t="s">
        <v>22</v>
      </c>
    </row>
    <row r="553" spans="1:12" x14ac:dyDescent="0.35">
      <c r="A553">
        <v>552</v>
      </c>
      <c r="B553" t="s">
        <v>17</v>
      </c>
      <c r="C553">
        <v>4.5999999999999996</v>
      </c>
      <c r="D553">
        <v>89.7</v>
      </c>
      <c r="E553">
        <v>6.5</v>
      </c>
      <c r="F553" t="s">
        <v>19</v>
      </c>
      <c r="G553" t="s">
        <v>14</v>
      </c>
      <c r="H553" t="s">
        <v>14</v>
      </c>
      <c r="I553" t="s">
        <v>15</v>
      </c>
      <c r="J553">
        <v>84.9</v>
      </c>
      <c r="K553">
        <v>100</v>
      </c>
      <c r="L553" t="s">
        <v>16</v>
      </c>
    </row>
    <row r="554" spans="1:12" x14ac:dyDescent="0.35">
      <c r="A554">
        <v>553</v>
      </c>
      <c r="B554" t="s">
        <v>12</v>
      </c>
      <c r="C554">
        <v>3.9</v>
      </c>
      <c r="D554">
        <v>95.9</v>
      </c>
      <c r="E554">
        <v>4.8</v>
      </c>
      <c r="F554" t="s">
        <v>13</v>
      </c>
      <c r="G554" t="s">
        <v>14</v>
      </c>
      <c r="H554" t="s">
        <v>14</v>
      </c>
      <c r="I554" t="s">
        <v>14</v>
      </c>
      <c r="J554">
        <v>60.6</v>
      </c>
      <c r="K554">
        <v>78.900000000000006</v>
      </c>
      <c r="L554" t="s">
        <v>22</v>
      </c>
    </row>
    <row r="555" spans="1:12" x14ac:dyDescent="0.35">
      <c r="A555">
        <v>554</v>
      </c>
      <c r="B555" t="s">
        <v>17</v>
      </c>
      <c r="C555">
        <v>2.7</v>
      </c>
      <c r="D555">
        <v>86</v>
      </c>
      <c r="E555">
        <v>6.3</v>
      </c>
      <c r="F555" t="s">
        <v>18</v>
      </c>
      <c r="G555" t="s">
        <v>14</v>
      </c>
      <c r="H555" t="s">
        <v>14</v>
      </c>
      <c r="I555" t="s">
        <v>15</v>
      </c>
      <c r="J555">
        <v>62.2</v>
      </c>
      <c r="K555">
        <v>83.4</v>
      </c>
      <c r="L555" t="s">
        <v>20</v>
      </c>
    </row>
    <row r="556" spans="1:12" x14ac:dyDescent="0.35">
      <c r="A556">
        <v>555</v>
      </c>
      <c r="B556" t="s">
        <v>12</v>
      </c>
      <c r="C556">
        <v>1.6</v>
      </c>
      <c r="D556">
        <v>88.1</v>
      </c>
      <c r="E556">
        <v>8</v>
      </c>
      <c r="F556" t="s">
        <v>18</v>
      </c>
      <c r="G556" t="s">
        <v>15</v>
      </c>
      <c r="H556" t="s">
        <v>15</v>
      </c>
      <c r="I556" t="s">
        <v>15</v>
      </c>
      <c r="J556">
        <v>66.3</v>
      </c>
      <c r="K556">
        <v>63.4</v>
      </c>
      <c r="L556" t="s">
        <v>21</v>
      </c>
    </row>
    <row r="557" spans="1:12" x14ac:dyDescent="0.35">
      <c r="A557">
        <v>556</v>
      </c>
      <c r="B557" t="s">
        <v>17</v>
      </c>
      <c r="C557">
        <v>4.8</v>
      </c>
      <c r="D557">
        <v>81.099999999999994</v>
      </c>
      <c r="E557">
        <v>6.2</v>
      </c>
      <c r="F557" t="s">
        <v>13</v>
      </c>
      <c r="G557" t="s">
        <v>14</v>
      </c>
      <c r="H557" t="s">
        <v>14</v>
      </c>
      <c r="I557" t="s">
        <v>15</v>
      </c>
      <c r="J557">
        <v>44.7</v>
      </c>
      <c r="K557">
        <v>80.7</v>
      </c>
      <c r="L557" t="s">
        <v>20</v>
      </c>
    </row>
    <row r="558" spans="1:12" x14ac:dyDescent="0.35">
      <c r="A558">
        <v>557</v>
      </c>
      <c r="B558" t="s">
        <v>17</v>
      </c>
      <c r="C558">
        <v>4.5</v>
      </c>
      <c r="D558">
        <v>87.7</v>
      </c>
      <c r="E558">
        <v>7.6</v>
      </c>
      <c r="F558" t="s">
        <v>19</v>
      </c>
      <c r="G558" t="s">
        <v>14</v>
      </c>
      <c r="H558" t="s">
        <v>14</v>
      </c>
      <c r="I558" t="s">
        <v>15</v>
      </c>
      <c r="J558">
        <v>71.7</v>
      </c>
      <c r="K558">
        <v>80.8</v>
      </c>
      <c r="L558" t="s">
        <v>20</v>
      </c>
    </row>
    <row r="559" spans="1:12" x14ac:dyDescent="0.35">
      <c r="A559">
        <v>558</v>
      </c>
      <c r="B559" t="s">
        <v>17</v>
      </c>
      <c r="C559">
        <v>3.4</v>
      </c>
      <c r="D559">
        <v>81.599999999999994</v>
      </c>
      <c r="E559">
        <v>6.6</v>
      </c>
      <c r="F559" t="s">
        <v>18</v>
      </c>
      <c r="G559" t="s">
        <v>14</v>
      </c>
      <c r="H559" t="s">
        <v>14</v>
      </c>
      <c r="I559" t="s">
        <v>15</v>
      </c>
      <c r="J559">
        <v>47.4</v>
      </c>
      <c r="K559">
        <v>73.099999999999994</v>
      </c>
      <c r="L559" t="s">
        <v>22</v>
      </c>
    </row>
    <row r="560" spans="1:12" x14ac:dyDescent="0.35">
      <c r="A560">
        <v>559</v>
      </c>
      <c r="B560" t="s">
        <v>17</v>
      </c>
      <c r="C560">
        <v>6.3</v>
      </c>
      <c r="D560">
        <v>91.2</v>
      </c>
      <c r="E560">
        <v>7.2</v>
      </c>
      <c r="F560" t="s">
        <v>23</v>
      </c>
      <c r="G560" t="s">
        <v>14</v>
      </c>
      <c r="H560" t="s">
        <v>15</v>
      </c>
      <c r="I560" t="s">
        <v>14</v>
      </c>
      <c r="J560">
        <v>70.599999999999994</v>
      </c>
      <c r="K560">
        <v>99.8</v>
      </c>
      <c r="L560" t="s">
        <v>16</v>
      </c>
    </row>
    <row r="561" spans="1:12" x14ac:dyDescent="0.35">
      <c r="A561">
        <v>560</v>
      </c>
      <c r="B561" t="s">
        <v>17</v>
      </c>
      <c r="C561">
        <v>1.9</v>
      </c>
      <c r="D561">
        <v>81.3</v>
      </c>
      <c r="E561">
        <v>5.4</v>
      </c>
      <c r="F561" t="s">
        <v>18</v>
      </c>
      <c r="G561" t="s">
        <v>14</v>
      </c>
      <c r="H561" t="s">
        <v>14</v>
      </c>
      <c r="I561" t="s">
        <v>14</v>
      </c>
      <c r="J561">
        <v>80.400000000000006</v>
      </c>
      <c r="K561">
        <v>73.5</v>
      </c>
      <c r="L561" t="s">
        <v>22</v>
      </c>
    </row>
    <row r="562" spans="1:12" x14ac:dyDescent="0.35">
      <c r="A562">
        <v>561</v>
      </c>
      <c r="B562" t="s">
        <v>17</v>
      </c>
      <c r="C562">
        <v>1.2</v>
      </c>
      <c r="D562">
        <v>88.8</v>
      </c>
      <c r="E562">
        <v>6.9</v>
      </c>
      <c r="F562" t="s">
        <v>19</v>
      </c>
      <c r="G562" t="s">
        <v>14</v>
      </c>
      <c r="H562" t="s">
        <v>14</v>
      </c>
      <c r="I562" t="s">
        <v>15</v>
      </c>
      <c r="J562">
        <v>64.3</v>
      </c>
      <c r="K562">
        <v>68.2</v>
      </c>
      <c r="L562" t="s">
        <v>21</v>
      </c>
    </row>
    <row r="563" spans="1:12" x14ac:dyDescent="0.35">
      <c r="A563">
        <v>562</v>
      </c>
      <c r="B563" t="s">
        <v>12</v>
      </c>
      <c r="C563">
        <v>2.5</v>
      </c>
      <c r="D563">
        <v>84.7</v>
      </c>
      <c r="E563">
        <v>3.2</v>
      </c>
      <c r="F563" t="s">
        <v>13</v>
      </c>
      <c r="G563" t="s">
        <v>15</v>
      </c>
      <c r="H563" t="s">
        <v>15</v>
      </c>
      <c r="I563" t="s">
        <v>15</v>
      </c>
      <c r="J563">
        <v>90.1</v>
      </c>
      <c r="K563">
        <v>83.9</v>
      </c>
      <c r="L563" t="s">
        <v>20</v>
      </c>
    </row>
    <row r="564" spans="1:12" x14ac:dyDescent="0.35">
      <c r="A564">
        <v>563</v>
      </c>
      <c r="B564" t="s">
        <v>12</v>
      </c>
      <c r="C564">
        <v>3.4</v>
      </c>
      <c r="D564">
        <v>96.3</v>
      </c>
      <c r="E564">
        <v>6.6</v>
      </c>
      <c r="F564" t="s">
        <v>23</v>
      </c>
      <c r="G564" t="s">
        <v>15</v>
      </c>
      <c r="H564" t="s">
        <v>15</v>
      </c>
      <c r="I564" t="s">
        <v>15</v>
      </c>
      <c r="J564">
        <v>52.5</v>
      </c>
      <c r="K564">
        <v>75.3</v>
      </c>
      <c r="L564" t="s">
        <v>22</v>
      </c>
    </row>
    <row r="565" spans="1:12" x14ac:dyDescent="0.35">
      <c r="A565">
        <v>564</v>
      </c>
      <c r="B565" t="s">
        <v>12</v>
      </c>
      <c r="C565">
        <v>3.9</v>
      </c>
      <c r="D565">
        <v>84.5</v>
      </c>
      <c r="E565">
        <v>4.8</v>
      </c>
      <c r="F565" t="s">
        <v>18</v>
      </c>
      <c r="G565" t="s">
        <v>15</v>
      </c>
      <c r="H565" t="s">
        <v>15</v>
      </c>
      <c r="I565" t="s">
        <v>14</v>
      </c>
      <c r="J565">
        <v>84.3</v>
      </c>
      <c r="K565">
        <v>78.7</v>
      </c>
      <c r="L565" t="s">
        <v>22</v>
      </c>
    </row>
    <row r="566" spans="1:12" x14ac:dyDescent="0.35">
      <c r="A566">
        <v>565</v>
      </c>
      <c r="B566" t="s">
        <v>17</v>
      </c>
      <c r="C566">
        <v>3.1</v>
      </c>
      <c r="D566">
        <v>67.3</v>
      </c>
      <c r="E566">
        <v>8.1999999999999993</v>
      </c>
      <c r="F566" t="s">
        <v>13</v>
      </c>
      <c r="G566" t="s">
        <v>14</v>
      </c>
      <c r="H566" t="s">
        <v>14</v>
      </c>
      <c r="I566" t="s">
        <v>15</v>
      </c>
      <c r="J566">
        <v>78.099999999999994</v>
      </c>
      <c r="K566">
        <v>82.8</v>
      </c>
      <c r="L566" t="s">
        <v>20</v>
      </c>
    </row>
    <row r="567" spans="1:12" x14ac:dyDescent="0.35">
      <c r="A567">
        <v>566</v>
      </c>
      <c r="B567" t="s">
        <v>17</v>
      </c>
      <c r="C567">
        <v>4</v>
      </c>
      <c r="D567">
        <v>97.6</v>
      </c>
      <c r="E567">
        <v>7.7</v>
      </c>
      <c r="F567" t="s">
        <v>18</v>
      </c>
      <c r="G567" t="s">
        <v>14</v>
      </c>
      <c r="H567" t="s">
        <v>14</v>
      </c>
      <c r="I567" t="s">
        <v>15</v>
      </c>
      <c r="J567">
        <v>49.4</v>
      </c>
      <c r="K567">
        <v>100</v>
      </c>
      <c r="L567" t="s">
        <v>16</v>
      </c>
    </row>
    <row r="568" spans="1:12" x14ac:dyDescent="0.35">
      <c r="A568">
        <v>567</v>
      </c>
      <c r="B568" t="s">
        <v>17</v>
      </c>
      <c r="C568">
        <v>1.6</v>
      </c>
      <c r="D568">
        <v>75.900000000000006</v>
      </c>
      <c r="E568">
        <v>7.4</v>
      </c>
      <c r="F568" t="s">
        <v>18</v>
      </c>
      <c r="G568" t="s">
        <v>14</v>
      </c>
      <c r="H568" t="s">
        <v>15</v>
      </c>
      <c r="I568" t="s">
        <v>15</v>
      </c>
      <c r="J568">
        <v>100</v>
      </c>
      <c r="K568">
        <v>92.6</v>
      </c>
      <c r="L568" t="s">
        <v>16</v>
      </c>
    </row>
    <row r="569" spans="1:12" x14ac:dyDescent="0.35">
      <c r="A569">
        <v>568</v>
      </c>
      <c r="B569" t="s">
        <v>17</v>
      </c>
      <c r="C569">
        <v>5.7</v>
      </c>
      <c r="D569">
        <v>78.5</v>
      </c>
      <c r="E569">
        <v>8.6</v>
      </c>
      <c r="F569" t="s">
        <v>19</v>
      </c>
      <c r="G569" t="s">
        <v>14</v>
      </c>
      <c r="H569" t="s">
        <v>14</v>
      </c>
      <c r="I569" t="s">
        <v>14</v>
      </c>
      <c r="J569">
        <v>69.2</v>
      </c>
      <c r="K569">
        <v>99.1</v>
      </c>
      <c r="L569" t="s">
        <v>16</v>
      </c>
    </row>
    <row r="570" spans="1:12" x14ac:dyDescent="0.35">
      <c r="A570">
        <v>569</v>
      </c>
      <c r="B570" t="s">
        <v>12</v>
      </c>
      <c r="C570">
        <v>3.4</v>
      </c>
      <c r="D570">
        <v>79</v>
      </c>
      <c r="E570">
        <v>5.7</v>
      </c>
      <c r="F570" t="s">
        <v>19</v>
      </c>
      <c r="G570" t="s">
        <v>14</v>
      </c>
      <c r="H570" t="s">
        <v>15</v>
      </c>
      <c r="I570" t="s">
        <v>14</v>
      </c>
      <c r="J570">
        <v>59.5</v>
      </c>
      <c r="K570">
        <v>76.2</v>
      </c>
      <c r="L570" t="s">
        <v>22</v>
      </c>
    </row>
    <row r="571" spans="1:12" x14ac:dyDescent="0.35">
      <c r="A571">
        <v>570</v>
      </c>
      <c r="B571" t="s">
        <v>12</v>
      </c>
      <c r="C571">
        <v>5.2</v>
      </c>
      <c r="D571">
        <v>98.7</v>
      </c>
      <c r="E571">
        <v>8.9</v>
      </c>
      <c r="F571" t="s">
        <v>24</v>
      </c>
      <c r="G571" t="s">
        <v>14</v>
      </c>
      <c r="H571" t="s">
        <v>15</v>
      </c>
      <c r="I571" t="s">
        <v>14</v>
      </c>
      <c r="J571">
        <v>53.1</v>
      </c>
      <c r="K571">
        <v>90.9</v>
      </c>
      <c r="L571" t="s">
        <v>16</v>
      </c>
    </row>
    <row r="572" spans="1:12" x14ac:dyDescent="0.35">
      <c r="A572">
        <v>571</v>
      </c>
      <c r="B572" t="s">
        <v>17</v>
      </c>
      <c r="C572">
        <v>4</v>
      </c>
      <c r="D572">
        <v>63.6</v>
      </c>
      <c r="E572">
        <v>7.9</v>
      </c>
      <c r="F572" t="s">
        <v>13</v>
      </c>
      <c r="G572" t="s">
        <v>14</v>
      </c>
      <c r="H572" t="s">
        <v>14</v>
      </c>
      <c r="I572" t="s">
        <v>14</v>
      </c>
      <c r="J572">
        <v>67.400000000000006</v>
      </c>
      <c r="K572">
        <v>63.3</v>
      </c>
      <c r="L572" t="s">
        <v>21</v>
      </c>
    </row>
    <row r="573" spans="1:12" x14ac:dyDescent="0.35">
      <c r="A573">
        <v>572</v>
      </c>
      <c r="B573" t="s">
        <v>12</v>
      </c>
      <c r="C573">
        <v>4.2</v>
      </c>
      <c r="D573">
        <v>100</v>
      </c>
      <c r="E573">
        <v>6.5</v>
      </c>
      <c r="F573" t="s">
        <v>23</v>
      </c>
      <c r="G573" t="s">
        <v>14</v>
      </c>
      <c r="H573" t="s">
        <v>15</v>
      </c>
      <c r="I573" t="s">
        <v>14</v>
      </c>
      <c r="J573">
        <v>68.5</v>
      </c>
      <c r="K573">
        <v>85</v>
      </c>
      <c r="L573" t="s">
        <v>20</v>
      </c>
    </row>
    <row r="574" spans="1:12" x14ac:dyDescent="0.35">
      <c r="A574">
        <v>573</v>
      </c>
      <c r="B574" t="s">
        <v>12</v>
      </c>
      <c r="C574">
        <v>4.4000000000000004</v>
      </c>
      <c r="D574">
        <v>95.6</v>
      </c>
      <c r="E574">
        <v>8.1999999999999993</v>
      </c>
      <c r="F574" t="s">
        <v>18</v>
      </c>
      <c r="G574" t="s">
        <v>14</v>
      </c>
      <c r="H574" t="s">
        <v>15</v>
      </c>
      <c r="I574" t="s">
        <v>14</v>
      </c>
      <c r="J574">
        <v>71.2</v>
      </c>
      <c r="K574">
        <v>88.7</v>
      </c>
      <c r="L574" t="s">
        <v>20</v>
      </c>
    </row>
    <row r="575" spans="1:12" x14ac:dyDescent="0.35">
      <c r="A575">
        <v>574</v>
      </c>
      <c r="B575" t="s">
        <v>17</v>
      </c>
      <c r="C575">
        <v>4.2</v>
      </c>
      <c r="D575">
        <v>87.2</v>
      </c>
      <c r="E575">
        <v>5.5</v>
      </c>
      <c r="F575" t="s">
        <v>18</v>
      </c>
      <c r="G575" t="s">
        <v>14</v>
      </c>
      <c r="H575" t="s">
        <v>14</v>
      </c>
      <c r="I575" t="s">
        <v>15</v>
      </c>
      <c r="J575">
        <v>66.400000000000006</v>
      </c>
      <c r="K575">
        <v>75.3</v>
      </c>
      <c r="L575" t="s">
        <v>22</v>
      </c>
    </row>
    <row r="576" spans="1:12" x14ac:dyDescent="0.35">
      <c r="A576">
        <v>575</v>
      </c>
      <c r="B576" t="s">
        <v>12</v>
      </c>
      <c r="C576">
        <v>4.5</v>
      </c>
      <c r="D576">
        <v>84.5</v>
      </c>
      <c r="E576">
        <v>5.8</v>
      </c>
      <c r="F576" t="s">
        <v>18</v>
      </c>
      <c r="G576" t="s">
        <v>14</v>
      </c>
      <c r="H576" t="s">
        <v>14</v>
      </c>
      <c r="I576" t="s">
        <v>15</v>
      </c>
      <c r="J576">
        <v>77.599999999999994</v>
      </c>
      <c r="K576">
        <v>84.9</v>
      </c>
      <c r="L576" t="s">
        <v>20</v>
      </c>
    </row>
    <row r="577" spans="1:12" x14ac:dyDescent="0.35">
      <c r="A577">
        <v>576</v>
      </c>
      <c r="B577" t="s">
        <v>17</v>
      </c>
      <c r="C577">
        <v>5.5</v>
      </c>
      <c r="D577">
        <v>87.9</v>
      </c>
      <c r="E577">
        <v>6.1</v>
      </c>
      <c r="F577" t="s">
        <v>13</v>
      </c>
      <c r="G577" t="s">
        <v>14</v>
      </c>
      <c r="H577" t="s">
        <v>14</v>
      </c>
      <c r="I577" t="s">
        <v>15</v>
      </c>
      <c r="J577">
        <v>65.3</v>
      </c>
      <c r="K577">
        <v>81.099999999999994</v>
      </c>
      <c r="L577" t="s">
        <v>20</v>
      </c>
    </row>
    <row r="578" spans="1:12" x14ac:dyDescent="0.35">
      <c r="A578">
        <v>577</v>
      </c>
      <c r="B578" t="s">
        <v>12</v>
      </c>
      <c r="C578">
        <v>3.8</v>
      </c>
      <c r="D578">
        <v>90.2</v>
      </c>
      <c r="E578">
        <v>6.2</v>
      </c>
      <c r="F578" t="s">
        <v>13</v>
      </c>
      <c r="G578" t="s">
        <v>14</v>
      </c>
      <c r="H578" t="s">
        <v>14</v>
      </c>
      <c r="I578" t="s">
        <v>14</v>
      </c>
      <c r="J578">
        <v>46.8</v>
      </c>
      <c r="K578">
        <v>75.599999999999994</v>
      </c>
      <c r="L578" t="s">
        <v>22</v>
      </c>
    </row>
    <row r="579" spans="1:12" x14ac:dyDescent="0.35">
      <c r="A579">
        <v>578</v>
      </c>
      <c r="B579" t="s">
        <v>17</v>
      </c>
      <c r="C579">
        <v>4.5999999999999996</v>
      </c>
      <c r="D579">
        <v>91.5</v>
      </c>
      <c r="E579">
        <v>5.5</v>
      </c>
      <c r="F579" t="s">
        <v>18</v>
      </c>
      <c r="G579" t="s">
        <v>14</v>
      </c>
      <c r="H579" t="s">
        <v>14</v>
      </c>
      <c r="I579" t="s">
        <v>15</v>
      </c>
      <c r="J579">
        <v>68.2</v>
      </c>
      <c r="K579">
        <v>95.5</v>
      </c>
      <c r="L579" t="s">
        <v>16</v>
      </c>
    </row>
    <row r="580" spans="1:12" x14ac:dyDescent="0.35">
      <c r="A580">
        <v>579</v>
      </c>
      <c r="B580" t="s">
        <v>17</v>
      </c>
      <c r="C580">
        <v>3.4</v>
      </c>
      <c r="D580">
        <v>90.6</v>
      </c>
      <c r="E580">
        <v>8.3000000000000007</v>
      </c>
      <c r="F580" t="s">
        <v>13</v>
      </c>
      <c r="G580" t="s">
        <v>14</v>
      </c>
      <c r="H580" t="s">
        <v>15</v>
      </c>
      <c r="I580" t="s">
        <v>15</v>
      </c>
      <c r="J580">
        <v>41.6</v>
      </c>
      <c r="K580">
        <v>83.3</v>
      </c>
      <c r="L580" t="s">
        <v>20</v>
      </c>
    </row>
    <row r="581" spans="1:12" x14ac:dyDescent="0.35">
      <c r="A581">
        <v>580</v>
      </c>
      <c r="B581" t="s">
        <v>17</v>
      </c>
      <c r="C581">
        <v>5.7</v>
      </c>
      <c r="D581">
        <v>85.9</v>
      </c>
      <c r="E581">
        <v>6.5</v>
      </c>
      <c r="F581" t="s">
        <v>23</v>
      </c>
      <c r="G581" t="s">
        <v>14</v>
      </c>
      <c r="H581" t="s">
        <v>15</v>
      </c>
      <c r="I581" t="s">
        <v>14</v>
      </c>
      <c r="J581">
        <v>74.2</v>
      </c>
      <c r="K581">
        <v>95.7</v>
      </c>
      <c r="L581" t="s">
        <v>16</v>
      </c>
    </row>
    <row r="582" spans="1:12" x14ac:dyDescent="0.35">
      <c r="A582">
        <v>581</v>
      </c>
      <c r="B582" t="s">
        <v>17</v>
      </c>
      <c r="C582">
        <v>2.5</v>
      </c>
      <c r="D582">
        <v>83</v>
      </c>
      <c r="E582">
        <v>7.2</v>
      </c>
      <c r="F582" t="s">
        <v>13</v>
      </c>
      <c r="G582" t="s">
        <v>14</v>
      </c>
      <c r="H582" t="s">
        <v>14</v>
      </c>
      <c r="I582" t="s">
        <v>15</v>
      </c>
      <c r="J582">
        <v>58.2</v>
      </c>
      <c r="K582">
        <v>70.400000000000006</v>
      </c>
      <c r="L582" t="s">
        <v>22</v>
      </c>
    </row>
    <row r="583" spans="1:12" x14ac:dyDescent="0.35">
      <c r="A583">
        <v>582</v>
      </c>
      <c r="B583" t="s">
        <v>12</v>
      </c>
      <c r="C583">
        <v>6.2</v>
      </c>
      <c r="D583">
        <v>83.5</v>
      </c>
      <c r="E583">
        <v>6.1</v>
      </c>
      <c r="F583" t="s">
        <v>18</v>
      </c>
      <c r="G583" t="s">
        <v>14</v>
      </c>
      <c r="H583" t="s">
        <v>14</v>
      </c>
      <c r="I583" t="s">
        <v>14</v>
      </c>
      <c r="J583">
        <v>72</v>
      </c>
      <c r="K583">
        <v>82.7</v>
      </c>
      <c r="L583" t="s">
        <v>20</v>
      </c>
    </row>
    <row r="584" spans="1:12" x14ac:dyDescent="0.35">
      <c r="A584">
        <v>583</v>
      </c>
      <c r="B584" t="s">
        <v>17</v>
      </c>
      <c r="C584">
        <v>3.4</v>
      </c>
      <c r="D584">
        <v>83.1</v>
      </c>
      <c r="E584">
        <v>4.5999999999999996</v>
      </c>
      <c r="F584" t="s">
        <v>18</v>
      </c>
      <c r="G584" t="s">
        <v>14</v>
      </c>
      <c r="H584" t="s">
        <v>15</v>
      </c>
      <c r="I584" t="s">
        <v>15</v>
      </c>
      <c r="J584">
        <v>85.8</v>
      </c>
      <c r="K584">
        <v>76.7</v>
      </c>
      <c r="L584" t="s">
        <v>22</v>
      </c>
    </row>
    <row r="585" spans="1:12" x14ac:dyDescent="0.35">
      <c r="A585">
        <v>584</v>
      </c>
      <c r="B585" t="s">
        <v>17</v>
      </c>
      <c r="C585">
        <v>1.4</v>
      </c>
      <c r="D585">
        <v>96.3</v>
      </c>
      <c r="E585">
        <v>7.1</v>
      </c>
      <c r="F585" t="s">
        <v>18</v>
      </c>
      <c r="G585" t="s">
        <v>14</v>
      </c>
      <c r="H585" t="s">
        <v>14</v>
      </c>
      <c r="I585" t="s">
        <v>15</v>
      </c>
      <c r="J585">
        <v>58.6</v>
      </c>
      <c r="K585">
        <v>68.400000000000006</v>
      </c>
      <c r="L585" t="s">
        <v>21</v>
      </c>
    </row>
    <row r="586" spans="1:12" x14ac:dyDescent="0.35">
      <c r="A586">
        <v>585</v>
      </c>
      <c r="B586" t="s">
        <v>17</v>
      </c>
      <c r="C586">
        <v>3.7</v>
      </c>
      <c r="D586">
        <v>90.9</v>
      </c>
      <c r="E586">
        <v>4.5</v>
      </c>
      <c r="F586" t="s">
        <v>18</v>
      </c>
      <c r="G586" t="s">
        <v>14</v>
      </c>
      <c r="H586" t="s">
        <v>15</v>
      </c>
      <c r="I586" t="s">
        <v>15</v>
      </c>
      <c r="J586">
        <v>82.7</v>
      </c>
      <c r="K586">
        <v>84.6</v>
      </c>
      <c r="L586" t="s">
        <v>20</v>
      </c>
    </row>
    <row r="587" spans="1:12" x14ac:dyDescent="0.35">
      <c r="A587">
        <v>586</v>
      </c>
      <c r="B587" t="s">
        <v>12</v>
      </c>
      <c r="C587">
        <v>2.5</v>
      </c>
      <c r="D587">
        <v>55.6</v>
      </c>
      <c r="E587">
        <v>6.7</v>
      </c>
      <c r="F587" t="s">
        <v>13</v>
      </c>
      <c r="G587" t="s">
        <v>14</v>
      </c>
      <c r="H587" t="s">
        <v>14</v>
      </c>
      <c r="I587" t="s">
        <v>15</v>
      </c>
      <c r="J587">
        <v>64.8</v>
      </c>
      <c r="K587">
        <v>67.7</v>
      </c>
      <c r="L587" t="s">
        <v>21</v>
      </c>
    </row>
    <row r="588" spans="1:12" x14ac:dyDescent="0.35">
      <c r="A588">
        <v>587</v>
      </c>
      <c r="B588" t="s">
        <v>17</v>
      </c>
      <c r="C588">
        <v>4.8</v>
      </c>
      <c r="D588">
        <v>91.6</v>
      </c>
      <c r="E588">
        <v>5.2</v>
      </c>
      <c r="F588" t="s">
        <v>13</v>
      </c>
      <c r="G588" t="s">
        <v>15</v>
      </c>
      <c r="H588" t="s">
        <v>14</v>
      </c>
      <c r="I588" t="s">
        <v>15</v>
      </c>
      <c r="J588">
        <v>91</v>
      </c>
      <c r="K588">
        <v>89.2</v>
      </c>
      <c r="L588" t="s">
        <v>20</v>
      </c>
    </row>
    <row r="589" spans="1:12" x14ac:dyDescent="0.35">
      <c r="A589">
        <v>588</v>
      </c>
      <c r="B589" t="s">
        <v>12</v>
      </c>
      <c r="C589">
        <v>2.5</v>
      </c>
      <c r="D589">
        <v>86.9</v>
      </c>
      <c r="E589">
        <v>9.1999999999999993</v>
      </c>
      <c r="F589" t="s">
        <v>23</v>
      </c>
      <c r="G589" t="s">
        <v>14</v>
      </c>
      <c r="H589" t="s">
        <v>14</v>
      </c>
      <c r="I589" t="s">
        <v>15</v>
      </c>
      <c r="J589">
        <v>65.599999999999994</v>
      </c>
      <c r="K589">
        <v>85</v>
      </c>
      <c r="L589" t="s">
        <v>20</v>
      </c>
    </row>
    <row r="590" spans="1:12" x14ac:dyDescent="0.35">
      <c r="A590">
        <v>589</v>
      </c>
      <c r="B590" t="s">
        <v>17</v>
      </c>
      <c r="C590">
        <v>2.8</v>
      </c>
      <c r="D590">
        <v>84.8</v>
      </c>
      <c r="E590">
        <v>7.9</v>
      </c>
      <c r="F590" t="s">
        <v>13</v>
      </c>
      <c r="G590" t="s">
        <v>14</v>
      </c>
      <c r="H590" t="s">
        <v>15</v>
      </c>
      <c r="I590" t="s">
        <v>15</v>
      </c>
      <c r="J590">
        <v>59.9</v>
      </c>
      <c r="K590">
        <v>77.3</v>
      </c>
      <c r="L590" t="s">
        <v>22</v>
      </c>
    </row>
    <row r="591" spans="1:12" x14ac:dyDescent="0.35">
      <c r="A591">
        <v>590</v>
      </c>
      <c r="B591" t="s">
        <v>12</v>
      </c>
      <c r="C591">
        <v>0.7</v>
      </c>
      <c r="D591">
        <v>81.099999999999994</v>
      </c>
      <c r="E591">
        <v>6.9</v>
      </c>
      <c r="F591" t="s">
        <v>23</v>
      </c>
      <c r="G591" t="s">
        <v>14</v>
      </c>
      <c r="H591" t="s">
        <v>14</v>
      </c>
      <c r="I591" t="s">
        <v>14</v>
      </c>
      <c r="J591">
        <v>78.2</v>
      </c>
      <c r="K591">
        <v>72.2</v>
      </c>
      <c r="L591" t="s">
        <v>22</v>
      </c>
    </row>
    <row r="592" spans="1:12" x14ac:dyDescent="0.35">
      <c r="A592">
        <v>591</v>
      </c>
      <c r="B592" t="s">
        <v>12</v>
      </c>
      <c r="C592">
        <v>2.8</v>
      </c>
      <c r="D592">
        <v>96.2</v>
      </c>
      <c r="E592">
        <v>8.3000000000000007</v>
      </c>
      <c r="F592" t="s">
        <v>18</v>
      </c>
      <c r="G592" t="s">
        <v>14</v>
      </c>
      <c r="H592" t="s">
        <v>15</v>
      </c>
      <c r="I592" t="s">
        <v>14</v>
      </c>
      <c r="J592">
        <v>64.8</v>
      </c>
      <c r="K592">
        <v>89</v>
      </c>
      <c r="L592" t="s">
        <v>20</v>
      </c>
    </row>
    <row r="593" spans="1:12" x14ac:dyDescent="0.35">
      <c r="A593">
        <v>592</v>
      </c>
      <c r="B593" t="s">
        <v>17</v>
      </c>
      <c r="C593">
        <v>0.5</v>
      </c>
      <c r="D593">
        <v>94.5</v>
      </c>
      <c r="E593">
        <v>5.8</v>
      </c>
      <c r="F593" t="s">
        <v>13</v>
      </c>
      <c r="G593" t="s">
        <v>14</v>
      </c>
      <c r="H593" t="s">
        <v>14</v>
      </c>
      <c r="I593" t="s">
        <v>15</v>
      </c>
      <c r="J593">
        <v>59.9</v>
      </c>
      <c r="K593">
        <v>63.2</v>
      </c>
      <c r="L593" t="s">
        <v>21</v>
      </c>
    </row>
    <row r="594" spans="1:12" x14ac:dyDescent="0.35">
      <c r="A594">
        <v>593</v>
      </c>
      <c r="B594" t="s">
        <v>12</v>
      </c>
      <c r="C594">
        <v>1.1000000000000001</v>
      </c>
      <c r="D594">
        <v>77.3</v>
      </c>
      <c r="E594">
        <v>7.5</v>
      </c>
      <c r="F594" t="s">
        <v>23</v>
      </c>
      <c r="G594" t="s">
        <v>14</v>
      </c>
      <c r="H594" t="s">
        <v>14</v>
      </c>
      <c r="I594" t="s">
        <v>15</v>
      </c>
      <c r="J594">
        <v>64.3</v>
      </c>
      <c r="K594">
        <v>73.2</v>
      </c>
      <c r="L594" t="s">
        <v>22</v>
      </c>
    </row>
    <row r="595" spans="1:12" x14ac:dyDescent="0.35">
      <c r="A595">
        <v>594</v>
      </c>
      <c r="B595" t="s">
        <v>17</v>
      </c>
      <c r="C595">
        <v>4.5999999999999996</v>
      </c>
      <c r="D595">
        <v>89.1</v>
      </c>
      <c r="E595">
        <v>7</v>
      </c>
      <c r="F595" t="s">
        <v>18</v>
      </c>
      <c r="G595" t="s">
        <v>15</v>
      </c>
      <c r="H595" t="s">
        <v>14</v>
      </c>
      <c r="I595" t="s">
        <v>15</v>
      </c>
      <c r="J595">
        <v>69.5</v>
      </c>
      <c r="K595">
        <v>87</v>
      </c>
      <c r="L595" t="s">
        <v>20</v>
      </c>
    </row>
    <row r="596" spans="1:12" x14ac:dyDescent="0.35">
      <c r="A596">
        <v>595</v>
      </c>
      <c r="B596" t="s">
        <v>17</v>
      </c>
      <c r="C596">
        <v>4.7</v>
      </c>
      <c r="D596">
        <v>75.3</v>
      </c>
      <c r="E596">
        <v>7.1</v>
      </c>
      <c r="F596" t="s">
        <v>18</v>
      </c>
      <c r="G596" t="s">
        <v>14</v>
      </c>
      <c r="H596" t="s">
        <v>15</v>
      </c>
      <c r="I596" t="s">
        <v>14</v>
      </c>
      <c r="J596">
        <v>86.1</v>
      </c>
      <c r="K596">
        <v>88.5</v>
      </c>
      <c r="L596" t="s">
        <v>20</v>
      </c>
    </row>
    <row r="597" spans="1:12" x14ac:dyDescent="0.35">
      <c r="A597">
        <v>596</v>
      </c>
      <c r="B597" t="s">
        <v>17</v>
      </c>
      <c r="C597">
        <v>4.0999999999999996</v>
      </c>
      <c r="D597">
        <v>71.2</v>
      </c>
      <c r="E597">
        <v>8.3000000000000007</v>
      </c>
      <c r="F597" t="s">
        <v>24</v>
      </c>
      <c r="G597" t="s">
        <v>14</v>
      </c>
      <c r="H597" t="s">
        <v>15</v>
      </c>
      <c r="I597" t="s">
        <v>15</v>
      </c>
      <c r="J597">
        <v>46.8</v>
      </c>
      <c r="K597">
        <v>80.400000000000006</v>
      </c>
      <c r="L597" t="s">
        <v>20</v>
      </c>
    </row>
    <row r="598" spans="1:12" x14ac:dyDescent="0.35">
      <c r="A598">
        <v>597</v>
      </c>
      <c r="B598" t="s">
        <v>12</v>
      </c>
      <c r="C598">
        <v>2</v>
      </c>
      <c r="D598">
        <v>78.7</v>
      </c>
      <c r="E598">
        <v>7.7</v>
      </c>
      <c r="F598" t="s">
        <v>18</v>
      </c>
      <c r="G598" t="s">
        <v>14</v>
      </c>
      <c r="H598" t="s">
        <v>14</v>
      </c>
      <c r="I598" t="s">
        <v>14</v>
      </c>
      <c r="J598">
        <v>70.3</v>
      </c>
      <c r="K598">
        <v>80.2</v>
      </c>
      <c r="L598" t="s">
        <v>20</v>
      </c>
    </row>
    <row r="599" spans="1:12" x14ac:dyDescent="0.35">
      <c r="A599">
        <v>598</v>
      </c>
      <c r="B599" t="s">
        <v>12</v>
      </c>
      <c r="C599">
        <v>3.4</v>
      </c>
      <c r="D599">
        <v>93.6</v>
      </c>
      <c r="E599">
        <v>7.1</v>
      </c>
      <c r="F599" t="s">
        <v>23</v>
      </c>
      <c r="G599" t="s">
        <v>15</v>
      </c>
      <c r="H599" t="s">
        <v>14</v>
      </c>
      <c r="I599" t="s">
        <v>15</v>
      </c>
      <c r="J599">
        <v>77.5</v>
      </c>
      <c r="K599">
        <v>80.900000000000006</v>
      </c>
      <c r="L599" t="s">
        <v>20</v>
      </c>
    </row>
    <row r="600" spans="1:12" x14ac:dyDescent="0.35">
      <c r="A600">
        <v>599</v>
      </c>
      <c r="B600" t="s">
        <v>17</v>
      </c>
      <c r="C600">
        <v>3.5</v>
      </c>
      <c r="D600">
        <v>94.5</v>
      </c>
      <c r="E600">
        <v>4.8</v>
      </c>
      <c r="F600" t="s">
        <v>18</v>
      </c>
      <c r="G600" t="s">
        <v>14</v>
      </c>
      <c r="H600" t="s">
        <v>14</v>
      </c>
      <c r="I600" t="s">
        <v>15</v>
      </c>
      <c r="J600">
        <v>72.3</v>
      </c>
      <c r="K600">
        <v>86.4</v>
      </c>
      <c r="L600" t="s">
        <v>20</v>
      </c>
    </row>
    <row r="601" spans="1:12" x14ac:dyDescent="0.35">
      <c r="A601">
        <v>600</v>
      </c>
      <c r="B601" t="s">
        <v>17</v>
      </c>
      <c r="C601">
        <v>1.8</v>
      </c>
      <c r="D601">
        <v>90.1</v>
      </c>
      <c r="E601">
        <v>5.6</v>
      </c>
      <c r="F601" t="s">
        <v>23</v>
      </c>
      <c r="G601" t="s">
        <v>14</v>
      </c>
      <c r="H601" t="s">
        <v>14</v>
      </c>
      <c r="I601" t="s">
        <v>15</v>
      </c>
      <c r="J601">
        <v>85.7</v>
      </c>
      <c r="K601">
        <v>86.3</v>
      </c>
      <c r="L601" t="s">
        <v>20</v>
      </c>
    </row>
    <row r="602" spans="1:12" x14ac:dyDescent="0.35">
      <c r="A602">
        <v>601</v>
      </c>
      <c r="B602" t="s">
        <v>12</v>
      </c>
      <c r="C602">
        <v>5.8</v>
      </c>
      <c r="D602">
        <v>92.3</v>
      </c>
      <c r="E602">
        <v>6.7</v>
      </c>
      <c r="F602" t="s">
        <v>18</v>
      </c>
      <c r="G602" t="s">
        <v>14</v>
      </c>
      <c r="H602" t="s">
        <v>14</v>
      </c>
      <c r="I602" t="s">
        <v>14</v>
      </c>
      <c r="J602">
        <v>69.099999999999994</v>
      </c>
      <c r="K602">
        <v>93.4</v>
      </c>
      <c r="L602" t="s">
        <v>16</v>
      </c>
    </row>
    <row r="603" spans="1:12" x14ac:dyDescent="0.35">
      <c r="A603">
        <v>602</v>
      </c>
      <c r="B603" t="s">
        <v>17</v>
      </c>
      <c r="C603">
        <v>4.8</v>
      </c>
      <c r="D603">
        <v>90.2</v>
      </c>
      <c r="E603">
        <v>6.9</v>
      </c>
      <c r="F603" t="s">
        <v>18</v>
      </c>
      <c r="G603" t="s">
        <v>14</v>
      </c>
      <c r="H603" t="s">
        <v>15</v>
      </c>
      <c r="I603" t="s">
        <v>15</v>
      </c>
      <c r="J603">
        <v>67.8</v>
      </c>
      <c r="K603">
        <v>95.1</v>
      </c>
      <c r="L603" t="s">
        <v>16</v>
      </c>
    </row>
    <row r="604" spans="1:12" x14ac:dyDescent="0.35">
      <c r="A604">
        <v>603</v>
      </c>
      <c r="B604" t="s">
        <v>17</v>
      </c>
      <c r="C604">
        <v>3.2</v>
      </c>
      <c r="D604">
        <v>78.599999999999994</v>
      </c>
      <c r="E604">
        <v>5.4</v>
      </c>
      <c r="F604" t="s">
        <v>13</v>
      </c>
      <c r="G604" t="s">
        <v>14</v>
      </c>
      <c r="H604" t="s">
        <v>15</v>
      </c>
      <c r="I604" t="s">
        <v>15</v>
      </c>
      <c r="J604">
        <v>77.099999999999994</v>
      </c>
      <c r="K604">
        <v>83.9</v>
      </c>
      <c r="L604" t="s">
        <v>20</v>
      </c>
    </row>
    <row r="605" spans="1:12" x14ac:dyDescent="0.35">
      <c r="A605">
        <v>604</v>
      </c>
      <c r="B605" t="s">
        <v>17</v>
      </c>
      <c r="C605">
        <v>3.5</v>
      </c>
      <c r="D605">
        <v>89.3</v>
      </c>
      <c r="E605">
        <v>9.6999999999999993</v>
      </c>
      <c r="F605" t="s">
        <v>18</v>
      </c>
      <c r="G605" t="s">
        <v>14</v>
      </c>
      <c r="H605" t="s">
        <v>14</v>
      </c>
      <c r="I605" t="s">
        <v>15</v>
      </c>
      <c r="J605">
        <v>71.2</v>
      </c>
      <c r="K605">
        <v>100</v>
      </c>
      <c r="L605" t="s">
        <v>16</v>
      </c>
    </row>
    <row r="606" spans="1:12" x14ac:dyDescent="0.35">
      <c r="A606">
        <v>605</v>
      </c>
      <c r="B606" t="s">
        <v>12</v>
      </c>
      <c r="C606">
        <v>3.8</v>
      </c>
      <c r="D606">
        <v>93</v>
      </c>
      <c r="E606">
        <v>8.6</v>
      </c>
      <c r="F606" t="s">
        <v>13</v>
      </c>
      <c r="G606" t="s">
        <v>14</v>
      </c>
      <c r="H606" t="s">
        <v>14</v>
      </c>
      <c r="I606" t="s">
        <v>15</v>
      </c>
      <c r="J606">
        <v>65.3</v>
      </c>
      <c r="K606">
        <v>80.900000000000006</v>
      </c>
      <c r="L606" t="s">
        <v>20</v>
      </c>
    </row>
    <row r="607" spans="1:12" x14ac:dyDescent="0.35">
      <c r="A607">
        <v>606</v>
      </c>
      <c r="B607" t="s">
        <v>12</v>
      </c>
      <c r="C607">
        <v>0.5</v>
      </c>
      <c r="D607">
        <v>92.5</v>
      </c>
      <c r="E607">
        <v>7.5</v>
      </c>
      <c r="F607" t="s">
        <v>18</v>
      </c>
      <c r="G607" t="s">
        <v>14</v>
      </c>
      <c r="H607" t="s">
        <v>15</v>
      </c>
      <c r="I607" t="s">
        <v>15</v>
      </c>
      <c r="J607">
        <v>76.2</v>
      </c>
      <c r="K607">
        <v>76.400000000000006</v>
      </c>
      <c r="L607" t="s">
        <v>22</v>
      </c>
    </row>
    <row r="608" spans="1:12" x14ac:dyDescent="0.35">
      <c r="A608">
        <v>607</v>
      </c>
      <c r="B608" t="s">
        <v>12</v>
      </c>
      <c r="C608">
        <v>3.1</v>
      </c>
      <c r="D608">
        <v>96.9</v>
      </c>
      <c r="E608">
        <v>6.9</v>
      </c>
      <c r="F608" t="s">
        <v>18</v>
      </c>
      <c r="G608" t="s">
        <v>15</v>
      </c>
      <c r="H608" t="s">
        <v>15</v>
      </c>
      <c r="I608" t="s">
        <v>15</v>
      </c>
      <c r="J608">
        <v>62.2</v>
      </c>
      <c r="K608">
        <v>73.599999999999994</v>
      </c>
      <c r="L608" t="s">
        <v>22</v>
      </c>
    </row>
    <row r="609" spans="1:12" x14ac:dyDescent="0.35">
      <c r="A609">
        <v>608</v>
      </c>
      <c r="B609" t="s">
        <v>17</v>
      </c>
      <c r="C609">
        <v>2.5</v>
      </c>
      <c r="D609">
        <v>92.1</v>
      </c>
      <c r="E609">
        <v>6.5</v>
      </c>
      <c r="F609" t="s">
        <v>18</v>
      </c>
      <c r="G609" t="s">
        <v>14</v>
      </c>
      <c r="H609" t="s">
        <v>14</v>
      </c>
      <c r="I609" t="s">
        <v>15</v>
      </c>
      <c r="J609">
        <v>62.7</v>
      </c>
      <c r="K609">
        <v>84</v>
      </c>
      <c r="L609" t="s">
        <v>20</v>
      </c>
    </row>
    <row r="610" spans="1:12" x14ac:dyDescent="0.35">
      <c r="A610">
        <v>609</v>
      </c>
      <c r="B610" t="s">
        <v>17</v>
      </c>
      <c r="C610">
        <v>2</v>
      </c>
      <c r="D610">
        <v>88.5</v>
      </c>
      <c r="E610">
        <v>5.7</v>
      </c>
      <c r="F610" t="s">
        <v>18</v>
      </c>
      <c r="G610" t="s">
        <v>15</v>
      </c>
      <c r="H610" t="s">
        <v>14</v>
      </c>
      <c r="I610" t="s">
        <v>14</v>
      </c>
      <c r="J610">
        <v>63.7</v>
      </c>
      <c r="K610">
        <v>58.6</v>
      </c>
      <c r="L610" t="s">
        <v>25</v>
      </c>
    </row>
    <row r="611" spans="1:12" x14ac:dyDescent="0.35">
      <c r="A611">
        <v>610</v>
      </c>
      <c r="B611" t="s">
        <v>17</v>
      </c>
      <c r="C611">
        <v>3.1</v>
      </c>
      <c r="D611">
        <v>95.7</v>
      </c>
      <c r="E611">
        <v>6.9</v>
      </c>
      <c r="F611" t="s">
        <v>19</v>
      </c>
      <c r="G611" t="s">
        <v>14</v>
      </c>
      <c r="H611" t="s">
        <v>14</v>
      </c>
      <c r="I611" t="s">
        <v>15</v>
      </c>
      <c r="J611">
        <v>86.2</v>
      </c>
      <c r="K611">
        <v>96.3</v>
      </c>
      <c r="L611" t="s">
        <v>16</v>
      </c>
    </row>
    <row r="612" spans="1:12" x14ac:dyDescent="0.35">
      <c r="A612">
        <v>611</v>
      </c>
      <c r="B612" t="s">
        <v>12</v>
      </c>
      <c r="C612">
        <v>6.2</v>
      </c>
      <c r="D612">
        <v>84.7</v>
      </c>
      <c r="E612">
        <v>7.1</v>
      </c>
      <c r="F612" t="s">
        <v>18</v>
      </c>
      <c r="G612" t="s">
        <v>14</v>
      </c>
      <c r="H612" t="s">
        <v>14</v>
      </c>
      <c r="I612" t="s">
        <v>15</v>
      </c>
      <c r="J612">
        <v>31.3</v>
      </c>
      <c r="K612">
        <v>78.8</v>
      </c>
      <c r="L612" t="s">
        <v>22</v>
      </c>
    </row>
    <row r="613" spans="1:12" x14ac:dyDescent="0.35">
      <c r="A613">
        <v>612</v>
      </c>
      <c r="B613" t="s">
        <v>17</v>
      </c>
      <c r="C613">
        <v>4.5</v>
      </c>
      <c r="D613">
        <v>76.2</v>
      </c>
      <c r="E613">
        <v>5.3</v>
      </c>
      <c r="F613" t="s">
        <v>13</v>
      </c>
      <c r="G613" t="s">
        <v>14</v>
      </c>
      <c r="H613" t="s">
        <v>14</v>
      </c>
      <c r="I613" t="s">
        <v>14</v>
      </c>
      <c r="J613">
        <v>74.7</v>
      </c>
      <c r="K613">
        <v>79.8</v>
      </c>
      <c r="L613" t="s">
        <v>22</v>
      </c>
    </row>
    <row r="614" spans="1:12" x14ac:dyDescent="0.35">
      <c r="A614">
        <v>613</v>
      </c>
      <c r="B614" t="s">
        <v>17</v>
      </c>
      <c r="C614">
        <v>2.6</v>
      </c>
      <c r="D614">
        <v>83.4</v>
      </c>
      <c r="E614">
        <v>7.2</v>
      </c>
      <c r="F614" t="s">
        <v>18</v>
      </c>
      <c r="G614" t="s">
        <v>14</v>
      </c>
      <c r="H614" t="s">
        <v>14</v>
      </c>
      <c r="I614" t="s">
        <v>14</v>
      </c>
      <c r="J614">
        <v>70.400000000000006</v>
      </c>
      <c r="K614">
        <v>70</v>
      </c>
      <c r="L614" t="s">
        <v>22</v>
      </c>
    </row>
    <row r="615" spans="1:12" x14ac:dyDescent="0.35">
      <c r="A615">
        <v>614</v>
      </c>
      <c r="B615" t="s">
        <v>17</v>
      </c>
      <c r="C615">
        <v>4.4000000000000004</v>
      </c>
      <c r="D615">
        <v>77.599999999999994</v>
      </c>
      <c r="E615">
        <v>6.6</v>
      </c>
      <c r="F615" t="s">
        <v>18</v>
      </c>
      <c r="G615" t="s">
        <v>14</v>
      </c>
      <c r="H615" t="s">
        <v>15</v>
      </c>
      <c r="I615" t="s">
        <v>15</v>
      </c>
      <c r="J615">
        <v>49.8</v>
      </c>
      <c r="K615">
        <v>75</v>
      </c>
      <c r="L615" t="s">
        <v>22</v>
      </c>
    </row>
    <row r="616" spans="1:12" x14ac:dyDescent="0.35">
      <c r="A616">
        <v>615</v>
      </c>
      <c r="B616" t="s">
        <v>17</v>
      </c>
      <c r="C616">
        <v>5.6</v>
      </c>
      <c r="D616">
        <v>78.2</v>
      </c>
      <c r="E616">
        <v>4.5</v>
      </c>
      <c r="F616" t="s">
        <v>19</v>
      </c>
      <c r="G616" t="s">
        <v>14</v>
      </c>
      <c r="H616" t="s">
        <v>14</v>
      </c>
      <c r="I616" t="s">
        <v>14</v>
      </c>
      <c r="J616">
        <v>73.7</v>
      </c>
      <c r="K616">
        <v>95</v>
      </c>
      <c r="L616" t="s">
        <v>16</v>
      </c>
    </row>
    <row r="617" spans="1:12" x14ac:dyDescent="0.35">
      <c r="A617">
        <v>616</v>
      </c>
      <c r="B617" t="s">
        <v>12</v>
      </c>
      <c r="C617">
        <v>4.9000000000000004</v>
      </c>
      <c r="D617">
        <v>83.6</v>
      </c>
      <c r="E617">
        <v>5.8</v>
      </c>
      <c r="F617" t="s">
        <v>18</v>
      </c>
      <c r="G617" t="s">
        <v>14</v>
      </c>
      <c r="H617" t="s">
        <v>14</v>
      </c>
      <c r="I617" t="s">
        <v>15</v>
      </c>
      <c r="J617">
        <v>75.7</v>
      </c>
      <c r="K617">
        <v>92.4</v>
      </c>
      <c r="L617" t="s">
        <v>16</v>
      </c>
    </row>
    <row r="618" spans="1:12" x14ac:dyDescent="0.35">
      <c r="A618">
        <v>617</v>
      </c>
      <c r="B618" t="s">
        <v>12</v>
      </c>
      <c r="C618">
        <v>3.6</v>
      </c>
      <c r="D618">
        <v>77.099999999999994</v>
      </c>
      <c r="E618">
        <v>6.3</v>
      </c>
      <c r="F618" t="s">
        <v>19</v>
      </c>
      <c r="G618" t="s">
        <v>14</v>
      </c>
      <c r="H618" t="s">
        <v>14</v>
      </c>
      <c r="I618" t="s">
        <v>14</v>
      </c>
      <c r="J618">
        <v>77.099999999999994</v>
      </c>
      <c r="K618">
        <v>86.4</v>
      </c>
      <c r="L618" t="s">
        <v>20</v>
      </c>
    </row>
    <row r="619" spans="1:12" x14ac:dyDescent="0.35">
      <c r="A619">
        <v>618</v>
      </c>
      <c r="B619" t="s">
        <v>17</v>
      </c>
      <c r="C619">
        <v>2.5</v>
      </c>
      <c r="D619">
        <v>81.900000000000006</v>
      </c>
      <c r="E619">
        <v>9.1</v>
      </c>
      <c r="F619" t="s">
        <v>18</v>
      </c>
      <c r="G619" t="s">
        <v>14</v>
      </c>
      <c r="H619" t="s">
        <v>15</v>
      </c>
      <c r="I619" t="s">
        <v>15</v>
      </c>
      <c r="J619">
        <v>38.200000000000003</v>
      </c>
      <c r="K619">
        <v>79.099999999999994</v>
      </c>
      <c r="L619" t="s">
        <v>22</v>
      </c>
    </row>
    <row r="620" spans="1:12" x14ac:dyDescent="0.35">
      <c r="A620">
        <v>619</v>
      </c>
      <c r="B620" t="s">
        <v>12</v>
      </c>
      <c r="C620">
        <v>4.5</v>
      </c>
      <c r="D620">
        <v>66.099999999999994</v>
      </c>
      <c r="E620">
        <v>7.5</v>
      </c>
      <c r="F620" t="s">
        <v>23</v>
      </c>
      <c r="G620" t="s">
        <v>14</v>
      </c>
      <c r="H620" t="s">
        <v>15</v>
      </c>
      <c r="I620" t="s">
        <v>15</v>
      </c>
      <c r="J620">
        <v>86.4</v>
      </c>
      <c r="K620">
        <v>91.5</v>
      </c>
      <c r="L620" t="s">
        <v>16</v>
      </c>
    </row>
    <row r="621" spans="1:12" x14ac:dyDescent="0.35">
      <c r="A621">
        <v>620</v>
      </c>
      <c r="B621" t="s">
        <v>12</v>
      </c>
      <c r="C621">
        <v>4.0999999999999996</v>
      </c>
      <c r="D621">
        <v>87.1</v>
      </c>
      <c r="E621">
        <v>5.2</v>
      </c>
      <c r="F621" t="s">
        <v>13</v>
      </c>
      <c r="G621" t="s">
        <v>14</v>
      </c>
      <c r="H621" t="s">
        <v>14</v>
      </c>
      <c r="I621" t="s">
        <v>15</v>
      </c>
      <c r="J621">
        <v>61.1</v>
      </c>
      <c r="K621">
        <v>80.3</v>
      </c>
      <c r="L621" t="s">
        <v>20</v>
      </c>
    </row>
    <row r="622" spans="1:12" x14ac:dyDescent="0.35">
      <c r="A622">
        <v>621</v>
      </c>
      <c r="B622" t="s">
        <v>17</v>
      </c>
      <c r="C622">
        <v>4.8</v>
      </c>
      <c r="D622">
        <v>85</v>
      </c>
      <c r="E622">
        <v>7.4</v>
      </c>
      <c r="F622" t="s">
        <v>24</v>
      </c>
      <c r="G622" t="s">
        <v>14</v>
      </c>
      <c r="H622" t="s">
        <v>14</v>
      </c>
      <c r="I622" t="s">
        <v>15</v>
      </c>
      <c r="J622">
        <v>78.2</v>
      </c>
      <c r="K622">
        <v>98.3</v>
      </c>
      <c r="L622" t="s">
        <v>16</v>
      </c>
    </row>
    <row r="623" spans="1:12" x14ac:dyDescent="0.35">
      <c r="A623">
        <v>622</v>
      </c>
      <c r="B623" t="s">
        <v>17</v>
      </c>
      <c r="C623">
        <v>4.5</v>
      </c>
      <c r="D623">
        <v>76.8</v>
      </c>
      <c r="E623">
        <v>4.9000000000000004</v>
      </c>
      <c r="F623" t="s">
        <v>13</v>
      </c>
      <c r="G623" t="s">
        <v>15</v>
      </c>
      <c r="H623" t="s">
        <v>15</v>
      </c>
      <c r="I623" t="s">
        <v>15</v>
      </c>
      <c r="J623">
        <v>78.900000000000006</v>
      </c>
      <c r="K623">
        <v>79.3</v>
      </c>
      <c r="L623" t="s">
        <v>22</v>
      </c>
    </row>
    <row r="624" spans="1:12" x14ac:dyDescent="0.35">
      <c r="A624">
        <v>623</v>
      </c>
      <c r="B624" t="s">
        <v>12</v>
      </c>
      <c r="C624">
        <v>5.0999999999999996</v>
      </c>
      <c r="D624">
        <v>91.6</v>
      </c>
      <c r="E624">
        <v>8.1</v>
      </c>
      <c r="F624" t="s">
        <v>13</v>
      </c>
      <c r="G624" t="s">
        <v>14</v>
      </c>
      <c r="H624" t="s">
        <v>14</v>
      </c>
      <c r="I624" t="s">
        <v>15</v>
      </c>
      <c r="J624">
        <v>59.5</v>
      </c>
      <c r="K624">
        <v>89.5</v>
      </c>
      <c r="L624" t="s">
        <v>20</v>
      </c>
    </row>
    <row r="625" spans="1:12" x14ac:dyDescent="0.35">
      <c r="A625">
        <v>624</v>
      </c>
      <c r="B625" t="s">
        <v>17</v>
      </c>
      <c r="C625">
        <v>2.7</v>
      </c>
      <c r="D625">
        <v>94.4</v>
      </c>
      <c r="E625">
        <v>6.2</v>
      </c>
      <c r="F625" t="s">
        <v>18</v>
      </c>
      <c r="G625" t="s">
        <v>14</v>
      </c>
      <c r="H625" t="s">
        <v>14</v>
      </c>
      <c r="I625" t="s">
        <v>14</v>
      </c>
      <c r="J625">
        <v>77.900000000000006</v>
      </c>
      <c r="K625">
        <v>75.7</v>
      </c>
      <c r="L625" t="s">
        <v>22</v>
      </c>
    </row>
    <row r="626" spans="1:12" x14ac:dyDescent="0.35">
      <c r="A626">
        <v>625</v>
      </c>
      <c r="B626" t="s">
        <v>12</v>
      </c>
      <c r="C626">
        <v>5.5</v>
      </c>
      <c r="D626">
        <v>68.900000000000006</v>
      </c>
      <c r="E626">
        <v>6.7</v>
      </c>
      <c r="F626" t="s">
        <v>18</v>
      </c>
      <c r="G626" t="s">
        <v>14</v>
      </c>
      <c r="H626" t="s">
        <v>14</v>
      </c>
      <c r="I626" t="s">
        <v>14</v>
      </c>
      <c r="J626">
        <v>65.400000000000006</v>
      </c>
      <c r="K626">
        <v>89.6</v>
      </c>
      <c r="L626" t="s">
        <v>20</v>
      </c>
    </row>
    <row r="627" spans="1:12" x14ac:dyDescent="0.35">
      <c r="A627">
        <v>626</v>
      </c>
      <c r="B627" t="s">
        <v>17</v>
      </c>
      <c r="C627">
        <v>3.8</v>
      </c>
      <c r="D627">
        <v>77.400000000000006</v>
      </c>
      <c r="E627">
        <v>8.4</v>
      </c>
      <c r="F627" t="s">
        <v>19</v>
      </c>
      <c r="G627" t="s">
        <v>14</v>
      </c>
      <c r="H627" t="s">
        <v>14</v>
      </c>
      <c r="I627" t="s">
        <v>14</v>
      </c>
      <c r="J627">
        <v>45.1</v>
      </c>
      <c r="K627">
        <v>71</v>
      </c>
      <c r="L627" t="s">
        <v>22</v>
      </c>
    </row>
    <row r="628" spans="1:12" x14ac:dyDescent="0.35">
      <c r="A628">
        <v>627</v>
      </c>
      <c r="B628" t="s">
        <v>12</v>
      </c>
      <c r="C628">
        <v>6.6</v>
      </c>
      <c r="D628">
        <v>77.3</v>
      </c>
      <c r="E628">
        <v>5.3</v>
      </c>
      <c r="F628" t="s">
        <v>18</v>
      </c>
      <c r="G628" t="s">
        <v>15</v>
      </c>
      <c r="H628" t="s">
        <v>14</v>
      </c>
      <c r="I628" t="s">
        <v>15</v>
      </c>
      <c r="J628">
        <v>84</v>
      </c>
      <c r="K628">
        <v>96.8</v>
      </c>
      <c r="L628" t="s">
        <v>16</v>
      </c>
    </row>
    <row r="629" spans="1:12" x14ac:dyDescent="0.35">
      <c r="A629">
        <v>628</v>
      </c>
      <c r="B629" t="s">
        <v>17</v>
      </c>
      <c r="C629">
        <v>2.5</v>
      </c>
      <c r="D629">
        <v>75.599999999999994</v>
      </c>
      <c r="E629">
        <v>5.0999999999999996</v>
      </c>
      <c r="F629" t="s">
        <v>13</v>
      </c>
      <c r="G629" t="s">
        <v>14</v>
      </c>
      <c r="H629" t="s">
        <v>15</v>
      </c>
      <c r="I629" t="s">
        <v>14</v>
      </c>
      <c r="J629">
        <v>60.7</v>
      </c>
      <c r="K629">
        <v>61.9</v>
      </c>
      <c r="L629" t="s">
        <v>21</v>
      </c>
    </row>
    <row r="630" spans="1:12" x14ac:dyDescent="0.35">
      <c r="A630">
        <v>629</v>
      </c>
      <c r="B630" t="s">
        <v>12</v>
      </c>
      <c r="C630">
        <v>6.1</v>
      </c>
      <c r="D630">
        <v>93.3</v>
      </c>
      <c r="E630">
        <v>6.1</v>
      </c>
      <c r="F630" t="s">
        <v>23</v>
      </c>
      <c r="G630" t="s">
        <v>14</v>
      </c>
      <c r="H630" t="s">
        <v>15</v>
      </c>
      <c r="I630" t="s">
        <v>14</v>
      </c>
      <c r="J630">
        <v>59.7</v>
      </c>
      <c r="K630">
        <v>93.9</v>
      </c>
      <c r="L630" t="s">
        <v>16</v>
      </c>
    </row>
    <row r="631" spans="1:12" x14ac:dyDescent="0.35">
      <c r="A631">
        <v>630</v>
      </c>
      <c r="B631" t="s">
        <v>12</v>
      </c>
      <c r="C631">
        <v>3.8</v>
      </c>
      <c r="D631">
        <v>83.1</v>
      </c>
      <c r="E631">
        <v>8</v>
      </c>
      <c r="F631" t="s">
        <v>18</v>
      </c>
      <c r="G631" t="s">
        <v>14</v>
      </c>
      <c r="H631" t="s">
        <v>14</v>
      </c>
      <c r="I631" t="s">
        <v>15</v>
      </c>
      <c r="J631">
        <v>65.2</v>
      </c>
      <c r="K631">
        <v>81.3</v>
      </c>
      <c r="L631" t="s">
        <v>20</v>
      </c>
    </row>
    <row r="632" spans="1:12" x14ac:dyDescent="0.35">
      <c r="A632">
        <v>631</v>
      </c>
      <c r="B632" t="s">
        <v>12</v>
      </c>
      <c r="C632">
        <v>2.5</v>
      </c>
      <c r="D632">
        <v>82.4</v>
      </c>
      <c r="E632">
        <v>5</v>
      </c>
      <c r="F632" t="s">
        <v>19</v>
      </c>
      <c r="G632" t="s">
        <v>14</v>
      </c>
      <c r="H632" t="s">
        <v>15</v>
      </c>
      <c r="I632" t="s">
        <v>15</v>
      </c>
      <c r="J632">
        <v>73.3</v>
      </c>
      <c r="K632">
        <v>77.599999999999994</v>
      </c>
      <c r="L632" t="s">
        <v>22</v>
      </c>
    </row>
    <row r="633" spans="1:12" x14ac:dyDescent="0.35">
      <c r="A633">
        <v>632</v>
      </c>
      <c r="B633" t="s">
        <v>17</v>
      </c>
      <c r="C633">
        <v>2.8</v>
      </c>
      <c r="D633">
        <v>65</v>
      </c>
      <c r="E633">
        <v>3.4</v>
      </c>
      <c r="F633" t="s">
        <v>23</v>
      </c>
      <c r="G633" t="s">
        <v>15</v>
      </c>
      <c r="H633" t="s">
        <v>14</v>
      </c>
      <c r="I633" t="s">
        <v>15</v>
      </c>
      <c r="J633">
        <v>69.3</v>
      </c>
      <c r="K633">
        <v>71.400000000000006</v>
      </c>
      <c r="L633" t="s">
        <v>22</v>
      </c>
    </row>
    <row r="634" spans="1:12" x14ac:dyDescent="0.35">
      <c r="A634">
        <v>633</v>
      </c>
      <c r="B634" t="s">
        <v>12</v>
      </c>
      <c r="C634">
        <v>3</v>
      </c>
      <c r="D634">
        <v>91.4</v>
      </c>
      <c r="E634">
        <v>6.3</v>
      </c>
      <c r="F634" t="s">
        <v>13</v>
      </c>
      <c r="G634" t="s">
        <v>14</v>
      </c>
      <c r="H634" t="s">
        <v>14</v>
      </c>
      <c r="I634" t="s">
        <v>14</v>
      </c>
      <c r="J634">
        <v>76.599999999999994</v>
      </c>
      <c r="K634">
        <v>89.4</v>
      </c>
      <c r="L634" t="s">
        <v>20</v>
      </c>
    </row>
    <row r="635" spans="1:12" x14ac:dyDescent="0.35">
      <c r="A635">
        <v>634</v>
      </c>
      <c r="B635" t="s">
        <v>12</v>
      </c>
      <c r="C635">
        <v>4.0999999999999996</v>
      </c>
      <c r="D635">
        <v>72.599999999999994</v>
      </c>
      <c r="E635">
        <v>7.5</v>
      </c>
      <c r="F635" t="s">
        <v>24</v>
      </c>
      <c r="G635" t="s">
        <v>14</v>
      </c>
      <c r="H635" t="s">
        <v>15</v>
      </c>
      <c r="I635" t="s">
        <v>14</v>
      </c>
      <c r="J635">
        <v>53.9</v>
      </c>
      <c r="K635">
        <v>74.3</v>
      </c>
      <c r="L635" t="s">
        <v>22</v>
      </c>
    </row>
    <row r="636" spans="1:12" x14ac:dyDescent="0.35">
      <c r="A636">
        <v>635</v>
      </c>
      <c r="B636" t="s">
        <v>17</v>
      </c>
      <c r="C636">
        <v>4.3</v>
      </c>
      <c r="D636">
        <v>85.6</v>
      </c>
      <c r="E636">
        <v>8.1999999999999993</v>
      </c>
      <c r="F636" t="s">
        <v>18</v>
      </c>
      <c r="G636" t="s">
        <v>14</v>
      </c>
      <c r="H636" t="s">
        <v>15</v>
      </c>
      <c r="I636" t="s">
        <v>15</v>
      </c>
      <c r="J636">
        <v>61.1</v>
      </c>
      <c r="K636">
        <v>76</v>
      </c>
      <c r="L636" t="s">
        <v>22</v>
      </c>
    </row>
    <row r="637" spans="1:12" x14ac:dyDescent="0.35">
      <c r="A637">
        <v>636</v>
      </c>
      <c r="B637" t="s">
        <v>17</v>
      </c>
      <c r="C637">
        <v>2.6</v>
      </c>
      <c r="D637">
        <v>87.8</v>
      </c>
      <c r="E637">
        <v>6.2</v>
      </c>
      <c r="F637" t="s">
        <v>18</v>
      </c>
      <c r="G637" t="s">
        <v>14</v>
      </c>
      <c r="H637" t="s">
        <v>14</v>
      </c>
      <c r="I637" t="s">
        <v>14</v>
      </c>
      <c r="J637">
        <v>68.599999999999994</v>
      </c>
      <c r="K637">
        <v>96.3</v>
      </c>
      <c r="L637" t="s">
        <v>16</v>
      </c>
    </row>
    <row r="638" spans="1:12" x14ac:dyDescent="0.35">
      <c r="A638">
        <v>637</v>
      </c>
      <c r="B638" t="s">
        <v>12</v>
      </c>
      <c r="C638">
        <v>3.5</v>
      </c>
      <c r="D638">
        <v>98.6</v>
      </c>
      <c r="E638">
        <v>6.3</v>
      </c>
      <c r="F638" t="s">
        <v>13</v>
      </c>
      <c r="G638" t="s">
        <v>14</v>
      </c>
      <c r="H638" t="s">
        <v>14</v>
      </c>
      <c r="I638" t="s">
        <v>15</v>
      </c>
      <c r="J638">
        <v>92.8</v>
      </c>
      <c r="K638">
        <v>100</v>
      </c>
      <c r="L638" t="s">
        <v>16</v>
      </c>
    </row>
    <row r="639" spans="1:12" x14ac:dyDescent="0.35">
      <c r="A639">
        <v>638</v>
      </c>
      <c r="B639" t="s">
        <v>12</v>
      </c>
      <c r="C639">
        <v>6.7</v>
      </c>
      <c r="D639">
        <v>71.900000000000006</v>
      </c>
      <c r="E639">
        <v>8.1999999999999993</v>
      </c>
      <c r="F639" t="s">
        <v>18</v>
      </c>
      <c r="G639" t="s">
        <v>14</v>
      </c>
      <c r="H639" t="s">
        <v>15</v>
      </c>
      <c r="I639" t="s">
        <v>15</v>
      </c>
      <c r="J639">
        <v>68.599999999999994</v>
      </c>
      <c r="K639">
        <v>99.9</v>
      </c>
      <c r="L639" t="s">
        <v>16</v>
      </c>
    </row>
    <row r="640" spans="1:12" x14ac:dyDescent="0.35">
      <c r="A640">
        <v>639</v>
      </c>
      <c r="B640" t="s">
        <v>17</v>
      </c>
      <c r="C640">
        <v>6.1</v>
      </c>
      <c r="D640">
        <v>54.8</v>
      </c>
      <c r="E640">
        <v>4.5999999999999996</v>
      </c>
      <c r="F640" t="s">
        <v>23</v>
      </c>
      <c r="G640" t="s">
        <v>14</v>
      </c>
      <c r="H640" t="s">
        <v>15</v>
      </c>
      <c r="I640" t="s">
        <v>15</v>
      </c>
      <c r="J640">
        <v>83</v>
      </c>
      <c r="K640">
        <v>83.8</v>
      </c>
      <c r="L640" t="s">
        <v>20</v>
      </c>
    </row>
    <row r="641" spans="1:12" x14ac:dyDescent="0.35">
      <c r="A641">
        <v>640</v>
      </c>
      <c r="B641" t="s">
        <v>17</v>
      </c>
      <c r="C641">
        <v>4.2</v>
      </c>
      <c r="D641">
        <v>86.8</v>
      </c>
      <c r="E641">
        <v>6.3</v>
      </c>
      <c r="F641" t="s">
        <v>19</v>
      </c>
      <c r="G641" t="s">
        <v>15</v>
      </c>
      <c r="H641" t="s">
        <v>15</v>
      </c>
      <c r="I641" t="s">
        <v>14</v>
      </c>
      <c r="J641">
        <v>70.5</v>
      </c>
      <c r="K641">
        <v>79.400000000000006</v>
      </c>
      <c r="L641" t="s">
        <v>22</v>
      </c>
    </row>
    <row r="642" spans="1:12" x14ac:dyDescent="0.35">
      <c r="A642">
        <v>641</v>
      </c>
      <c r="B642" t="s">
        <v>17</v>
      </c>
      <c r="C642">
        <v>3.6</v>
      </c>
      <c r="D642">
        <v>100</v>
      </c>
      <c r="E642">
        <v>7</v>
      </c>
      <c r="F642" t="s">
        <v>13</v>
      </c>
      <c r="G642" t="s">
        <v>14</v>
      </c>
      <c r="H642" t="s">
        <v>14</v>
      </c>
      <c r="I642" t="s">
        <v>15</v>
      </c>
      <c r="J642">
        <v>64.2</v>
      </c>
      <c r="K642">
        <v>86</v>
      </c>
      <c r="L642" t="s">
        <v>20</v>
      </c>
    </row>
    <row r="643" spans="1:12" x14ac:dyDescent="0.35">
      <c r="A643">
        <v>642</v>
      </c>
      <c r="B643" t="s">
        <v>17</v>
      </c>
      <c r="C643">
        <v>3.7</v>
      </c>
      <c r="D643">
        <v>97.4</v>
      </c>
      <c r="E643">
        <v>7.3</v>
      </c>
      <c r="F643" t="s">
        <v>18</v>
      </c>
      <c r="G643" t="s">
        <v>14</v>
      </c>
      <c r="H643" t="s">
        <v>14</v>
      </c>
      <c r="I643" t="s">
        <v>15</v>
      </c>
      <c r="J643">
        <v>67</v>
      </c>
      <c r="K643">
        <v>97.9</v>
      </c>
      <c r="L643" t="s">
        <v>16</v>
      </c>
    </row>
    <row r="644" spans="1:12" x14ac:dyDescent="0.35">
      <c r="A644">
        <v>643</v>
      </c>
      <c r="B644" t="s">
        <v>17</v>
      </c>
      <c r="C644">
        <v>4.4000000000000004</v>
      </c>
      <c r="D644">
        <v>87.1</v>
      </c>
      <c r="E644">
        <v>6.2</v>
      </c>
      <c r="F644" t="s">
        <v>19</v>
      </c>
      <c r="G644" t="s">
        <v>14</v>
      </c>
      <c r="H644" t="s">
        <v>14</v>
      </c>
      <c r="I644" t="s">
        <v>15</v>
      </c>
      <c r="J644">
        <v>68</v>
      </c>
      <c r="K644">
        <v>90.5</v>
      </c>
      <c r="L644" t="s">
        <v>16</v>
      </c>
    </row>
    <row r="645" spans="1:12" x14ac:dyDescent="0.35">
      <c r="A645">
        <v>644</v>
      </c>
      <c r="B645" t="s">
        <v>12</v>
      </c>
      <c r="C645">
        <v>2</v>
      </c>
      <c r="D645">
        <v>80.099999999999994</v>
      </c>
      <c r="E645">
        <v>6.8</v>
      </c>
      <c r="F645" t="s">
        <v>13</v>
      </c>
      <c r="G645" t="s">
        <v>15</v>
      </c>
      <c r="H645" t="s">
        <v>14</v>
      </c>
      <c r="I645" t="s">
        <v>15</v>
      </c>
      <c r="J645">
        <v>77.2</v>
      </c>
      <c r="K645">
        <v>70.400000000000006</v>
      </c>
      <c r="L645" t="s">
        <v>22</v>
      </c>
    </row>
    <row r="646" spans="1:12" x14ac:dyDescent="0.35">
      <c r="A646">
        <v>645</v>
      </c>
      <c r="B646" t="s">
        <v>17</v>
      </c>
      <c r="C646">
        <v>3.1</v>
      </c>
      <c r="D646">
        <v>93.1</v>
      </c>
      <c r="E646">
        <v>3.8</v>
      </c>
      <c r="F646" t="s">
        <v>13</v>
      </c>
      <c r="G646" t="s">
        <v>14</v>
      </c>
      <c r="H646" t="s">
        <v>15</v>
      </c>
      <c r="I646" t="s">
        <v>14</v>
      </c>
      <c r="J646">
        <v>86.5</v>
      </c>
      <c r="K646">
        <v>82.9</v>
      </c>
      <c r="L646" t="s">
        <v>20</v>
      </c>
    </row>
    <row r="647" spans="1:12" x14ac:dyDescent="0.35">
      <c r="A647">
        <v>646</v>
      </c>
      <c r="B647" t="s">
        <v>12</v>
      </c>
      <c r="C647">
        <v>1</v>
      </c>
      <c r="D647">
        <v>75.3</v>
      </c>
      <c r="E647">
        <v>6</v>
      </c>
      <c r="F647" t="s">
        <v>13</v>
      </c>
      <c r="G647" t="s">
        <v>14</v>
      </c>
      <c r="H647" t="s">
        <v>14</v>
      </c>
      <c r="I647" t="s">
        <v>14</v>
      </c>
      <c r="J647">
        <v>74.3</v>
      </c>
      <c r="K647">
        <v>75.5</v>
      </c>
      <c r="L647" t="s">
        <v>22</v>
      </c>
    </row>
    <row r="648" spans="1:12" x14ac:dyDescent="0.35">
      <c r="A648">
        <v>647</v>
      </c>
      <c r="B648" t="s">
        <v>12</v>
      </c>
      <c r="C648">
        <v>4.0999999999999996</v>
      </c>
      <c r="D648">
        <v>89.8</v>
      </c>
      <c r="E648">
        <v>7.3</v>
      </c>
      <c r="F648" t="s">
        <v>19</v>
      </c>
      <c r="G648" t="s">
        <v>14</v>
      </c>
      <c r="H648" t="s">
        <v>14</v>
      </c>
      <c r="I648" t="s">
        <v>15</v>
      </c>
      <c r="J648">
        <v>84.2</v>
      </c>
      <c r="K648">
        <v>100</v>
      </c>
      <c r="L648" t="s">
        <v>16</v>
      </c>
    </row>
    <row r="649" spans="1:12" x14ac:dyDescent="0.35">
      <c r="A649">
        <v>648</v>
      </c>
      <c r="B649" t="s">
        <v>12</v>
      </c>
      <c r="C649">
        <v>4.5</v>
      </c>
      <c r="D649">
        <v>90.1</v>
      </c>
      <c r="E649">
        <v>5.6</v>
      </c>
      <c r="F649" t="s">
        <v>13</v>
      </c>
      <c r="G649" t="s">
        <v>14</v>
      </c>
      <c r="H649" t="s">
        <v>15</v>
      </c>
      <c r="I649" t="s">
        <v>15</v>
      </c>
      <c r="J649">
        <v>58.4</v>
      </c>
      <c r="K649">
        <v>94</v>
      </c>
      <c r="L649" t="s">
        <v>16</v>
      </c>
    </row>
    <row r="650" spans="1:12" x14ac:dyDescent="0.35">
      <c r="A650">
        <v>649</v>
      </c>
      <c r="B650" t="s">
        <v>17</v>
      </c>
      <c r="C650">
        <v>2.8</v>
      </c>
      <c r="D650">
        <v>95.6</v>
      </c>
      <c r="E650">
        <v>6.9</v>
      </c>
      <c r="F650" t="s">
        <v>23</v>
      </c>
      <c r="G650" t="s">
        <v>14</v>
      </c>
      <c r="H650" t="s">
        <v>14</v>
      </c>
      <c r="I650" t="s">
        <v>15</v>
      </c>
      <c r="J650">
        <v>65</v>
      </c>
      <c r="K650">
        <v>88.9</v>
      </c>
      <c r="L650" t="s">
        <v>20</v>
      </c>
    </row>
    <row r="651" spans="1:12" x14ac:dyDescent="0.35">
      <c r="A651">
        <v>650</v>
      </c>
      <c r="B651" t="s">
        <v>12</v>
      </c>
      <c r="C651">
        <v>5.9</v>
      </c>
      <c r="D651">
        <v>100</v>
      </c>
      <c r="E651">
        <v>7.3</v>
      </c>
      <c r="F651" t="s">
        <v>23</v>
      </c>
      <c r="G651" t="s">
        <v>14</v>
      </c>
      <c r="H651" t="s">
        <v>14</v>
      </c>
      <c r="I651" t="s">
        <v>15</v>
      </c>
      <c r="J651">
        <v>61.3</v>
      </c>
      <c r="K651">
        <v>97.3</v>
      </c>
      <c r="L651" t="s">
        <v>16</v>
      </c>
    </row>
    <row r="652" spans="1:12" x14ac:dyDescent="0.35">
      <c r="A652">
        <v>651</v>
      </c>
      <c r="B652" t="s">
        <v>12</v>
      </c>
      <c r="C652">
        <v>1.7</v>
      </c>
      <c r="D652">
        <v>88.9</v>
      </c>
      <c r="E652">
        <v>6.4</v>
      </c>
      <c r="F652" t="s">
        <v>18</v>
      </c>
      <c r="G652" t="s">
        <v>14</v>
      </c>
      <c r="H652" t="s">
        <v>15</v>
      </c>
      <c r="I652" t="s">
        <v>15</v>
      </c>
      <c r="J652">
        <v>73.8</v>
      </c>
      <c r="K652">
        <v>59.5</v>
      </c>
      <c r="L652" t="s">
        <v>25</v>
      </c>
    </row>
    <row r="653" spans="1:12" x14ac:dyDescent="0.35">
      <c r="A653">
        <v>652</v>
      </c>
      <c r="B653" t="s">
        <v>17</v>
      </c>
      <c r="C653">
        <v>1.3</v>
      </c>
      <c r="D653">
        <v>79.900000000000006</v>
      </c>
      <c r="E653">
        <v>7</v>
      </c>
      <c r="F653" t="s">
        <v>13</v>
      </c>
      <c r="G653" t="s">
        <v>14</v>
      </c>
      <c r="H653" t="s">
        <v>15</v>
      </c>
      <c r="I653" t="s">
        <v>15</v>
      </c>
      <c r="J653">
        <v>65.7</v>
      </c>
      <c r="K653">
        <v>73.3</v>
      </c>
      <c r="L653" t="s">
        <v>22</v>
      </c>
    </row>
    <row r="654" spans="1:12" x14ac:dyDescent="0.35">
      <c r="A654">
        <v>653</v>
      </c>
      <c r="B654" t="s">
        <v>12</v>
      </c>
      <c r="C654">
        <v>3.8</v>
      </c>
      <c r="D654">
        <v>84.7</v>
      </c>
      <c r="E654">
        <v>5.6</v>
      </c>
      <c r="F654" t="s">
        <v>23</v>
      </c>
      <c r="G654" t="s">
        <v>14</v>
      </c>
      <c r="H654" t="s">
        <v>15</v>
      </c>
      <c r="I654" t="s">
        <v>15</v>
      </c>
      <c r="J654">
        <v>78.8</v>
      </c>
      <c r="K654">
        <v>88</v>
      </c>
      <c r="L654" t="s">
        <v>20</v>
      </c>
    </row>
    <row r="655" spans="1:12" x14ac:dyDescent="0.35">
      <c r="A655">
        <v>654</v>
      </c>
      <c r="B655" t="s">
        <v>12</v>
      </c>
      <c r="C655">
        <v>5.0999999999999996</v>
      </c>
      <c r="D655">
        <v>67.3</v>
      </c>
      <c r="E655">
        <v>6.6</v>
      </c>
      <c r="F655" t="s">
        <v>13</v>
      </c>
      <c r="G655" t="s">
        <v>15</v>
      </c>
      <c r="H655" t="s">
        <v>14</v>
      </c>
      <c r="I655" t="s">
        <v>14</v>
      </c>
      <c r="J655">
        <v>58.8</v>
      </c>
      <c r="K655">
        <v>74.8</v>
      </c>
      <c r="L655" t="s">
        <v>22</v>
      </c>
    </row>
    <row r="656" spans="1:12" x14ac:dyDescent="0.35">
      <c r="A656">
        <v>655</v>
      </c>
      <c r="B656" t="s">
        <v>17</v>
      </c>
      <c r="C656">
        <v>6</v>
      </c>
      <c r="D656">
        <v>78.099999999999994</v>
      </c>
      <c r="E656">
        <v>7.5</v>
      </c>
      <c r="F656" t="s">
        <v>23</v>
      </c>
      <c r="G656" t="s">
        <v>15</v>
      </c>
      <c r="H656" t="s">
        <v>15</v>
      </c>
      <c r="I656" t="s">
        <v>15</v>
      </c>
      <c r="J656">
        <v>70.5</v>
      </c>
      <c r="K656">
        <v>89.9</v>
      </c>
      <c r="L656" t="s">
        <v>20</v>
      </c>
    </row>
    <row r="657" spans="1:12" x14ac:dyDescent="0.35">
      <c r="A657">
        <v>656</v>
      </c>
      <c r="B657" t="s">
        <v>12</v>
      </c>
      <c r="C657">
        <v>2.8</v>
      </c>
      <c r="D657">
        <v>80.900000000000006</v>
      </c>
      <c r="E657">
        <v>7</v>
      </c>
      <c r="F657" t="s">
        <v>19</v>
      </c>
      <c r="G657" t="s">
        <v>14</v>
      </c>
      <c r="H657" t="s">
        <v>15</v>
      </c>
      <c r="I657" t="s">
        <v>14</v>
      </c>
      <c r="J657">
        <v>78.2</v>
      </c>
      <c r="K657">
        <v>72.599999999999994</v>
      </c>
      <c r="L657" t="s">
        <v>22</v>
      </c>
    </row>
    <row r="658" spans="1:12" x14ac:dyDescent="0.35">
      <c r="A658">
        <v>657</v>
      </c>
      <c r="B658" t="s">
        <v>12</v>
      </c>
      <c r="C658">
        <v>5.0999999999999996</v>
      </c>
      <c r="D658">
        <v>79.8</v>
      </c>
      <c r="E658">
        <v>6.1</v>
      </c>
      <c r="F658" t="s">
        <v>13</v>
      </c>
      <c r="G658" t="s">
        <v>14</v>
      </c>
      <c r="H658" t="s">
        <v>14</v>
      </c>
      <c r="I658" t="s">
        <v>15</v>
      </c>
      <c r="J658">
        <v>45.2</v>
      </c>
      <c r="K658">
        <v>83.6</v>
      </c>
      <c r="L658" t="s">
        <v>20</v>
      </c>
    </row>
    <row r="659" spans="1:12" x14ac:dyDescent="0.35">
      <c r="A659">
        <v>658</v>
      </c>
      <c r="B659" t="s">
        <v>12</v>
      </c>
      <c r="C659">
        <v>3.4</v>
      </c>
      <c r="D659">
        <v>86.5</v>
      </c>
      <c r="E659">
        <v>7.1</v>
      </c>
      <c r="F659" t="s">
        <v>23</v>
      </c>
      <c r="G659" t="s">
        <v>14</v>
      </c>
      <c r="H659" t="s">
        <v>14</v>
      </c>
      <c r="I659" t="s">
        <v>15</v>
      </c>
      <c r="J659">
        <v>95.5</v>
      </c>
      <c r="K659">
        <v>100</v>
      </c>
      <c r="L659" t="s">
        <v>16</v>
      </c>
    </row>
    <row r="660" spans="1:12" x14ac:dyDescent="0.35">
      <c r="A660">
        <v>659</v>
      </c>
      <c r="B660" t="s">
        <v>17</v>
      </c>
      <c r="C660">
        <v>3.2</v>
      </c>
      <c r="D660">
        <v>76.8</v>
      </c>
      <c r="E660">
        <v>7.7</v>
      </c>
      <c r="F660" t="s">
        <v>23</v>
      </c>
      <c r="G660" t="s">
        <v>14</v>
      </c>
      <c r="H660" t="s">
        <v>15</v>
      </c>
      <c r="I660" t="s">
        <v>15</v>
      </c>
      <c r="J660">
        <v>66.599999999999994</v>
      </c>
      <c r="K660">
        <v>84.3</v>
      </c>
      <c r="L660" t="s">
        <v>20</v>
      </c>
    </row>
    <row r="661" spans="1:12" x14ac:dyDescent="0.35">
      <c r="A661">
        <v>660</v>
      </c>
      <c r="B661" t="s">
        <v>17</v>
      </c>
      <c r="C661">
        <v>4.8</v>
      </c>
      <c r="D661">
        <v>96.2</v>
      </c>
      <c r="E661">
        <v>4.3</v>
      </c>
      <c r="F661" t="s">
        <v>23</v>
      </c>
      <c r="G661" t="s">
        <v>14</v>
      </c>
      <c r="H661" t="s">
        <v>14</v>
      </c>
      <c r="I661" t="s">
        <v>14</v>
      </c>
      <c r="J661">
        <v>45.7</v>
      </c>
      <c r="K661">
        <v>85.4</v>
      </c>
      <c r="L661" t="s">
        <v>20</v>
      </c>
    </row>
    <row r="662" spans="1:12" x14ac:dyDescent="0.35">
      <c r="A662">
        <v>661</v>
      </c>
      <c r="B662" t="s">
        <v>17</v>
      </c>
      <c r="C662">
        <v>4.5</v>
      </c>
      <c r="D662">
        <v>85</v>
      </c>
      <c r="E662">
        <v>8.1999999999999993</v>
      </c>
      <c r="F662" t="s">
        <v>13</v>
      </c>
      <c r="G662" t="s">
        <v>14</v>
      </c>
      <c r="H662" t="s">
        <v>15</v>
      </c>
      <c r="I662" t="s">
        <v>15</v>
      </c>
      <c r="J662">
        <v>71.900000000000006</v>
      </c>
      <c r="K662">
        <v>95.2</v>
      </c>
      <c r="L662" t="s">
        <v>16</v>
      </c>
    </row>
    <row r="663" spans="1:12" x14ac:dyDescent="0.35">
      <c r="A663">
        <v>662</v>
      </c>
      <c r="B663" t="s">
        <v>12</v>
      </c>
      <c r="C663">
        <v>1.1000000000000001</v>
      </c>
      <c r="D663">
        <v>84.9</v>
      </c>
      <c r="E663">
        <v>6.4</v>
      </c>
      <c r="F663" t="s">
        <v>18</v>
      </c>
      <c r="G663" t="s">
        <v>14</v>
      </c>
      <c r="H663" t="s">
        <v>14</v>
      </c>
      <c r="I663" t="s">
        <v>14</v>
      </c>
      <c r="J663">
        <v>70.400000000000006</v>
      </c>
      <c r="K663">
        <v>69</v>
      </c>
      <c r="L663" t="s">
        <v>21</v>
      </c>
    </row>
    <row r="664" spans="1:12" x14ac:dyDescent="0.35">
      <c r="A664">
        <v>663</v>
      </c>
      <c r="B664" t="s">
        <v>12</v>
      </c>
      <c r="C664">
        <v>5.7</v>
      </c>
      <c r="D664">
        <v>81.7</v>
      </c>
      <c r="E664">
        <v>7.3</v>
      </c>
      <c r="F664" t="s">
        <v>13</v>
      </c>
      <c r="G664" t="s">
        <v>14</v>
      </c>
      <c r="H664" t="s">
        <v>14</v>
      </c>
      <c r="I664" t="s">
        <v>15</v>
      </c>
      <c r="J664">
        <v>69</v>
      </c>
      <c r="K664">
        <v>94.2</v>
      </c>
      <c r="L664" t="s">
        <v>16</v>
      </c>
    </row>
    <row r="665" spans="1:12" x14ac:dyDescent="0.35">
      <c r="A665">
        <v>664</v>
      </c>
      <c r="B665" t="s">
        <v>17</v>
      </c>
      <c r="C665">
        <v>5.6</v>
      </c>
      <c r="D665">
        <v>86.6</v>
      </c>
      <c r="E665">
        <v>8.1999999999999993</v>
      </c>
      <c r="F665" t="s">
        <v>23</v>
      </c>
      <c r="G665" t="s">
        <v>14</v>
      </c>
      <c r="H665" t="s">
        <v>14</v>
      </c>
      <c r="I665" t="s">
        <v>14</v>
      </c>
      <c r="J665">
        <v>81.900000000000006</v>
      </c>
      <c r="K665">
        <v>99.7</v>
      </c>
      <c r="L665" t="s">
        <v>16</v>
      </c>
    </row>
    <row r="666" spans="1:12" x14ac:dyDescent="0.35">
      <c r="A666">
        <v>665</v>
      </c>
      <c r="B666" t="s">
        <v>12</v>
      </c>
      <c r="C666">
        <v>2.6</v>
      </c>
      <c r="D666">
        <v>93.3</v>
      </c>
      <c r="E666">
        <v>5.2</v>
      </c>
      <c r="F666" t="s">
        <v>13</v>
      </c>
      <c r="G666" t="s">
        <v>14</v>
      </c>
      <c r="H666" t="s">
        <v>15</v>
      </c>
      <c r="I666" t="s">
        <v>15</v>
      </c>
      <c r="J666">
        <v>79</v>
      </c>
      <c r="K666">
        <v>85.8</v>
      </c>
      <c r="L666" t="s">
        <v>20</v>
      </c>
    </row>
    <row r="667" spans="1:12" x14ac:dyDescent="0.35">
      <c r="A667">
        <v>666</v>
      </c>
      <c r="B667" t="s">
        <v>12</v>
      </c>
      <c r="C667">
        <v>4.0999999999999996</v>
      </c>
      <c r="D667">
        <v>76.3</v>
      </c>
      <c r="E667">
        <v>5.9</v>
      </c>
      <c r="F667" t="s">
        <v>23</v>
      </c>
      <c r="G667" t="s">
        <v>14</v>
      </c>
      <c r="H667" t="s">
        <v>14</v>
      </c>
      <c r="I667" t="s">
        <v>15</v>
      </c>
      <c r="J667">
        <v>73.599999999999994</v>
      </c>
      <c r="K667">
        <v>91.7</v>
      </c>
      <c r="L667" t="s">
        <v>16</v>
      </c>
    </row>
    <row r="668" spans="1:12" x14ac:dyDescent="0.35">
      <c r="A668">
        <v>667</v>
      </c>
      <c r="B668" t="s">
        <v>17</v>
      </c>
      <c r="C668">
        <v>4.2</v>
      </c>
      <c r="D668">
        <v>78.400000000000006</v>
      </c>
      <c r="E668">
        <v>6.5</v>
      </c>
      <c r="F668" t="s">
        <v>13</v>
      </c>
      <c r="G668" t="s">
        <v>14</v>
      </c>
      <c r="H668" t="s">
        <v>14</v>
      </c>
      <c r="I668" t="s">
        <v>15</v>
      </c>
      <c r="J668">
        <v>75.400000000000006</v>
      </c>
      <c r="K668">
        <v>92.2</v>
      </c>
      <c r="L668" t="s">
        <v>16</v>
      </c>
    </row>
    <row r="669" spans="1:12" x14ac:dyDescent="0.35">
      <c r="A669">
        <v>668</v>
      </c>
      <c r="B669" t="s">
        <v>17</v>
      </c>
      <c r="C669">
        <v>3.9</v>
      </c>
      <c r="D669">
        <v>82</v>
      </c>
      <c r="E669">
        <v>5.9</v>
      </c>
      <c r="F669" t="s">
        <v>13</v>
      </c>
      <c r="G669" t="s">
        <v>14</v>
      </c>
      <c r="H669" t="s">
        <v>15</v>
      </c>
      <c r="I669" t="s">
        <v>15</v>
      </c>
      <c r="J669">
        <v>68.7</v>
      </c>
      <c r="K669">
        <v>96.3</v>
      </c>
      <c r="L669" t="s">
        <v>16</v>
      </c>
    </row>
    <row r="670" spans="1:12" x14ac:dyDescent="0.35">
      <c r="A670">
        <v>669</v>
      </c>
      <c r="B670" t="s">
        <v>12</v>
      </c>
      <c r="C670">
        <v>2.7</v>
      </c>
      <c r="D670">
        <v>71.5</v>
      </c>
      <c r="E670">
        <v>8.9</v>
      </c>
      <c r="F670" t="s">
        <v>18</v>
      </c>
      <c r="G670" t="s">
        <v>14</v>
      </c>
      <c r="H670" t="s">
        <v>15</v>
      </c>
      <c r="I670" t="s">
        <v>14</v>
      </c>
      <c r="J670">
        <v>91.3</v>
      </c>
      <c r="K670">
        <v>97.6</v>
      </c>
      <c r="L670" t="s">
        <v>16</v>
      </c>
    </row>
    <row r="671" spans="1:12" x14ac:dyDescent="0.35">
      <c r="A671">
        <v>670</v>
      </c>
      <c r="B671" t="s">
        <v>12</v>
      </c>
      <c r="C671">
        <v>2.5</v>
      </c>
      <c r="D671">
        <v>76.8</v>
      </c>
      <c r="E671">
        <v>5.8</v>
      </c>
      <c r="F671" t="s">
        <v>23</v>
      </c>
      <c r="G671" t="s">
        <v>14</v>
      </c>
      <c r="H671" t="s">
        <v>15</v>
      </c>
      <c r="I671" t="s">
        <v>14</v>
      </c>
      <c r="J671">
        <v>52.2</v>
      </c>
      <c r="K671">
        <v>66.400000000000006</v>
      </c>
      <c r="L671" t="s">
        <v>21</v>
      </c>
    </row>
    <row r="672" spans="1:12" x14ac:dyDescent="0.35">
      <c r="A672">
        <v>671</v>
      </c>
      <c r="B672" t="s">
        <v>12</v>
      </c>
      <c r="C672">
        <v>3.5</v>
      </c>
      <c r="D672">
        <v>80.2</v>
      </c>
      <c r="E672">
        <v>6.1</v>
      </c>
      <c r="F672" t="s">
        <v>13</v>
      </c>
      <c r="G672" t="s">
        <v>14</v>
      </c>
      <c r="H672" t="s">
        <v>14</v>
      </c>
      <c r="I672" t="s">
        <v>15</v>
      </c>
      <c r="J672">
        <v>71.7</v>
      </c>
      <c r="K672">
        <v>60.8</v>
      </c>
      <c r="L672" t="s">
        <v>21</v>
      </c>
    </row>
    <row r="673" spans="1:12" x14ac:dyDescent="0.35">
      <c r="A673">
        <v>672</v>
      </c>
      <c r="B673" t="s">
        <v>17</v>
      </c>
      <c r="C673">
        <v>5.3</v>
      </c>
      <c r="D673">
        <v>93.7</v>
      </c>
      <c r="E673">
        <v>7</v>
      </c>
      <c r="F673" t="s">
        <v>18</v>
      </c>
      <c r="G673" t="s">
        <v>15</v>
      </c>
      <c r="H673" t="s">
        <v>14</v>
      </c>
      <c r="I673" t="s">
        <v>15</v>
      </c>
      <c r="J673">
        <v>70.8</v>
      </c>
      <c r="K673">
        <v>99.8</v>
      </c>
      <c r="L673" t="s">
        <v>16</v>
      </c>
    </row>
    <row r="674" spans="1:12" x14ac:dyDescent="0.35">
      <c r="A674">
        <v>673</v>
      </c>
      <c r="B674" t="s">
        <v>17</v>
      </c>
      <c r="C674">
        <v>4.3</v>
      </c>
      <c r="D674">
        <v>87.6</v>
      </c>
      <c r="E674">
        <v>5.4</v>
      </c>
      <c r="F674" t="s">
        <v>18</v>
      </c>
      <c r="G674" t="s">
        <v>14</v>
      </c>
      <c r="H674" t="s">
        <v>15</v>
      </c>
      <c r="I674" t="s">
        <v>14</v>
      </c>
      <c r="J674">
        <v>79.8</v>
      </c>
      <c r="K674">
        <v>85.2</v>
      </c>
      <c r="L674" t="s">
        <v>20</v>
      </c>
    </row>
    <row r="675" spans="1:12" x14ac:dyDescent="0.35">
      <c r="A675">
        <v>674</v>
      </c>
      <c r="B675" t="s">
        <v>17</v>
      </c>
      <c r="C675">
        <v>2.9</v>
      </c>
      <c r="D675">
        <v>86.9</v>
      </c>
      <c r="E675">
        <v>6.3</v>
      </c>
      <c r="F675" t="s">
        <v>23</v>
      </c>
      <c r="G675" t="s">
        <v>14</v>
      </c>
      <c r="H675" t="s">
        <v>15</v>
      </c>
      <c r="I675" t="s">
        <v>15</v>
      </c>
      <c r="J675">
        <v>59.9</v>
      </c>
      <c r="K675">
        <v>73.2</v>
      </c>
      <c r="L675" t="s">
        <v>22</v>
      </c>
    </row>
    <row r="676" spans="1:12" x14ac:dyDescent="0.35">
      <c r="A676">
        <v>675</v>
      </c>
      <c r="B676" t="s">
        <v>17</v>
      </c>
      <c r="C676">
        <v>4.7</v>
      </c>
      <c r="D676">
        <v>93.5</v>
      </c>
      <c r="E676">
        <v>7.2</v>
      </c>
      <c r="F676" t="s">
        <v>13</v>
      </c>
      <c r="G676" t="s">
        <v>14</v>
      </c>
      <c r="H676" t="s">
        <v>14</v>
      </c>
      <c r="I676" t="s">
        <v>15</v>
      </c>
      <c r="J676">
        <v>49.1</v>
      </c>
      <c r="K676">
        <v>83.8</v>
      </c>
      <c r="L676" t="s">
        <v>20</v>
      </c>
    </row>
    <row r="677" spans="1:12" x14ac:dyDescent="0.35">
      <c r="A677">
        <v>676</v>
      </c>
      <c r="B677" t="s">
        <v>12</v>
      </c>
      <c r="C677">
        <v>0.5</v>
      </c>
      <c r="D677">
        <v>83.6</v>
      </c>
      <c r="E677">
        <v>6.4</v>
      </c>
      <c r="F677" t="s">
        <v>18</v>
      </c>
      <c r="G677" t="s">
        <v>15</v>
      </c>
      <c r="H677" t="s">
        <v>14</v>
      </c>
      <c r="I677" t="s">
        <v>14</v>
      </c>
      <c r="J677">
        <v>71.900000000000006</v>
      </c>
      <c r="K677">
        <v>61.3</v>
      </c>
      <c r="L677" t="s">
        <v>21</v>
      </c>
    </row>
    <row r="678" spans="1:12" x14ac:dyDescent="0.35">
      <c r="A678">
        <v>677</v>
      </c>
      <c r="B678" t="s">
        <v>17</v>
      </c>
      <c r="C678">
        <v>5.2</v>
      </c>
      <c r="D678">
        <v>88.9</v>
      </c>
      <c r="E678">
        <v>6.7</v>
      </c>
      <c r="F678" t="s">
        <v>19</v>
      </c>
      <c r="G678" t="s">
        <v>15</v>
      </c>
      <c r="H678" t="s">
        <v>15</v>
      </c>
      <c r="I678" t="s">
        <v>14</v>
      </c>
      <c r="J678">
        <v>73.400000000000006</v>
      </c>
      <c r="K678">
        <v>90.6</v>
      </c>
      <c r="L678" t="s">
        <v>16</v>
      </c>
    </row>
    <row r="679" spans="1:12" x14ac:dyDescent="0.35">
      <c r="A679">
        <v>678</v>
      </c>
      <c r="B679" t="s">
        <v>17</v>
      </c>
      <c r="C679">
        <v>0.9</v>
      </c>
      <c r="D679">
        <v>84</v>
      </c>
      <c r="E679">
        <v>6.2</v>
      </c>
      <c r="F679" t="s">
        <v>23</v>
      </c>
      <c r="G679" t="s">
        <v>14</v>
      </c>
      <c r="H679" t="s">
        <v>14</v>
      </c>
      <c r="I679" t="s">
        <v>14</v>
      </c>
      <c r="J679">
        <v>87.9</v>
      </c>
      <c r="K679">
        <v>67.7</v>
      </c>
      <c r="L679" t="s">
        <v>21</v>
      </c>
    </row>
    <row r="680" spans="1:12" x14ac:dyDescent="0.35">
      <c r="A680">
        <v>679</v>
      </c>
      <c r="B680" t="s">
        <v>17</v>
      </c>
      <c r="C680">
        <v>3</v>
      </c>
      <c r="D680">
        <v>87.7</v>
      </c>
      <c r="E680">
        <v>5</v>
      </c>
      <c r="F680" t="s">
        <v>19</v>
      </c>
      <c r="G680" t="s">
        <v>15</v>
      </c>
      <c r="H680" t="s">
        <v>15</v>
      </c>
      <c r="I680" t="s">
        <v>15</v>
      </c>
      <c r="J680">
        <v>54.8</v>
      </c>
      <c r="K680">
        <v>63.6</v>
      </c>
      <c r="L680" t="s">
        <v>21</v>
      </c>
    </row>
    <row r="681" spans="1:12" x14ac:dyDescent="0.35">
      <c r="A681">
        <v>680</v>
      </c>
      <c r="B681" t="s">
        <v>17</v>
      </c>
      <c r="C681">
        <v>1.8</v>
      </c>
      <c r="D681">
        <v>79.2</v>
      </c>
      <c r="E681">
        <v>7.2</v>
      </c>
      <c r="F681" t="s">
        <v>13</v>
      </c>
      <c r="G681" t="s">
        <v>14</v>
      </c>
      <c r="H681" t="s">
        <v>14</v>
      </c>
      <c r="I681" t="s">
        <v>15</v>
      </c>
      <c r="J681">
        <v>83.9</v>
      </c>
      <c r="K681">
        <v>84.1</v>
      </c>
      <c r="L681" t="s">
        <v>20</v>
      </c>
    </row>
    <row r="682" spans="1:12" x14ac:dyDescent="0.35">
      <c r="A682">
        <v>681</v>
      </c>
      <c r="B682" t="s">
        <v>17</v>
      </c>
      <c r="C682">
        <v>1.6</v>
      </c>
      <c r="D682">
        <v>60.6</v>
      </c>
      <c r="E682">
        <v>8.9</v>
      </c>
      <c r="F682" t="s">
        <v>13</v>
      </c>
      <c r="G682" t="s">
        <v>14</v>
      </c>
      <c r="H682" t="s">
        <v>14</v>
      </c>
      <c r="I682" t="s">
        <v>15</v>
      </c>
      <c r="J682">
        <v>98.4</v>
      </c>
      <c r="K682">
        <v>86.2</v>
      </c>
      <c r="L682" t="s">
        <v>20</v>
      </c>
    </row>
    <row r="683" spans="1:12" x14ac:dyDescent="0.35">
      <c r="A683">
        <v>682</v>
      </c>
      <c r="B683" t="s">
        <v>12</v>
      </c>
      <c r="C683">
        <v>5.2</v>
      </c>
      <c r="D683">
        <v>83.7</v>
      </c>
      <c r="E683">
        <v>6.8</v>
      </c>
      <c r="F683" t="s">
        <v>24</v>
      </c>
      <c r="G683" t="s">
        <v>14</v>
      </c>
      <c r="H683" t="s">
        <v>15</v>
      </c>
      <c r="I683" t="s">
        <v>15</v>
      </c>
      <c r="J683">
        <v>65.5</v>
      </c>
      <c r="K683">
        <v>93.9</v>
      </c>
      <c r="L683" t="s">
        <v>16</v>
      </c>
    </row>
    <row r="684" spans="1:12" x14ac:dyDescent="0.35">
      <c r="A684">
        <v>683</v>
      </c>
      <c r="B684" t="s">
        <v>12</v>
      </c>
      <c r="C684">
        <v>2.8</v>
      </c>
      <c r="D684">
        <v>99.2</v>
      </c>
      <c r="E684">
        <v>7.1</v>
      </c>
      <c r="F684" t="s">
        <v>13</v>
      </c>
      <c r="G684" t="s">
        <v>14</v>
      </c>
      <c r="H684" t="s">
        <v>14</v>
      </c>
      <c r="I684" t="s">
        <v>14</v>
      </c>
      <c r="J684">
        <v>54.5</v>
      </c>
      <c r="K684">
        <v>73.900000000000006</v>
      </c>
      <c r="L684" t="s">
        <v>22</v>
      </c>
    </row>
    <row r="685" spans="1:12" x14ac:dyDescent="0.35">
      <c r="A685">
        <v>684</v>
      </c>
      <c r="B685" t="s">
        <v>17</v>
      </c>
      <c r="C685">
        <v>4</v>
      </c>
      <c r="D685">
        <v>94.3</v>
      </c>
      <c r="E685">
        <v>7.6</v>
      </c>
      <c r="F685" t="s">
        <v>23</v>
      </c>
      <c r="G685" t="s">
        <v>15</v>
      </c>
      <c r="H685" t="s">
        <v>14</v>
      </c>
      <c r="I685" t="s">
        <v>15</v>
      </c>
      <c r="J685">
        <v>65.099999999999994</v>
      </c>
      <c r="K685">
        <v>79.3</v>
      </c>
      <c r="L685" t="s">
        <v>22</v>
      </c>
    </row>
    <row r="686" spans="1:12" x14ac:dyDescent="0.35">
      <c r="A686">
        <v>685</v>
      </c>
      <c r="B686" t="s">
        <v>12</v>
      </c>
      <c r="C686">
        <v>3.4</v>
      </c>
      <c r="D686">
        <v>94.7</v>
      </c>
      <c r="E686">
        <v>5.3</v>
      </c>
      <c r="F686" t="s">
        <v>18</v>
      </c>
      <c r="G686" t="s">
        <v>14</v>
      </c>
      <c r="H686" t="s">
        <v>14</v>
      </c>
      <c r="I686" t="s">
        <v>15</v>
      </c>
      <c r="J686">
        <v>70.2</v>
      </c>
      <c r="K686">
        <v>83.8</v>
      </c>
      <c r="L686" t="s">
        <v>20</v>
      </c>
    </row>
    <row r="687" spans="1:12" x14ac:dyDescent="0.35">
      <c r="A687">
        <v>686</v>
      </c>
      <c r="B687" t="s">
        <v>17</v>
      </c>
      <c r="C687">
        <v>4.2</v>
      </c>
      <c r="D687">
        <v>97.4</v>
      </c>
      <c r="E687">
        <v>8.8000000000000007</v>
      </c>
      <c r="F687" t="s">
        <v>13</v>
      </c>
      <c r="G687" t="s">
        <v>15</v>
      </c>
      <c r="H687" t="s">
        <v>14</v>
      </c>
      <c r="I687" t="s">
        <v>14</v>
      </c>
      <c r="J687">
        <v>76.8</v>
      </c>
      <c r="K687">
        <v>91.7</v>
      </c>
      <c r="L687" t="s">
        <v>16</v>
      </c>
    </row>
    <row r="688" spans="1:12" x14ac:dyDescent="0.35">
      <c r="A688">
        <v>687</v>
      </c>
      <c r="B688" t="s">
        <v>17</v>
      </c>
      <c r="C688">
        <v>3.6</v>
      </c>
      <c r="D688">
        <v>85.9</v>
      </c>
      <c r="E688">
        <v>7</v>
      </c>
      <c r="F688" t="s">
        <v>18</v>
      </c>
      <c r="G688" t="s">
        <v>14</v>
      </c>
      <c r="H688" t="s">
        <v>15</v>
      </c>
      <c r="I688" t="s">
        <v>15</v>
      </c>
      <c r="J688">
        <v>62.9</v>
      </c>
      <c r="K688">
        <v>91.7</v>
      </c>
      <c r="L688" t="s">
        <v>16</v>
      </c>
    </row>
    <row r="689" spans="1:12" x14ac:dyDescent="0.35">
      <c r="A689">
        <v>688</v>
      </c>
      <c r="B689" t="s">
        <v>12</v>
      </c>
      <c r="C689">
        <v>1.6</v>
      </c>
      <c r="D689">
        <v>87</v>
      </c>
      <c r="E689">
        <v>8.8000000000000007</v>
      </c>
      <c r="F689" t="s">
        <v>18</v>
      </c>
      <c r="G689" t="s">
        <v>14</v>
      </c>
      <c r="H689" t="s">
        <v>15</v>
      </c>
      <c r="I689" t="s">
        <v>15</v>
      </c>
      <c r="J689">
        <v>88.7</v>
      </c>
      <c r="K689">
        <v>74.400000000000006</v>
      </c>
      <c r="L689" t="s">
        <v>22</v>
      </c>
    </row>
    <row r="690" spans="1:12" x14ac:dyDescent="0.35">
      <c r="A690">
        <v>689</v>
      </c>
      <c r="B690" t="s">
        <v>12</v>
      </c>
      <c r="C690">
        <v>5</v>
      </c>
      <c r="D690">
        <v>78.8</v>
      </c>
      <c r="E690">
        <v>5.9</v>
      </c>
      <c r="F690" t="s">
        <v>18</v>
      </c>
      <c r="G690" t="s">
        <v>14</v>
      </c>
      <c r="H690" t="s">
        <v>15</v>
      </c>
      <c r="I690" t="s">
        <v>15</v>
      </c>
      <c r="J690">
        <v>56.6</v>
      </c>
      <c r="K690">
        <v>81.5</v>
      </c>
      <c r="L690" t="s">
        <v>20</v>
      </c>
    </row>
    <row r="691" spans="1:12" x14ac:dyDescent="0.35">
      <c r="A691">
        <v>690</v>
      </c>
      <c r="B691" t="s">
        <v>17</v>
      </c>
      <c r="C691">
        <v>2.8</v>
      </c>
      <c r="D691">
        <v>81.8</v>
      </c>
      <c r="E691">
        <v>9</v>
      </c>
      <c r="F691" t="s">
        <v>18</v>
      </c>
      <c r="G691" t="s">
        <v>14</v>
      </c>
      <c r="H691" t="s">
        <v>14</v>
      </c>
      <c r="I691" t="s">
        <v>15</v>
      </c>
      <c r="J691">
        <v>49.1</v>
      </c>
      <c r="K691">
        <v>67.7</v>
      </c>
      <c r="L691" t="s">
        <v>21</v>
      </c>
    </row>
    <row r="692" spans="1:12" x14ac:dyDescent="0.35">
      <c r="A692">
        <v>691</v>
      </c>
      <c r="B692" t="s">
        <v>17</v>
      </c>
      <c r="C692">
        <v>1.2</v>
      </c>
      <c r="D692">
        <v>91.2</v>
      </c>
      <c r="E692">
        <v>7.7</v>
      </c>
      <c r="F692" t="s">
        <v>19</v>
      </c>
      <c r="G692" t="s">
        <v>14</v>
      </c>
      <c r="H692" t="s">
        <v>14</v>
      </c>
      <c r="I692" t="s">
        <v>14</v>
      </c>
      <c r="J692">
        <v>83.3</v>
      </c>
      <c r="K692">
        <v>71</v>
      </c>
      <c r="L692" t="s">
        <v>22</v>
      </c>
    </row>
    <row r="693" spans="1:12" x14ac:dyDescent="0.35">
      <c r="A693">
        <v>692</v>
      </c>
      <c r="B693" t="s">
        <v>17</v>
      </c>
      <c r="C693">
        <v>2.9</v>
      </c>
      <c r="D693">
        <v>97</v>
      </c>
      <c r="E693">
        <v>7.5</v>
      </c>
      <c r="F693" t="s">
        <v>18</v>
      </c>
      <c r="G693" t="s">
        <v>14</v>
      </c>
      <c r="H693" t="s">
        <v>14</v>
      </c>
      <c r="I693" t="s">
        <v>14</v>
      </c>
      <c r="J693">
        <v>42.7</v>
      </c>
      <c r="K693">
        <v>79.900000000000006</v>
      </c>
      <c r="L693" t="s">
        <v>22</v>
      </c>
    </row>
    <row r="694" spans="1:12" x14ac:dyDescent="0.35">
      <c r="A694">
        <v>693</v>
      </c>
      <c r="B694" t="s">
        <v>12</v>
      </c>
      <c r="C694">
        <v>5.8</v>
      </c>
      <c r="D694">
        <v>83.6</v>
      </c>
      <c r="E694">
        <v>7.1</v>
      </c>
      <c r="F694" t="s">
        <v>23</v>
      </c>
      <c r="G694" t="s">
        <v>15</v>
      </c>
      <c r="H694" t="s">
        <v>15</v>
      </c>
      <c r="I694" t="s">
        <v>15</v>
      </c>
      <c r="J694">
        <v>67.599999999999994</v>
      </c>
      <c r="K694">
        <v>92.2</v>
      </c>
      <c r="L694" t="s">
        <v>16</v>
      </c>
    </row>
    <row r="695" spans="1:12" x14ac:dyDescent="0.35">
      <c r="A695">
        <v>694</v>
      </c>
      <c r="B695" t="s">
        <v>17</v>
      </c>
      <c r="C695">
        <v>4.8</v>
      </c>
      <c r="D695">
        <v>80.5</v>
      </c>
      <c r="E695">
        <v>6.5</v>
      </c>
      <c r="F695" t="s">
        <v>23</v>
      </c>
      <c r="G695" t="s">
        <v>14</v>
      </c>
      <c r="H695" t="s">
        <v>15</v>
      </c>
      <c r="I695" t="s">
        <v>14</v>
      </c>
      <c r="J695">
        <v>100</v>
      </c>
      <c r="K695">
        <v>100</v>
      </c>
      <c r="L695" t="s">
        <v>16</v>
      </c>
    </row>
    <row r="696" spans="1:12" x14ac:dyDescent="0.35">
      <c r="A696">
        <v>695</v>
      </c>
      <c r="B696" t="s">
        <v>17</v>
      </c>
      <c r="C696">
        <v>3</v>
      </c>
      <c r="D696">
        <v>85</v>
      </c>
      <c r="E696">
        <v>8.1999999999999993</v>
      </c>
      <c r="F696" t="s">
        <v>13</v>
      </c>
      <c r="G696" t="s">
        <v>14</v>
      </c>
      <c r="H696" t="s">
        <v>15</v>
      </c>
      <c r="I696" t="s">
        <v>15</v>
      </c>
      <c r="J696">
        <v>69.900000000000006</v>
      </c>
      <c r="K696">
        <v>89.6</v>
      </c>
      <c r="L696" t="s">
        <v>20</v>
      </c>
    </row>
    <row r="697" spans="1:12" x14ac:dyDescent="0.35">
      <c r="A697">
        <v>696</v>
      </c>
      <c r="B697" t="s">
        <v>17</v>
      </c>
      <c r="C697">
        <v>3</v>
      </c>
      <c r="D697">
        <v>91</v>
      </c>
      <c r="E697">
        <v>7</v>
      </c>
      <c r="F697" t="s">
        <v>18</v>
      </c>
      <c r="G697" t="s">
        <v>14</v>
      </c>
      <c r="H697" t="s">
        <v>14</v>
      </c>
      <c r="I697" t="s">
        <v>15</v>
      </c>
      <c r="J697">
        <v>56.6</v>
      </c>
      <c r="K697">
        <v>77.5</v>
      </c>
      <c r="L697" t="s">
        <v>22</v>
      </c>
    </row>
    <row r="698" spans="1:12" x14ac:dyDescent="0.35">
      <c r="A698">
        <v>697</v>
      </c>
      <c r="B698" t="s">
        <v>12</v>
      </c>
      <c r="C698">
        <v>3</v>
      </c>
      <c r="D698">
        <v>70.599999999999994</v>
      </c>
      <c r="E698">
        <v>4.4000000000000004</v>
      </c>
      <c r="F698" t="s">
        <v>23</v>
      </c>
      <c r="G698" t="s">
        <v>14</v>
      </c>
      <c r="H698" t="s">
        <v>14</v>
      </c>
      <c r="I698" t="s">
        <v>15</v>
      </c>
      <c r="J698">
        <v>69.3</v>
      </c>
      <c r="K698">
        <v>72.599999999999994</v>
      </c>
      <c r="L698" t="s">
        <v>22</v>
      </c>
    </row>
    <row r="699" spans="1:12" x14ac:dyDescent="0.35">
      <c r="A699">
        <v>698</v>
      </c>
      <c r="B699" t="s">
        <v>17</v>
      </c>
      <c r="C699">
        <v>6.6</v>
      </c>
      <c r="D699">
        <v>62</v>
      </c>
      <c r="E699">
        <v>5.5</v>
      </c>
      <c r="F699" t="s">
        <v>13</v>
      </c>
      <c r="G699" t="s">
        <v>15</v>
      </c>
      <c r="H699" t="s">
        <v>14</v>
      </c>
      <c r="I699" t="s">
        <v>15</v>
      </c>
      <c r="J699">
        <v>69.400000000000006</v>
      </c>
      <c r="K699">
        <v>97.9</v>
      </c>
      <c r="L699" t="s">
        <v>16</v>
      </c>
    </row>
    <row r="700" spans="1:12" x14ac:dyDescent="0.35">
      <c r="A700">
        <v>699</v>
      </c>
      <c r="B700" t="s">
        <v>17</v>
      </c>
      <c r="C700">
        <v>4.0999999999999996</v>
      </c>
      <c r="D700">
        <v>79.5</v>
      </c>
      <c r="E700">
        <v>6.6</v>
      </c>
      <c r="F700" t="s">
        <v>23</v>
      </c>
      <c r="G700" t="s">
        <v>14</v>
      </c>
      <c r="H700" t="s">
        <v>14</v>
      </c>
      <c r="I700" t="s">
        <v>15</v>
      </c>
      <c r="J700">
        <v>71.900000000000006</v>
      </c>
      <c r="K700">
        <v>85.5</v>
      </c>
      <c r="L700" t="s">
        <v>20</v>
      </c>
    </row>
    <row r="701" spans="1:12" x14ac:dyDescent="0.35">
      <c r="A701">
        <v>700</v>
      </c>
      <c r="B701" t="s">
        <v>12</v>
      </c>
      <c r="C701">
        <v>4.0999999999999996</v>
      </c>
      <c r="D701">
        <v>72.8</v>
      </c>
      <c r="E701">
        <v>7.2</v>
      </c>
      <c r="F701" t="s">
        <v>23</v>
      </c>
      <c r="G701" t="s">
        <v>14</v>
      </c>
      <c r="H701" t="s">
        <v>14</v>
      </c>
      <c r="I701" t="s">
        <v>15</v>
      </c>
      <c r="J701">
        <v>77.900000000000006</v>
      </c>
      <c r="K701">
        <v>92.1</v>
      </c>
      <c r="L701" t="s">
        <v>16</v>
      </c>
    </row>
    <row r="702" spans="1:12" x14ac:dyDescent="0.35">
      <c r="A702">
        <v>701</v>
      </c>
      <c r="B702" t="s">
        <v>17</v>
      </c>
      <c r="C702">
        <v>5</v>
      </c>
      <c r="D702">
        <v>79.900000000000006</v>
      </c>
      <c r="E702">
        <v>6.7</v>
      </c>
      <c r="F702" t="s">
        <v>19</v>
      </c>
      <c r="G702" t="s">
        <v>14</v>
      </c>
      <c r="H702" t="s">
        <v>15</v>
      </c>
      <c r="I702" t="s">
        <v>15</v>
      </c>
      <c r="J702">
        <v>57.5</v>
      </c>
      <c r="K702">
        <v>84.5</v>
      </c>
      <c r="L702" t="s">
        <v>20</v>
      </c>
    </row>
    <row r="703" spans="1:12" x14ac:dyDescent="0.35">
      <c r="A703">
        <v>702</v>
      </c>
      <c r="B703" t="s">
        <v>17</v>
      </c>
      <c r="C703">
        <v>3.9</v>
      </c>
      <c r="D703">
        <v>83.5</v>
      </c>
      <c r="E703">
        <v>8.3000000000000007</v>
      </c>
      <c r="F703" t="s">
        <v>13</v>
      </c>
      <c r="G703" t="s">
        <v>14</v>
      </c>
      <c r="H703" t="s">
        <v>14</v>
      </c>
      <c r="I703" t="s">
        <v>14</v>
      </c>
      <c r="J703">
        <v>90.3</v>
      </c>
      <c r="K703">
        <v>82.8</v>
      </c>
      <c r="L703" t="s">
        <v>20</v>
      </c>
    </row>
    <row r="704" spans="1:12" x14ac:dyDescent="0.35">
      <c r="A704">
        <v>703</v>
      </c>
      <c r="B704" t="s">
        <v>12</v>
      </c>
      <c r="C704">
        <v>3.1</v>
      </c>
      <c r="D704">
        <v>80.5</v>
      </c>
      <c r="E704">
        <v>4.5</v>
      </c>
      <c r="F704" t="s">
        <v>18</v>
      </c>
      <c r="G704" t="s">
        <v>14</v>
      </c>
      <c r="H704" t="s">
        <v>14</v>
      </c>
      <c r="I704" t="s">
        <v>14</v>
      </c>
      <c r="J704">
        <v>72.900000000000006</v>
      </c>
      <c r="K704">
        <v>65.400000000000006</v>
      </c>
      <c r="L704" t="s">
        <v>21</v>
      </c>
    </row>
    <row r="705" spans="1:12" x14ac:dyDescent="0.35">
      <c r="A705">
        <v>704</v>
      </c>
      <c r="B705" t="s">
        <v>17</v>
      </c>
      <c r="C705">
        <v>3.2</v>
      </c>
      <c r="D705">
        <v>99.5</v>
      </c>
      <c r="E705">
        <v>7</v>
      </c>
      <c r="F705" t="s">
        <v>13</v>
      </c>
      <c r="G705" t="s">
        <v>14</v>
      </c>
      <c r="H705" t="s">
        <v>14</v>
      </c>
      <c r="I705" t="s">
        <v>15</v>
      </c>
      <c r="J705">
        <v>78.7</v>
      </c>
      <c r="K705">
        <v>89.6</v>
      </c>
      <c r="L705" t="s">
        <v>20</v>
      </c>
    </row>
    <row r="706" spans="1:12" x14ac:dyDescent="0.35">
      <c r="A706">
        <v>705</v>
      </c>
      <c r="B706" t="s">
        <v>12</v>
      </c>
      <c r="C706">
        <v>3.4</v>
      </c>
      <c r="D706">
        <v>88.3</v>
      </c>
      <c r="E706">
        <v>4.5999999999999996</v>
      </c>
      <c r="F706" t="s">
        <v>18</v>
      </c>
      <c r="G706" t="s">
        <v>14</v>
      </c>
      <c r="H706" t="s">
        <v>15</v>
      </c>
      <c r="I706" t="s">
        <v>14</v>
      </c>
      <c r="J706">
        <v>62.5</v>
      </c>
      <c r="K706">
        <v>83.1</v>
      </c>
      <c r="L706" t="s">
        <v>20</v>
      </c>
    </row>
    <row r="707" spans="1:12" x14ac:dyDescent="0.35">
      <c r="A707">
        <v>706</v>
      </c>
      <c r="B707" t="s">
        <v>12</v>
      </c>
      <c r="C707">
        <v>3.4</v>
      </c>
      <c r="D707">
        <v>88</v>
      </c>
      <c r="E707">
        <v>7.7</v>
      </c>
      <c r="F707" t="s">
        <v>24</v>
      </c>
      <c r="G707" t="s">
        <v>14</v>
      </c>
      <c r="H707" t="s">
        <v>15</v>
      </c>
      <c r="I707" t="s">
        <v>14</v>
      </c>
      <c r="J707">
        <v>85.4</v>
      </c>
      <c r="K707">
        <v>94.2</v>
      </c>
      <c r="L707" t="s">
        <v>16</v>
      </c>
    </row>
    <row r="708" spans="1:12" x14ac:dyDescent="0.35">
      <c r="A708">
        <v>707</v>
      </c>
      <c r="B708" t="s">
        <v>17</v>
      </c>
      <c r="C708">
        <v>4.5999999999999996</v>
      </c>
      <c r="D708">
        <v>91.2</v>
      </c>
      <c r="E708">
        <v>6.7</v>
      </c>
      <c r="F708" t="s">
        <v>18</v>
      </c>
      <c r="G708" t="s">
        <v>14</v>
      </c>
      <c r="H708" t="s">
        <v>15</v>
      </c>
      <c r="I708" t="s">
        <v>14</v>
      </c>
      <c r="J708">
        <v>66.900000000000006</v>
      </c>
      <c r="K708">
        <v>92.9</v>
      </c>
      <c r="L708" t="s">
        <v>16</v>
      </c>
    </row>
    <row r="709" spans="1:12" x14ac:dyDescent="0.35">
      <c r="A709">
        <v>708</v>
      </c>
      <c r="B709" t="s">
        <v>17</v>
      </c>
      <c r="C709">
        <v>3.6</v>
      </c>
      <c r="D709">
        <v>73.599999999999994</v>
      </c>
      <c r="E709">
        <v>7.3</v>
      </c>
      <c r="F709" t="s">
        <v>18</v>
      </c>
      <c r="G709" t="s">
        <v>14</v>
      </c>
      <c r="H709" t="s">
        <v>15</v>
      </c>
      <c r="I709" t="s">
        <v>15</v>
      </c>
      <c r="J709">
        <v>73.3</v>
      </c>
      <c r="K709">
        <v>77.099999999999994</v>
      </c>
      <c r="L709" t="s">
        <v>22</v>
      </c>
    </row>
    <row r="710" spans="1:12" x14ac:dyDescent="0.35">
      <c r="A710">
        <v>709</v>
      </c>
      <c r="B710" t="s">
        <v>17</v>
      </c>
      <c r="C710">
        <v>4.5999999999999996</v>
      </c>
      <c r="D710">
        <v>95.4</v>
      </c>
      <c r="E710">
        <v>5.8</v>
      </c>
      <c r="F710" t="s">
        <v>23</v>
      </c>
      <c r="G710" t="s">
        <v>14</v>
      </c>
      <c r="H710" t="s">
        <v>14</v>
      </c>
      <c r="I710" t="s">
        <v>15</v>
      </c>
      <c r="J710">
        <v>58.8</v>
      </c>
      <c r="K710">
        <v>98.3</v>
      </c>
      <c r="L710" t="s">
        <v>16</v>
      </c>
    </row>
    <row r="711" spans="1:12" x14ac:dyDescent="0.35">
      <c r="A711">
        <v>710</v>
      </c>
      <c r="B711" t="s">
        <v>17</v>
      </c>
      <c r="C711">
        <v>3.4</v>
      </c>
      <c r="D711">
        <v>84.2</v>
      </c>
      <c r="E711">
        <v>8.3000000000000007</v>
      </c>
      <c r="F711" t="s">
        <v>13</v>
      </c>
      <c r="G711" t="s">
        <v>14</v>
      </c>
      <c r="H711" t="s">
        <v>15</v>
      </c>
      <c r="I711" t="s">
        <v>14</v>
      </c>
      <c r="J711">
        <v>58</v>
      </c>
      <c r="K711">
        <v>72.099999999999994</v>
      </c>
      <c r="L711" t="s">
        <v>22</v>
      </c>
    </row>
    <row r="712" spans="1:12" x14ac:dyDescent="0.35">
      <c r="A712">
        <v>711</v>
      </c>
      <c r="B712" t="s">
        <v>12</v>
      </c>
      <c r="C712">
        <v>3.6</v>
      </c>
      <c r="D712">
        <v>91.7</v>
      </c>
      <c r="E712">
        <v>8.1</v>
      </c>
      <c r="F712" t="s">
        <v>13</v>
      </c>
      <c r="G712" t="s">
        <v>14</v>
      </c>
      <c r="H712" t="s">
        <v>14</v>
      </c>
      <c r="I712" t="s">
        <v>15</v>
      </c>
      <c r="J712">
        <v>78.3</v>
      </c>
      <c r="K712">
        <v>94.6</v>
      </c>
      <c r="L712" t="s">
        <v>16</v>
      </c>
    </row>
    <row r="713" spans="1:12" x14ac:dyDescent="0.35">
      <c r="A713">
        <v>712</v>
      </c>
      <c r="B713" t="s">
        <v>17</v>
      </c>
      <c r="C713">
        <v>0.5</v>
      </c>
      <c r="D713">
        <v>74.3</v>
      </c>
      <c r="E713">
        <v>7.5</v>
      </c>
      <c r="F713" t="s">
        <v>13</v>
      </c>
      <c r="G713" t="s">
        <v>14</v>
      </c>
      <c r="H713" t="s">
        <v>14</v>
      </c>
      <c r="I713" t="s">
        <v>15</v>
      </c>
      <c r="J713">
        <v>64.7</v>
      </c>
      <c r="K713">
        <v>67.099999999999994</v>
      </c>
      <c r="L713" t="s">
        <v>21</v>
      </c>
    </row>
    <row r="714" spans="1:12" x14ac:dyDescent="0.35">
      <c r="A714">
        <v>713</v>
      </c>
      <c r="B714" t="s">
        <v>12</v>
      </c>
      <c r="C714">
        <v>4.9000000000000004</v>
      </c>
      <c r="D714">
        <v>69.5</v>
      </c>
      <c r="E714">
        <v>6.6</v>
      </c>
      <c r="F714" t="s">
        <v>24</v>
      </c>
      <c r="G714" t="s">
        <v>15</v>
      </c>
      <c r="H714" t="s">
        <v>15</v>
      </c>
      <c r="I714" t="s">
        <v>14</v>
      </c>
      <c r="J714">
        <v>59.8</v>
      </c>
      <c r="K714">
        <v>72.2</v>
      </c>
      <c r="L714" t="s">
        <v>22</v>
      </c>
    </row>
    <row r="715" spans="1:12" x14ac:dyDescent="0.35">
      <c r="A715">
        <v>714</v>
      </c>
      <c r="B715" t="s">
        <v>17</v>
      </c>
      <c r="C715">
        <v>4</v>
      </c>
      <c r="D715">
        <v>93.2</v>
      </c>
      <c r="E715">
        <v>7.5</v>
      </c>
      <c r="F715" t="s">
        <v>18</v>
      </c>
      <c r="G715" t="s">
        <v>14</v>
      </c>
      <c r="H715" t="s">
        <v>15</v>
      </c>
      <c r="I715" t="s">
        <v>15</v>
      </c>
      <c r="J715">
        <v>62.3</v>
      </c>
      <c r="K715">
        <v>95.6</v>
      </c>
      <c r="L715" t="s">
        <v>16</v>
      </c>
    </row>
    <row r="716" spans="1:12" x14ac:dyDescent="0.35">
      <c r="A716">
        <v>715</v>
      </c>
      <c r="B716" t="s">
        <v>17</v>
      </c>
      <c r="C716">
        <v>5</v>
      </c>
      <c r="D716">
        <v>88.8</v>
      </c>
      <c r="E716">
        <v>6</v>
      </c>
      <c r="F716" t="s">
        <v>24</v>
      </c>
      <c r="G716" t="s">
        <v>14</v>
      </c>
      <c r="H716" t="s">
        <v>14</v>
      </c>
      <c r="I716" t="s">
        <v>15</v>
      </c>
      <c r="J716">
        <v>78.400000000000006</v>
      </c>
      <c r="K716">
        <v>91.9</v>
      </c>
      <c r="L716" t="s">
        <v>16</v>
      </c>
    </row>
    <row r="717" spans="1:12" x14ac:dyDescent="0.35">
      <c r="A717">
        <v>716</v>
      </c>
      <c r="B717" t="s">
        <v>17</v>
      </c>
      <c r="C717">
        <v>0.5</v>
      </c>
      <c r="D717">
        <v>76</v>
      </c>
      <c r="E717">
        <v>7.8</v>
      </c>
      <c r="F717" t="s">
        <v>18</v>
      </c>
      <c r="G717" t="s">
        <v>15</v>
      </c>
      <c r="H717" t="s">
        <v>14</v>
      </c>
      <c r="I717" t="s">
        <v>15</v>
      </c>
      <c r="J717">
        <v>62.5</v>
      </c>
      <c r="K717">
        <v>54.1</v>
      </c>
      <c r="L717" t="s">
        <v>25</v>
      </c>
    </row>
    <row r="718" spans="1:12" x14ac:dyDescent="0.35">
      <c r="A718">
        <v>717</v>
      </c>
      <c r="B718" t="s">
        <v>12</v>
      </c>
      <c r="C718">
        <v>6.6</v>
      </c>
      <c r="D718">
        <v>76.3</v>
      </c>
      <c r="E718">
        <v>8.8000000000000007</v>
      </c>
      <c r="F718" t="s">
        <v>23</v>
      </c>
      <c r="G718" t="s">
        <v>14</v>
      </c>
      <c r="H718" t="s">
        <v>14</v>
      </c>
      <c r="I718" t="s">
        <v>15</v>
      </c>
      <c r="J718">
        <v>68.599999999999994</v>
      </c>
      <c r="K718">
        <v>98.5</v>
      </c>
      <c r="L718" t="s">
        <v>16</v>
      </c>
    </row>
    <row r="719" spans="1:12" x14ac:dyDescent="0.35">
      <c r="A719">
        <v>718</v>
      </c>
      <c r="B719" t="s">
        <v>17</v>
      </c>
      <c r="C719">
        <v>3.3</v>
      </c>
      <c r="D719">
        <v>96.3</v>
      </c>
      <c r="E719">
        <v>8.1</v>
      </c>
      <c r="F719" t="s">
        <v>23</v>
      </c>
      <c r="G719" t="s">
        <v>14</v>
      </c>
      <c r="H719" t="s">
        <v>14</v>
      </c>
      <c r="I719" t="s">
        <v>14</v>
      </c>
      <c r="J719">
        <v>70.2</v>
      </c>
      <c r="K719">
        <v>85</v>
      </c>
      <c r="L719" t="s">
        <v>20</v>
      </c>
    </row>
    <row r="720" spans="1:12" x14ac:dyDescent="0.35">
      <c r="A720">
        <v>719</v>
      </c>
      <c r="B720" t="s">
        <v>17</v>
      </c>
      <c r="C720">
        <v>5.2</v>
      </c>
      <c r="D720">
        <v>73.099999999999994</v>
      </c>
      <c r="E720">
        <v>5.9</v>
      </c>
      <c r="F720" t="s">
        <v>18</v>
      </c>
      <c r="G720" t="s">
        <v>14</v>
      </c>
      <c r="H720" t="s">
        <v>14</v>
      </c>
      <c r="I720" t="s">
        <v>15</v>
      </c>
      <c r="J720">
        <v>47</v>
      </c>
      <c r="K720">
        <v>99.1</v>
      </c>
      <c r="L720" t="s">
        <v>16</v>
      </c>
    </row>
    <row r="721" spans="1:12" x14ac:dyDescent="0.35">
      <c r="A721">
        <v>720</v>
      </c>
      <c r="B721" t="s">
        <v>17</v>
      </c>
      <c r="C721">
        <v>1.9</v>
      </c>
      <c r="D721">
        <v>100</v>
      </c>
      <c r="E721">
        <v>7.2</v>
      </c>
      <c r="F721" t="s">
        <v>13</v>
      </c>
      <c r="G721" t="s">
        <v>14</v>
      </c>
      <c r="H721" t="s">
        <v>14</v>
      </c>
      <c r="I721" t="s">
        <v>14</v>
      </c>
      <c r="J721">
        <v>52.3</v>
      </c>
      <c r="K721">
        <v>78.2</v>
      </c>
      <c r="L721" t="s">
        <v>22</v>
      </c>
    </row>
    <row r="722" spans="1:12" x14ac:dyDescent="0.35">
      <c r="A722">
        <v>721</v>
      </c>
      <c r="B722" t="s">
        <v>17</v>
      </c>
      <c r="C722">
        <v>4.4000000000000004</v>
      </c>
      <c r="D722">
        <v>76</v>
      </c>
      <c r="E722">
        <v>5.2</v>
      </c>
      <c r="F722" t="s">
        <v>18</v>
      </c>
      <c r="G722" t="s">
        <v>14</v>
      </c>
      <c r="H722" t="s">
        <v>14</v>
      </c>
      <c r="I722" t="s">
        <v>15</v>
      </c>
      <c r="J722">
        <v>74</v>
      </c>
      <c r="K722">
        <v>83.8</v>
      </c>
      <c r="L722" t="s">
        <v>20</v>
      </c>
    </row>
    <row r="723" spans="1:12" x14ac:dyDescent="0.35">
      <c r="A723">
        <v>722</v>
      </c>
      <c r="B723" t="s">
        <v>12</v>
      </c>
      <c r="C723">
        <v>1.9</v>
      </c>
      <c r="D723">
        <v>91.4</v>
      </c>
      <c r="E723">
        <v>7.5</v>
      </c>
      <c r="F723" t="s">
        <v>23</v>
      </c>
      <c r="G723" t="s">
        <v>14</v>
      </c>
      <c r="H723" t="s">
        <v>15</v>
      </c>
      <c r="I723" t="s">
        <v>15</v>
      </c>
      <c r="J723">
        <v>61.2</v>
      </c>
      <c r="K723">
        <v>70.7</v>
      </c>
      <c r="L723" t="s">
        <v>22</v>
      </c>
    </row>
    <row r="724" spans="1:12" x14ac:dyDescent="0.35">
      <c r="A724">
        <v>723</v>
      </c>
      <c r="B724" t="s">
        <v>17</v>
      </c>
      <c r="C724">
        <v>2.6</v>
      </c>
      <c r="D724">
        <v>81.7</v>
      </c>
      <c r="E724">
        <v>7.3</v>
      </c>
      <c r="F724" t="s">
        <v>13</v>
      </c>
      <c r="G724" t="s">
        <v>15</v>
      </c>
      <c r="H724" t="s">
        <v>14</v>
      </c>
      <c r="I724" t="s">
        <v>15</v>
      </c>
      <c r="J724">
        <v>82.7</v>
      </c>
      <c r="K724">
        <v>69.900000000000006</v>
      </c>
      <c r="L724" t="s">
        <v>21</v>
      </c>
    </row>
    <row r="725" spans="1:12" x14ac:dyDescent="0.35">
      <c r="A725">
        <v>724</v>
      </c>
      <c r="B725" t="s">
        <v>12</v>
      </c>
      <c r="C725">
        <v>6.4</v>
      </c>
      <c r="D725">
        <v>91</v>
      </c>
      <c r="E725">
        <v>4.5999999999999996</v>
      </c>
      <c r="F725" t="s">
        <v>13</v>
      </c>
      <c r="G725" t="s">
        <v>14</v>
      </c>
      <c r="H725" t="s">
        <v>14</v>
      </c>
      <c r="I725" t="s">
        <v>14</v>
      </c>
      <c r="J725">
        <v>81.599999999999994</v>
      </c>
      <c r="K725">
        <v>93.7</v>
      </c>
      <c r="L725" t="s">
        <v>16</v>
      </c>
    </row>
    <row r="726" spans="1:12" x14ac:dyDescent="0.35">
      <c r="A726">
        <v>725</v>
      </c>
      <c r="B726" t="s">
        <v>12</v>
      </c>
      <c r="C726">
        <v>3.2</v>
      </c>
      <c r="D726">
        <v>79.599999999999994</v>
      </c>
      <c r="E726">
        <v>5.4</v>
      </c>
      <c r="F726" t="s">
        <v>18</v>
      </c>
      <c r="G726" t="s">
        <v>14</v>
      </c>
      <c r="H726" t="s">
        <v>14</v>
      </c>
      <c r="I726" t="s">
        <v>15</v>
      </c>
      <c r="J726">
        <v>78.599999999999994</v>
      </c>
      <c r="K726">
        <v>84.9</v>
      </c>
      <c r="L726" t="s">
        <v>20</v>
      </c>
    </row>
    <row r="727" spans="1:12" x14ac:dyDescent="0.35">
      <c r="A727">
        <v>726</v>
      </c>
      <c r="B727" t="s">
        <v>12</v>
      </c>
      <c r="C727">
        <v>3.8</v>
      </c>
      <c r="D727">
        <v>83.4</v>
      </c>
      <c r="E727">
        <v>6.5</v>
      </c>
      <c r="F727" t="s">
        <v>18</v>
      </c>
      <c r="G727" t="s">
        <v>14</v>
      </c>
      <c r="H727" t="s">
        <v>15</v>
      </c>
      <c r="I727" t="s">
        <v>15</v>
      </c>
      <c r="J727">
        <v>91.8</v>
      </c>
      <c r="K727">
        <v>100</v>
      </c>
      <c r="L727" t="s">
        <v>16</v>
      </c>
    </row>
    <row r="728" spans="1:12" x14ac:dyDescent="0.35">
      <c r="A728">
        <v>727</v>
      </c>
      <c r="B728" t="s">
        <v>12</v>
      </c>
      <c r="C728">
        <v>4.8</v>
      </c>
      <c r="D728">
        <v>85.4</v>
      </c>
      <c r="E728">
        <v>6.4</v>
      </c>
      <c r="F728" t="s">
        <v>18</v>
      </c>
      <c r="G728" t="s">
        <v>14</v>
      </c>
      <c r="H728" t="s">
        <v>14</v>
      </c>
      <c r="I728" t="s">
        <v>15</v>
      </c>
      <c r="J728">
        <v>69</v>
      </c>
      <c r="K728">
        <v>97.5</v>
      </c>
      <c r="L728" t="s">
        <v>16</v>
      </c>
    </row>
    <row r="729" spans="1:12" x14ac:dyDescent="0.35">
      <c r="A729">
        <v>728</v>
      </c>
      <c r="B729" t="s">
        <v>12</v>
      </c>
      <c r="C729">
        <v>4.2</v>
      </c>
      <c r="D729">
        <v>75</v>
      </c>
      <c r="E729">
        <v>5.3</v>
      </c>
      <c r="F729" t="s">
        <v>18</v>
      </c>
      <c r="G729" t="s">
        <v>14</v>
      </c>
      <c r="H729" t="s">
        <v>14</v>
      </c>
      <c r="I729" t="s">
        <v>15</v>
      </c>
      <c r="J729">
        <v>77.8</v>
      </c>
      <c r="K729">
        <v>88</v>
      </c>
      <c r="L729" t="s">
        <v>20</v>
      </c>
    </row>
    <row r="730" spans="1:12" x14ac:dyDescent="0.35">
      <c r="A730">
        <v>729</v>
      </c>
      <c r="B730" t="s">
        <v>12</v>
      </c>
      <c r="C730">
        <v>3.7</v>
      </c>
      <c r="D730">
        <v>92.4</v>
      </c>
      <c r="E730">
        <v>7.3</v>
      </c>
      <c r="F730" t="s">
        <v>13</v>
      </c>
      <c r="G730" t="s">
        <v>14</v>
      </c>
      <c r="H730" t="s">
        <v>14</v>
      </c>
      <c r="I730" t="s">
        <v>15</v>
      </c>
      <c r="J730">
        <v>63</v>
      </c>
      <c r="K730">
        <v>85</v>
      </c>
      <c r="L730" t="s">
        <v>20</v>
      </c>
    </row>
    <row r="731" spans="1:12" x14ac:dyDescent="0.35">
      <c r="A731">
        <v>730</v>
      </c>
      <c r="B731" t="s">
        <v>17</v>
      </c>
      <c r="C731">
        <v>4</v>
      </c>
      <c r="D731">
        <v>79.900000000000006</v>
      </c>
      <c r="E731">
        <v>7.1</v>
      </c>
      <c r="F731" t="s">
        <v>24</v>
      </c>
      <c r="G731" t="s">
        <v>14</v>
      </c>
      <c r="H731" t="s">
        <v>15</v>
      </c>
      <c r="I731" t="s">
        <v>15</v>
      </c>
      <c r="J731">
        <v>99.4</v>
      </c>
      <c r="K731">
        <v>98.9</v>
      </c>
      <c r="L731" t="s">
        <v>16</v>
      </c>
    </row>
    <row r="732" spans="1:12" x14ac:dyDescent="0.35">
      <c r="A732">
        <v>731</v>
      </c>
      <c r="B732" t="s">
        <v>12</v>
      </c>
      <c r="C732">
        <v>7.1</v>
      </c>
      <c r="D732">
        <v>82.7</v>
      </c>
      <c r="E732">
        <v>6.6</v>
      </c>
      <c r="F732" t="s">
        <v>23</v>
      </c>
      <c r="G732" t="s">
        <v>14</v>
      </c>
      <c r="H732" t="s">
        <v>15</v>
      </c>
      <c r="I732" t="s">
        <v>15</v>
      </c>
      <c r="J732">
        <v>93.8</v>
      </c>
      <c r="K732">
        <v>100</v>
      </c>
      <c r="L732" t="s">
        <v>16</v>
      </c>
    </row>
    <row r="733" spans="1:12" x14ac:dyDescent="0.35">
      <c r="A733">
        <v>732</v>
      </c>
      <c r="B733" t="s">
        <v>12</v>
      </c>
      <c r="C733">
        <v>3.4</v>
      </c>
      <c r="D733">
        <v>75.099999999999994</v>
      </c>
      <c r="E733">
        <v>5.9</v>
      </c>
      <c r="F733" t="s">
        <v>13</v>
      </c>
      <c r="G733" t="s">
        <v>15</v>
      </c>
      <c r="H733" t="s">
        <v>15</v>
      </c>
      <c r="I733" t="s">
        <v>15</v>
      </c>
      <c r="J733">
        <v>70.099999999999994</v>
      </c>
      <c r="K733">
        <v>85</v>
      </c>
      <c r="L733" t="s">
        <v>20</v>
      </c>
    </row>
    <row r="734" spans="1:12" x14ac:dyDescent="0.35">
      <c r="A734">
        <v>733</v>
      </c>
      <c r="B734" t="s">
        <v>12</v>
      </c>
      <c r="C734">
        <v>3.8</v>
      </c>
      <c r="D734">
        <v>59.4</v>
      </c>
      <c r="E734">
        <v>8.1</v>
      </c>
      <c r="F734" t="s">
        <v>19</v>
      </c>
      <c r="G734" t="s">
        <v>15</v>
      </c>
      <c r="H734" t="s">
        <v>15</v>
      </c>
      <c r="I734" t="s">
        <v>15</v>
      </c>
      <c r="J734">
        <v>74.599999999999994</v>
      </c>
      <c r="K734">
        <v>74.3</v>
      </c>
      <c r="L734" t="s">
        <v>22</v>
      </c>
    </row>
    <row r="735" spans="1:12" x14ac:dyDescent="0.35">
      <c r="A735">
        <v>734</v>
      </c>
      <c r="B735" t="s">
        <v>17</v>
      </c>
      <c r="C735">
        <v>5.0999999999999996</v>
      </c>
      <c r="D735">
        <v>83.1</v>
      </c>
      <c r="E735">
        <v>8.8000000000000007</v>
      </c>
      <c r="F735" t="s">
        <v>23</v>
      </c>
      <c r="G735" t="s">
        <v>14</v>
      </c>
      <c r="H735" t="s">
        <v>15</v>
      </c>
      <c r="I735" t="s">
        <v>15</v>
      </c>
      <c r="J735">
        <v>86.3</v>
      </c>
      <c r="K735">
        <v>99.6</v>
      </c>
      <c r="L735" t="s">
        <v>16</v>
      </c>
    </row>
    <row r="736" spans="1:12" x14ac:dyDescent="0.35">
      <c r="A736">
        <v>735</v>
      </c>
      <c r="B736" t="s">
        <v>17</v>
      </c>
      <c r="C736">
        <v>5.2</v>
      </c>
      <c r="D736">
        <v>100</v>
      </c>
      <c r="E736">
        <v>6.2</v>
      </c>
      <c r="F736" t="s">
        <v>19</v>
      </c>
      <c r="G736" t="s">
        <v>14</v>
      </c>
      <c r="H736" t="s">
        <v>15</v>
      </c>
      <c r="I736" t="s">
        <v>14</v>
      </c>
      <c r="J736">
        <v>68.2</v>
      </c>
      <c r="K736">
        <v>79.8</v>
      </c>
      <c r="L736" t="s">
        <v>22</v>
      </c>
    </row>
    <row r="737" spans="1:12" x14ac:dyDescent="0.35">
      <c r="A737">
        <v>736</v>
      </c>
      <c r="B737" t="s">
        <v>12</v>
      </c>
      <c r="C737">
        <v>5.3</v>
      </c>
      <c r="D737">
        <v>92.8</v>
      </c>
      <c r="E737">
        <v>6.1</v>
      </c>
      <c r="F737" t="s">
        <v>13</v>
      </c>
      <c r="G737" t="s">
        <v>14</v>
      </c>
      <c r="H737" t="s">
        <v>14</v>
      </c>
      <c r="I737" t="s">
        <v>15</v>
      </c>
      <c r="J737">
        <v>62.1</v>
      </c>
      <c r="K737">
        <v>91.3</v>
      </c>
      <c r="L737" t="s">
        <v>16</v>
      </c>
    </row>
    <row r="738" spans="1:12" x14ac:dyDescent="0.35">
      <c r="A738">
        <v>737</v>
      </c>
      <c r="B738" t="s">
        <v>17</v>
      </c>
      <c r="C738">
        <v>4.5</v>
      </c>
      <c r="D738">
        <v>84.8</v>
      </c>
      <c r="E738">
        <v>7.4</v>
      </c>
      <c r="F738" t="s">
        <v>18</v>
      </c>
      <c r="G738" t="s">
        <v>15</v>
      </c>
      <c r="H738" t="s">
        <v>14</v>
      </c>
      <c r="I738" t="s">
        <v>15</v>
      </c>
      <c r="J738">
        <v>80.5</v>
      </c>
      <c r="K738">
        <v>95</v>
      </c>
      <c r="L738" t="s">
        <v>16</v>
      </c>
    </row>
    <row r="739" spans="1:12" x14ac:dyDescent="0.35">
      <c r="A739">
        <v>738</v>
      </c>
      <c r="B739" t="s">
        <v>12</v>
      </c>
      <c r="C739">
        <v>1.8</v>
      </c>
      <c r="D739">
        <v>82.4</v>
      </c>
      <c r="E739">
        <v>6.4</v>
      </c>
      <c r="F739" t="s">
        <v>18</v>
      </c>
      <c r="G739" t="s">
        <v>14</v>
      </c>
      <c r="H739" t="s">
        <v>15</v>
      </c>
      <c r="I739" t="s">
        <v>14</v>
      </c>
      <c r="J739">
        <v>70.900000000000006</v>
      </c>
      <c r="K739">
        <v>66.599999999999994</v>
      </c>
      <c r="L739" t="s">
        <v>21</v>
      </c>
    </row>
    <row r="740" spans="1:12" x14ac:dyDescent="0.35">
      <c r="A740">
        <v>739</v>
      </c>
      <c r="B740" t="s">
        <v>12</v>
      </c>
      <c r="C740">
        <v>6</v>
      </c>
      <c r="D740">
        <v>85.2</v>
      </c>
      <c r="E740">
        <v>6.6</v>
      </c>
      <c r="F740" t="s">
        <v>23</v>
      </c>
      <c r="G740" t="s">
        <v>14</v>
      </c>
      <c r="H740" t="s">
        <v>14</v>
      </c>
      <c r="I740" t="s">
        <v>15</v>
      </c>
      <c r="J740">
        <v>72.2</v>
      </c>
      <c r="K740">
        <v>93.1</v>
      </c>
      <c r="L740" t="s">
        <v>16</v>
      </c>
    </row>
    <row r="741" spans="1:12" x14ac:dyDescent="0.35">
      <c r="A741">
        <v>740</v>
      </c>
      <c r="B741" t="s">
        <v>17</v>
      </c>
      <c r="C741">
        <v>1.8</v>
      </c>
      <c r="D741">
        <v>90.5</v>
      </c>
      <c r="E741">
        <v>7.7</v>
      </c>
      <c r="F741" t="s">
        <v>18</v>
      </c>
      <c r="G741" t="s">
        <v>14</v>
      </c>
      <c r="H741" t="s">
        <v>14</v>
      </c>
      <c r="I741" t="s">
        <v>15</v>
      </c>
      <c r="J741">
        <v>60</v>
      </c>
      <c r="K741">
        <v>81.8</v>
      </c>
      <c r="L741" t="s">
        <v>20</v>
      </c>
    </row>
    <row r="742" spans="1:12" x14ac:dyDescent="0.35">
      <c r="A742">
        <v>741</v>
      </c>
      <c r="B742" t="s">
        <v>12</v>
      </c>
      <c r="C742">
        <v>4</v>
      </c>
      <c r="D742">
        <v>73.2</v>
      </c>
      <c r="E742">
        <v>4.5</v>
      </c>
      <c r="F742" t="s">
        <v>18</v>
      </c>
      <c r="G742" t="s">
        <v>14</v>
      </c>
      <c r="H742" t="s">
        <v>15</v>
      </c>
      <c r="I742" t="s">
        <v>15</v>
      </c>
      <c r="J742">
        <v>49.4</v>
      </c>
      <c r="K742">
        <v>62.9</v>
      </c>
      <c r="L742" t="s">
        <v>21</v>
      </c>
    </row>
    <row r="743" spans="1:12" x14ac:dyDescent="0.35">
      <c r="A743">
        <v>742</v>
      </c>
      <c r="B743" t="s">
        <v>17</v>
      </c>
      <c r="C743">
        <v>2.4</v>
      </c>
      <c r="D743">
        <v>96.1</v>
      </c>
      <c r="E743">
        <v>8.4</v>
      </c>
      <c r="F743" t="s">
        <v>13</v>
      </c>
      <c r="G743" t="s">
        <v>14</v>
      </c>
      <c r="H743" t="s">
        <v>14</v>
      </c>
      <c r="I743" t="s">
        <v>15</v>
      </c>
      <c r="J743">
        <v>72.8</v>
      </c>
      <c r="K743">
        <v>94</v>
      </c>
      <c r="L743" t="s">
        <v>16</v>
      </c>
    </row>
    <row r="744" spans="1:12" x14ac:dyDescent="0.35">
      <c r="A744">
        <v>743</v>
      </c>
      <c r="B744" t="s">
        <v>17</v>
      </c>
      <c r="C744">
        <v>3.4</v>
      </c>
      <c r="D744">
        <v>92.2</v>
      </c>
      <c r="E744">
        <v>6.9</v>
      </c>
      <c r="F744" t="s">
        <v>13</v>
      </c>
      <c r="G744" t="s">
        <v>14</v>
      </c>
      <c r="H744" t="s">
        <v>15</v>
      </c>
      <c r="I744" t="s">
        <v>14</v>
      </c>
      <c r="J744">
        <v>80.900000000000006</v>
      </c>
      <c r="K744">
        <v>85</v>
      </c>
      <c r="L744" t="s">
        <v>20</v>
      </c>
    </row>
    <row r="745" spans="1:12" x14ac:dyDescent="0.35">
      <c r="A745">
        <v>744</v>
      </c>
      <c r="B745" t="s">
        <v>12</v>
      </c>
      <c r="C745">
        <v>4</v>
      </c>
      <c r="D745">
        <v>92.2</v>
      </c>
      <c r="E745">
        <v>6.3</v>
      </c>
      <c r="F745" t="s">
        <v>13</v>
      </c>
      <c r="G745" t="s">
        <v>14</v>
      </c>
      <c r="H745" t="s">
        <v>15</v>
      </c>
      <c r="I745" t="s">
        <v>14</v>
      </c>
      <c r="J745">
        <v>67.3</v>
      </c>
      <c r="K745">
        <v>82.4</v>
      </c>
      <c r="L745" t="s">
        <v>20</v>
      </c>
    </row>
    <row r="746" spans="1:12" x14ac:dyDescent="0.35">
      <c r="A746">
        <v>745</v>
      </c>
      <c r="B746" t="s">
        <v>12</v>
      </c>
      <c r="C746">
        <v>4</v>
      </c>
      <c r="D746">
        <v>89.4</v>
      </c>
      <c r="E746">
        <v>6.7</v>
      </c>
      <c r="F746" t="s">
        <v>18</v>
      </c>
      <c r="G746" t="s">
        <v>14</v>
      </c>
      <c r="H746" t="s">
        <v>14</v>
      </c>
      <c r="I746" t="s">
        <v>15</v>
      </c>
      <c r="J746">
        <v>87.2</v>
      </c>
      <c r="K746">
        <v>89.5</v>
      </c>
      <c r="L746" t="s">
        <v>20</v>
      </c>
    </row>
    <row r="747" spans="1:12" x14ac:dyDescent="0.35">
      <c r="A747">
        <v>746</v>
      </c>
      <c r="B747" t="s">
        <v>17</v>
      </c>
      <c r="C747">
        <v>4.0999999999999996</v>
      </c>
      <c r="D747">
        <v>85.2</v>
      </c>
      <c r="E747">
        <v>6.8</v>
      </c>
      <c r="F747" t="s">
        <v>13</v>
      </c>
      <c r="G747" t="s">
        <v>14</v>
      </c>
      <c r="H747" t="s">
        <v>15</v>
      </c>
      <c r="I747" t="s">
        <v>14</v>
      </c>
      <c r="J747">
        <v>61.6</v>
      </c>
      <c r="K747">
        <v>83.3</v>
      </c>
      <c r="L747" t="s">
        <v>20</v>
      </c>
    </row>
    <row r="748" spans="1:12" x14ac:dyDescent="0.35">
      <c r="A748">
        <v>747</v>
      </c>
      <c r="B748" t="s">
        <v>12</v>
      </c>
      <c r="C748">
        <v>5.9</v>
      </c>
      <c r="D748">
        <v>91.7</v>
      </c>
      <c r="E748">
        <v>4.7</v>
      </c>
      <c r="F748" t="s">
        <v>13</v>
      </c>
      <c r="G748" t="s">
        <v>14</v>
      </c>
      <c r="H748" t="s">
        <v>14</v>
      </c>
      <c r="I748" t="s">
        <v>14</v>
      </c>
      <c r="J748">
        <v>57.3</v>
      </c>
      <c r="K748">
        <v>100</v>
      </c>
      <c r="L748" t="s">
        <v>16</v>
      </c>
    </row>
    <row r="749" spans="1:12" x14ac:dyDescent="0.35">
      <c r="A749">
        <v>748</v>
      </c>
      <c r="B749" t="s">
        <v>12</v>
      </c>
      <c r="C749">
        <v>4.2</v>
      </c>
      <c r="D749">
        <v>90.9</v>
      </c>
      <c r="E749">
        <v>8.6</v>
      </c>
      <c r="F749" t="s">
        <v>19</v>
      </c>
      <c r="G749" t="s">
        <v>15</v>
      </c>
      <c r="H749" t="s">
        <v>14</v>
      </c>
      <c r="I749" t="s">
        <v>15</v>
      </c>
      <c r="J749">
        <v>69.2</v>
      </c>
      <c r="K749">
        <v>92.4</v>
      </c>
      <c r="L749" t="s">
        <v>16</v>
      </c>
    </row>
    <row r="750" spans="1:12" x14ac:dyDescent="0.35">
      <c r="A750">
        <v>749</v>
      </c>
      <c r="B750" t="s">
        <v>12</v>
      </c>
      <c r="C750">
        <v>3.1</v>
      </c>
      <c r="D750">
        <v>81.5</v>
      </c>
      <c r="E750">
        <v>6.8</v>
      </c>
      <c r="F750" t="s">
        <v>23</v>
      </c>
      <c r="G750" t="s">
        <v>14</v>
      </c>
      <c r="H750" t="s">
        <v>14</v>
      </c>
      <c r="I750" t="s">
        <v>15</v>
      </c>
      <c r="J750">
        <v>69</v>
      </c>
      <c r="K750">
        <v>77</v>
      </c>
      <c r="L750" t="s">
        <v>22</v>
      </c>
    </row>
    <row r="751" spans="1:12" x14ac:dyDescent="0.35">
      <c r="A751">
        <v>750</v>
      </c>
      <c r="B751" t="s">
        <v>17</v>
      </c>
      <c r="C751">
        <v>4.9000000000000004</v>
      </c>
      <c r="D751">
        <v>79.3</v>
      </c>
      <c r="E751">
        <v>7.3</v>
      </c>
      <c r="F751" t="s">
        <v>19</v>
      </c>
      <c r="G751" t="s">
        <v>15</v>
      </c>
      <c r="H751" t="s">
        <v>15</v>
      </c>
      <c r="I751" t="s">
        <v>15</v>
      </c>
      <c r="J751">
        <v>79.2</v>
      </c>
      <c r="K751">
        <v>95.1</v>
      </c>
      <c r="L751" t="s">
        <v>16</v>
      </c>
    </row>
    <row r="752" spans="1:12" x14ac:dyDescent="0.35">
      <c r="A752">
        <v>751</v>
      </c>
      <c r="B752" t="s">
        <v>17</v>
      </c>
      <c r="C752">
        <v>5.3</v>
      </c>
      <c r="D752">
        <v>86</v>
      </c>
      <c r="E752">
        <v>7.9</v>
      </c>
      <c r="F752" t="s">
        <v>23</v>
      </c>
      <c r="G752" t="s">
        <v>14</v>
      </c>
      <c r="H752" t="s">
        <v>15</v>
      </c>
      <c r="I752" t="s">
        <v>15</v>
      </c>
      <c r="J752">
        <v>60.7</v>
      </c>
      <c r="K752">
        <v>88.8</v>
      </c>
      <c r="L752" t="s">
        <v>20</v>
      </c>
    </row>
    <row r="753" spans="1:12" x14ac:dyDescent="0.35">
      <c r="A753">
        <v>752</v>
      </c>
      <c r="B753" t="s">
        <v>12</v>
      </c>
      <c r="C753">
        <v>1.7</v>
      </c>
      <c r="D753">
        <v>100</v>
      </c>
      <c r="E753">
        <v>5.6</v>
      </c>
      <c r="F753" t="s">
        <v>13</v>
      </c>
      <c r="G753" t="s">
        <v>14</v>
      </c>
      <c r="H753" t="s">
        <v>14</v>
      </c>
      <c r="I753" t="s">
        <v>14</v>
      </c>
      <c r="J753">
        <v>86.4</v>
      </c>
      <c r="K753">
        <v>93.2</v>
      </c>
      <c r="L753" t="s">
        <v>16</v>
      </c>
    </row>
    <row r="754" spans="1:12" x14ac:dyDescent="0.35">
      <c r="A754">
        <v>753</v>
      </c>
      <c r="B754" t="s">
        <v>17</v>
      </c>
      <c r="C754">
        <v>4.4000000000000004</v>
      </c>
      <c r="D754">
        <v>72.599999999999994</v>
      </c>
      <c r="E754">
        <v>7.4</v>
      </c>
      <c r="F754" t="s">
        <v>18</v>
      </c>
      <c r="G754" t="s">
        <v>14</v>
      </c>
      <c r="H754" t="s">
        <v>15</v>
      </c>
      <c r="I754" t="s">
        <v>14</v>
      </c>
      <c r="J754">
        <v>93.6</v>
      </c>
      <c r="K754">
        <v>96.4</v>
      </c>
      <c r="L754" t="s">
        <v>16</v>
      </c>
    </row>
    <row r="755" spans="1:12" x14ac:dyDescent="0.35">
      <c r="A755">
        <v>754</v>
      </c>
      <c r="B755" t="s">
        <v>17</v>
      </c>
      <c r="C755">
        <v>4.5999999999999996</v>
      </c>
      <c r="D755">
        <v>70.3</v>
      </c>
      <c r="E755">
        <v>6.5</v>
      </c>
      <c r="F755" t="s">
        <v>23</v>
      </c>
      <c r="G755" t="s">
        <v>14</v>
      </c>
      <c r="H755" t="s">
        <v>14</v>
      </c>
      <c r="I755" t="s">
        <v>15</v>
      </c>
      <c r="J755">
        <v>69.5</v>
      </c>
      <c r="K755">
        <v>67.2</v>
      </c>
      <c r="L755" t="s">
        <v>21</v>
      </c>
    </row>
    <row r="756" spans="1:12" x14ac:dyDescent="0.35">
      <c r="A756">
        <v>755</v>
      </c>
      <c r="B756" t="s">
        <v>17</v>
      </c>
      <c r="C756">
        <v>3.1</v>
      </c>
      <c r="D756">
        <v>86.6</v>
      </c>
      <c r="E756">
        <v>7.8</v>
      </c>
      <c r="F756" t="s">
        <v>13</v>
      </c>
      <c r="G756" t="s">
        <v>14</v>
      </c>
      <c r="H756" t="s">
        <v>15</v>
      </c>
      <c r="I756" t="s">
        <v>15</v>
      </c>
      <c r="J756">
        <v>85</v>
      </c>
      <c r="K756">
        <v>84.6</v>
      </c>
      <c r="L756" t="s">
        <v>20</v>
      </c>
    </row>
    <row r="757" spans="1:12" x14ac:dyDescent="0.35">
      <c r="A757">
        <v>756</v>
      </c>
      <c r="B757" t="s">
        <v>17</v>
      </c>
      <c r="C757">
        <v>5.6</v>
      </c>
      <c r="D757">
        <v>85.5</v>
      </c>
      <c r="E757">
        <v>4.2</v>
      </c>
      <c r="F757" t="s">
        <v>13</v>
      </c>
      <c r="G757" t="s">
        <v>14</v>
      </c>
      <c r="H757" t="s">
        <v>14</v>
      </c>
      <c r="I757" t="s">
        <v>14</v>
      </c>
      <c r="J757">
        <v>57.3</v>
      </c>
      <c r="K757">
        <v>89.8</v>
      </c>
      <c r="L757" t="s">
        <v>20</v>
      </c>
    </row>
    <row r="758" spans="1:12" x14ac:dyDescent="0.35">
      <c r="A758">
        <v>757</v>
      </c>
      <c r="B758" t="s">
        <v>17</v>
      </c>
      <c r="C758">
        <v>3.3</v>
      </c>
      <c r="D758">
        <v>86.7</v>
      </c>
      <c r="E758">
        <v>6.7</v>
      </c>
      <c r="F758" t="s">
        <v>13</v>
      </c>
      <c r="G758" t="s">
        <v>14</v>
      </c>
      <c r="H758" t="s">
        <v>15</v>
      </c>
      <c r="I758" t="s">
        <v>15</v>
      </c>
      <c r="J758">
        <v>82.9</v>
      </c>
      <c r="K758">
        <v>90.3</v>
      </c>
      <c r="L758" t="s">
        <v>16</v>
      </c>
    </row>
    <row r="759" spans="1:12" x14ac:dyDescent="0.35">
      <c r="A759">
        <v>758</v>
      </c>
      <c r="B759" t="s">
        <v>12</v>
      </c>
      <c r="C759">
        <v>3.7</v>
      </c>
      <c r="D759">
        <v>87.4</v>
      </c>
      <c r="E759">
        <v>6.1</v>
      </c>
      <c r="F759" t="s">
        <v>13</v>
      </c>
      <c r="G759" t="s">
        <v>14</v>
      </c>
      <c r="H759" t="s">
        <v>14</v>
      </c>
      <c r="I759" t="s">
        <v>14</v>
      </c>
      <c r="J759">
        <v>82.6</v>
      </c>
      <c r="K759">
        <v>82.5</v>
      </c>
      <c r="L759" t="s">
        <v>20</v>
      </c>
    </row>
    <row r="760" spans="1:12" x14ac:dyDescent="0.35">
      <c r="A760">
        <v>759</v>
      </c>
      <c r="B760" t="s">
        <v>12</v>
      </c>
      <c r="C760">
        <v>3.2</v>
      </c>
      <c r="D760">
        <v>82.8</v>
      </c>
      <c r="E760">
        <v>7.3</v>
      </c>
      <c r="F760" t="s">
        <v>18</v>
      </c>
      <c r="G760" t="s">
        <v>14</v>
      </c>
      <c r="H760" t="s">
        <v>14</v>
      </c>
      <c r="I760" t="s">
        <v>15</v>
      </c>
      <c r="J760">
        <v>80.400000000000006</v>
      </c>
      <c r="K760">
        <v>84.5</v>
      </c>
      <c r="L760" t="s">
        <v>20</v>
      </c>
    </row>
    <row r="761" spans="1:12" x14ac:dyDescent="0.35">
      <c r="A761">
        <v>760</v>
      </c>
      <c r="B761" t="s">
        <v>12</v>
      </c>
      <c r="C761">
        <v>3.5</v>
      </c>
      <c r="D761">
        <v>99.9</v>
      </c>
      <c r="E761">
        <v>7.4</v>
      </c>
      <c r="F761" t="s">
        <v>13</v>
      </c>
      <c r="G761" t="s">
        <v>15</v>
      </c>
      <c r="H761" t="s">
        <v>14</v>
      </c>
      <c r="I761" t="s">
        <v>14</v>
      </c>
      <c r="J761">
        <v>69.8</v>
      </c>
      <c r="K761">
        <v>72.099999999999994</v>
      </c>
      <c r="L761" t="s">
        <v>22</v>
      </c>
    </row>
    <row r="762" spans="1:12" x14ac:dyDescent="0.35">
      <c r="A762">
        <v>761</v>
      </c>
      <c r="B762" t="s">
        <v>17</v>
      </c>
      <c r="C762">
        <v>1.9</v>
      </c>
      <c r="D762">
        <v>69</v>
      </c>
      <c r="E762">
        <v>6</v>
      </c>
      <c r="F762" t="s">
        <v>18</v>
      </c>
      <c r="G762" t="s">
        <v>14</v>
      </c>
      <c r="H762" t="s">
        <v>15</v>
      </c>
      <c r="I762" t="s">
        <v>14</v>
      </c>
      <c r="J762">
        <v>34.5</v>
      </c>
      <c r="K762">
        <v>53.2</v>
      </c>
      <c r="L762" t="s">
        <v>25</v>
      </c>
    </row>
    <row r="763" spans="1:12" x14ac:dyDescent="0.35">
      <c r="A763">
        <v>762</v>
      </c>
      <c r="B763" t="s">
        <v>17</v>
      </c>
      <c r="C763">
        <v>1.3</v>
      </c>
      <c r="D763">
        <v>76.7</v>
      </c>
      <c r="E763">
        <v>5.9</v>
      </c>
      <c r="F763" t="s">
        <v>23</v>
      </c>
      <c r="G763" t="s">
        <v>15</v>
      </c>
      <c r="H763" t="s">
        <v>14</v>
      </c>
      <c r="I763" t="s">
        <v>14</v>
      </c>
      <c r="J763">
        <v>62.3</v>
      </c>
      <c r="K763">
        <v>74</v>
      </c>
      <c r="L763" t="s">
        <v>22</v>
      </c>
    </row>
    <row r="764" spans="1:12" x14ac:dyDescent="0.35">
      <c r="A764">
        <v>763</v>
      </c>
      <c r="B764" t="s">
        <v>12</v>
      </c>
      <c r="C764">
        <v>5.9</v>
      </c>
      <c r="D764">
        <v>84</v>
      </c>
      <c r="E764">
        <v>6.7</v>
      </c>
      <c r="F764" t="s">
        <v>18</v>
      </c>
      <c r="G764" t="s">
        <v>14</v>
      </c>
      <c r="H764" t="s">
        <v>15</v>
      </c>
      <c r="I764" t="s">
        <v>15</v>
      </c>
      <c r="J764">
        <v>62.5</v>
      </c>
      <c r="K764">
        <v>96.8</v>
      </c>
      <c r="L764" t="s">
        <v>16</v>
      </c>
    </row>
    <row r="765" spans="1:12" x14ac:dyDescent="0.35">
      <c r="A765">
        <v>764</v>
      </c>
      <c r="B765" t="s">
        <v>17</v>
      </c>
      <c r="C765">
        <v>2.2000000000000002</v>
      </c>
      <c r="D765">
        <v>68.599999999999994</v>
      </c>
      <c r="E765">
        <v>5.7</v>
      </c>
      <c r="F765" t="s">
        <v>18</v>
      </c>
      <c r="G765" t="s">
        <v>14</v>
      </c>
      <c r="H765" t="s">
        <v>14</v>
      </c>
      <c r="I765" t="s">
        <v>15</v>
      </c>
      <c r="J765">
        <v>58.3</v>
      </c>
      <c r="K765">
        <v>81.2</v>
      </c>
      <c r="L765" t="s">
        <v>20</v>
      </c>
    </row>
    <row r="766" spans="1:12" x14ac:dyDescent="0.35">
      <c r="A766">
        <v>765</v>
      </c>
      <c r="B766" t="s">
        <v>12</v>
      </c>
      <c r="C766">
        <v>2</v>
      </c>
      <c r="D766">
        <v>83.2</v>
      </c>
      <c r="E766">
        <v>7.8</v>
      </c>
      <c r="F766" t="s">
        <v>13</v>
      </c>
      <c r="G766" t="s">
        <v>14</v>
      </c>
      <c r="H766" t="s">
        <v>14</v>
      </c>
      <c r="I766" t="s">
        <v>15</v>
      </c>
      <c r="J766">
        <v>71.5</v>
      </c>
      <c r="K766">
        <v>85.4</v>
      </c>
      <c r="L766" t="s">
        <v>20</v>
      </c>
    </row>
    <row r="767" spans="1:12" x14ac:dyDescent="0.35">
      <c r="A767">
        <v>766</v>
      </c>
      <c r="B767" t="s">
        <v>12</v>
      </c>
      <c r="C767">
        <v>0.5</v>
      </c>
      <c r="D767">
        <v>100</v>
      </c>
      <c r="E767">
        <v>6.4</v>
      </c>
      <c r="F767" t="s">
        <v>23</v>
      </c>
      <c r="G767" t="s">
        <v>14</v>
      </c>
      <c r="H767" t="s">
        <v>14</v>
      </c>
      <c r="I767" t="s">
        <v>15</v>
      </c>
      <c r="J767">
        <v>65</v>
      </c>
      <c r="K767">
        <v>81.099999999999994</v>
      </c>
      <c r="L767" t="s">
        <v>20</v>
      </c>
    </row>
    <row r="768" spans="1:12" x14ac:dyDescent="0.35">
      <c r="A768">
        <v>767</v>
      </c>
      <c r="B768" t="s">
        <v>12</v>
      </c>
      <c r="C768">
        <v>2.5</v>
      </c>
      <c r="D768">
        <v>85.2</v>
      </c>
      <c r="E768">
        <v>3.3</v>
      </c>
      <c r="F768" t="s">
        <v>13</v>
      </c>
      <c r="G768" t="s">
        <v>14</v>
      </c>
      <c r="H768" t="s">
        <v>15</v>
      </c>
      <c r="I768" t="s">
        <v>15</v>
      </c>
      <c r="J768">
        <v>60.1</v>
      </c>
      <c r="K768">
        <v>83.9</v>
      </c>
      <c r="L768" t="s">
        <v>20</v>
      </c>
    </row>
    <row r="769" spans="1:12" x14ac:dyDescent="0.35">
      <c r="A769">
        <v>768</v>
      </c>
      <c r="B769" t="s">
        <v>17</v>
      </c>
      <c r="C769">
        <v>1.5</v>
      </c>
      <c r="D769">
        <v>87.3</v>
      </c>
      <c r="E769">
        <v>6.4</v>
      </c>
      <c r="F769" t="s">
        <v>18</v>
      </c>
      <c r="G769" t="s">
        <v>14</v>
      </c>
      <c r="H769" t="s">
        <v>14</v>
      </c>
      <c r="I769" t="s">
        <v>14</v>
      </c>
      <c r="J769">
        <v>57.3</v>
      </c>
      <c r="K769">
        <v>71.2</v>
      </c>
      <c r="L769" t="s">
        <v>22</v>
      </c>
    </row>
    <row r="770" spans="1:12" x14ac:dyDescent="0.35">
      <c r="A770">
        <v>769</v>
      </c>
      <c r="B770" t="s">
        <v>17</v>
      </c>
      <c r="C770">
        <v>6</v>
      </c>
      <c r="D770">
        <v>72.400000000000006</v>
      </c>
      <c r="E770">
        <v>5.6</v>
      </c>
      <c r="F770" t="s">
        <v>13</v>
      </c>
      <c r="G770" t="s">
        <v>14</v>
      </c>
      <c r="H770" t="s">
        <v>15</v>
      </c>
      <c r="I770" t="s">
        <v>15</v>
      </c>
      <c r="J770">
        <v>61.4</v>
      </c>
      <c r="K770">
        <v>85.5</v>
      </c>
      <c r="L770" t="s">
        <v>20</v>
      </c>
    </row>
    <row r="771" spans="1:12" x14ac:dyDescent="0.35">
      <c r="A771">
        <v>770</v>
      </c>
      <c r="B771" t="s">
        <v>12</v>
      </c>
      <c r="C771">
        <v>5</v>
      </c>
      <c r="D771">
        <v>78.8</v>
      </c>
      <c r="E771">
        <v>4.8</v>
      </c>
      <c r="F771" t="s">
        <v>18</v>
      </c>
      <c r="G771" t="s">
        <v>14</v>
      </c>
      <c r="H771" t="s">
        <v>15</v>
      </c>
      <c r="I771" t="s">
        <v>15</v>
      </c>
      <c r="J771">
        <v>83.5</v>
      </c>
      <c r="K771">
        <v>98.4</v>
      </c>
      <c r="L771" t="s">
        <v>16</v>
      </c>
    </row>
    <row r="772" spans="1:12" x14ac:dyDescent="0.35">
      <c r="A772">
        <v>771</v>
      </c>
      <c r="B772" t="s">
        <v>12</v>
      </c>
      <c r="C772">
        <v>2.5</v>
      </c>
      <c r="D772">
        <v>81.2</v>
      </c>
      <c r="E772">
        <v>5.3</v>
      </c>
      <c r="F772" t="s">
        <v>19</v>
      </c>
      <c r="G772" t="s">
        <v>14</v>
      </c>
      <c r="H772" t="s">
        <v>15</v>
      </c>
      <c r="I772" t="s">
        <v>15</v>
      </c>
      <c r="J772">
        <v>62.1</v>
      </c>
      <c r="K772">
        <v>82.6</v>
      </c>
      <c r="L772" t="s">
        <v>20</v>
      </c>
    </row>
    <row r="773" spans="1:12" x14ac:dyDescent="0.35">
      <c r="A773">
        <v>772</v>
      </c>
      <c r="B773" t="s">
        <v>12</v>
      </c>
      <c r="C773">
        <v>6.9</v>
      </c>
      <c r="D773">
        <v>81.8</v>
      </c>
      <c r="E773">
        <v>6.9</v>
      </c>
      <c r="F773" t="s">
        <v>19</v>
      </c>
      <c r="G773" t="s">
        <v>14</v>
      </c>
      <c r="H773" t="s">
        <v>14</v>
      </c>
      <c r="I773" t="s">
        <v>14</v>
      </c>
      <c r="J773">
        <v>63.8</v>
      </c>
      <c r="K773">
        <v>91.6</v>
      </c>
      <c r="L773" t="s">
        <v>16</v>
      </c>
    </row>
    <row r="774" spans="1:12" x14ac:dyDescent="0.35">
      <c r="A774">
        <v>773</v>
      </c>
      <c r="B774" t="s">
        <v>12</v>
      </c>
      <c r="C774">
        <v>5</v>
      </c>
      <c r="D774">
        <v>97.8</v>
      </c>
      <c r="E774">
        <v>8.4</v>
      </c>
      <c r="F774" t="s">
        <v>13</v>
      </c>
      <c r="G774" t="s">
        <v>14</v>
      </c>
      <c r="H774" t="s">
        <v>15</v>
      </c>
      <c r="I774" t="s">
        <v>15</v>
      </c>
      <c r="J774">
        <v>64.5</v>
      </c>
      <c r="K774">
        <v>91.3</v>
      </c>
      <c r="L774" t="s">
        <v>16</v>
      </c>
    </row>
    <row r="775" spans="1:12" x14ac:dyDescent="0.35">
      <c r="A775">
        <v>774</v>
      </c>
      <c r="B775" t="s">
        <v>17</v>
      </c>
      <c r="C775">
        <v>3</v>
      </c>
      <c r="D775">
        <v>90.6</v>
      </c>
      <c r="E775">
        <v>7.2</v>
      </c>
      <c r="F775" t="s">
        <v>18</v>
      </c>
      <c r="G775" t="s">
        <v>14</v>
      </c>
      <c r="H775" t="s">
        <v>15</v>
      </c>
      <c r="I775" t="s">
        <v>14</v>
      </c>
      <c r="J775">
        <v>74.099999999999994</v>
      </c>
      <c r="K775">
        <v>84.3</v>
      </c>
      <c r="L775" t="s">
        <v>20</v>
      </c>
    </row>
    <row r="776" spans="1:12" x14ac:dyDescent="0.35">
      <c r="A776">
        <v>775</v>
      </c>
      <c r="B776" t="s">
        <v>17</v>
      </c>
      <c r="C776">
        <v>0.5</v>
      </c>
      <c r="D776">
        <v>73.900000000000006</v>
      </c>
      <c r="E776">
        <v>6.1</v>
      </c>
      <c r="F776" t="s">
        <v>23</v>
      </c>
      <c r="G776" t="s">
        <v>14</v>
      </c>
      <c r="H776" t="s">
        <v>14</v>
      </c>
      <c r="I776" t="s">
        <v>15</v>
      </c>
      <c r="J776">
        <v>75.5</v>
      </c>
      <c r="K776">
        <v>74.599999999999994</v>
      </c>
      <c r="L776" t="s">
        <v>22</v>
      </c>
    </row>
    <row r="777" spans="1:12" x14ac:dyDescent="0.35">
      <c r="A777">
        <v>776</v>
      </c>
      <c r="B777" t="s">
        <v>12</v>
      </c>
      <c r="C777">
        <v>6.9</v>
      </c>
      <c r="D777">
        <v>87.5</v>
      </c>
      <c r="E777">
        <v>7.3</v>
      </c>
      <c r="F777" t="s">
        <v>18</v>
      </c>
      <c r="G777" t="s">
        <v>14</v>
      </c>
      <c r="H777" t="s">
        <v>15</v>
      </c>
      <c r="I777" t="s">
        <v>14</v>
      </c>
      <c r="J777">
        <v>33.5</v>
      </c>
      <c r="K777">
        <v>88.6</v>
      </c>
      <c r="L777" t="s">
        <v>20</v>
      </c>
    </row>
    <row r="778" spans="1:12" x14ac:dyDescent="0.35">
      <c r="A778">
        <v>777</v>
      </c>
      <c r="B778" t="s">
        <v>12</v>
      </c>
      <c r="C778">
        <v>1.4</v>
      </c>
      <c r="D778">
        <v>90</v>
      </c>
      <c r="E778">
        <v>6.2</v>
      </c>
      <c r="F778" t="s">
        <v>13</v>
      </c>
      <c r="G778" t="s">
        <v>14</v>
      </c>
      <c r="H778" t="s">
        <v>14</v>
      </c>
      <c r="I778" t="s">
        <v>15</v>
      </c>
      <c r="J778">
        <v>82.3</v>
      </c>
      <c r="K778">
        <v>73.599999999999994</v>
      </c>
      <c r="L778" t="s">
        <v>22</v>
      </c>
    </row>
    <row r="779" spans="1:12" x14ac:dyDescent="0.35">
      <c r="A779">
        <v>778</v>
      </c>
      <c r="B779" t="s">
        <v>17</v>
      </c>
      <c r="C779">
        <v>1</v>
      </c>
      <c r="D779">
        <v>96.4</v>
      </c>
      <c r="E779">
        <v>6</v>
      </c>
      <c r="F779" t="s">
        <v>18</v>
      </c>
      <c r="G779" t="s">
        <v>14</v>
      </c>
      <c r="H779" t="s">
        <v>14</v>
      </c>
      <c r="I779" t="s">
        <v>15</v>
      </c>
      <c r="J779">
        <v>87.2</v>
      </c>
      <c r="K779">
        <v>95.8</v>
      </c>
      <c r="L779" t="s">
        <v>16</v>
      </c>
    </row>
    <row r="780" spans="1:12" x14ac:dyDescent="0.35">
      <c r="A780">
        <v>779</v>
      </c>
      <c r="B780" t="s">
        <v>17</v>
      </c>
      <c r="C780">
        <v>5</v>
      </c>
      <c r="D780">
        <v>100</v>
      </c>
      <c r="E780">
        <v>5.4</v>
      </c>
      <c r="F780" t="s">
        <v>19</v>
      </c>
      <c r="G780" t="s">
        <v>14</v>
      </c>
      <c r="H780" t="s">
        <v>14</v>
      </c>
      <c r="I780" t="s">
        <v>15</v>
      </c>
      <c r="J780">
        <v>57.4</v>
      </c>
      <c r="K780">
        <v>87.1</v>
      </c>
      <c r="L780" t="s">
        <v>20</v>
      </c>
    </row>
    <row r="781" spans="1:12" x14ac:dyDescent="0.35">
      <c r="A781">
        <v>780</v>
      </c>
      <c r="B781" t="s">
        <v>12</v>
      </c>
      <c r="C781">
        <v>7.2</v>
      </c>
      <c r="D781">
        <v>74.8</v>
      </c>
      <c r="E781">
        <v>4.7</v>
      </c>
      <c r="F781" t="s">
        <v>18</v>
      </c>
      <c r="G781" t="s">
        <v>14</v>
      </c>
      <c r="H781" t="s">
        <v>14</v>
      </c>
      <c r="I781" t="s">
        <v>15</v>
      </c>
      <c r="J781">
        <v>58.3</v>
      </c>
      <c r="K781">
        <v>89.9</v>
      </c>
      <c r="L781" t="s">
        <v>20</v>
      </c>
    </row>
    <row r="782" spans="1:12" x14ac:dyDescent="0.35">
      <c r="A782">
        <v>781</v>
      </c>
      <c r="B782" t="s">
        <v>12</v>
      </c>
      <c r="C782">
        <v>5.6</v>
      </c>
      <c r="D782">
        <v>76.900000000000006</v>
      </c>
      <c r="E782">
        <v>6.3</v>
      </c>
      <c r="F782" t="s">
        <v>13</v>
      </c>
      <c r="G782" t="s">
        <v>15</v>
      </c>
      <c r="H782" t="s">
        <v>14</v>
      </c>
      <c r="I782" t="s">
        <v>15</v>
      </c>
      <c r="J782">
        <v>64.599999999999994</v>
      </c>
      <c r="K782">
        <v>79.099999999999994</v>
      </c>
      <c r="L782" t="s">
        <v>22</v>
      </c>
    </row>
    <row r="783" spans="1:12" x14ac:dyDescent="0.35">
      <c r="A783">
        <v>782</v>
      </c>
      <c r="B783" t="s">
        <v>12</v>
      </c>
      <c r="C783">
        <v>4.3</v>
      </c>
      <c r="D783">
        <v>72.400000000000006</v>
      </c>
      <c r="E783">
        <v>7</v>
      </c>
      <c r="F783" t="s">
        <v>23</v>
      </c>
      <c r="G783" t="s">
        <v>14</v>
      </c>
      <c r="H783" t="s">
        <v>14</v>
      </c>
      <c r="I783" t="s">
        <v>15</v>
      </c>
      <c r="J783">
        <v>60.9</v>
      </c>
      <c r="K783">
        <v>97.6</v>
      </c>
      <c r="L783" t="s">
        <v>16</v>
      </c>
    </row>
    <row r="784" spans="1:12" x14ac:dyDescent="0.35">
      <c r="A784">
        <v>783</v>
      </c>
      <c r="B784" t="s">
        <v>17</v>
      </c>
      <c r="C784">
        <v>4.4000000000000004</v>
      </c>
      <c r="D784">
        <v>82.7</v>
      </c>
      <c r="E784">
        <v>6.7</v>
      </c>
      <c r="F784" t="s">
        <v>13</v>
      </c>
      <c r="G784" t="s">
        <v>14</v>
      </c>
      <c r="H784" t="s">
        <v>15</v>
      </c>
      <c r="I784" t="s">
        <v>15</v>
      </c>
      <c r="J784">
        <v>72.7</v>
      </c>
      <c r="K784">
        <v>90.3</v>
      </c>
      <c r="L784" t="s">
        <v>16</v>
      </c>
    </row>
    <row r="785" spans="1:12" x14ac:dyDescent="0.35">
      <c r="A785">
        <v>784</v>
      </c>
      <c r="B785" t="s">
        <v>17</v>
      </c>
      <c r="C785">
        <v>4.8</v>
      </c>
      <c r="D785">
        <v>89.7</v>
      </c>
      <c r="E785">
        <v>6.3</v>
      </c>
      <c r="F785" t="s">
        <v>18</v>
      </c>
      <c r="G785" t="s">
        <v>14</v>
      </c>
      <c r="H785" t="s">
        <v>14</v>
      </c>
      <c r="I785" t="s">
        <v>15</v>
      </c>
      <c r="J785">
        <v>46.6</v>
      </c>
      <c r="K785">
        <v>78.099999999999994</v>
      </c>
      <c r="L785" t="s">
        <v>22</v>
      </c>
    </row>
    <row r="786" spans="1:12" x14ac:dyDescent="0.35">
      <c r="A786">
        <v>785</v>
      </c>
      <c r="B786" t="s">
        <v>17</v>
      </c>
      <c r="C786">
        <v>4.5999999999999996</v>
      </c>
      <c r="D786">
        <v>94.9</v>
      </c>
      <c r="E786">
        <v>5.7</v>
      </c>
      <c r="F786" t="s">
        <v>19</v>
      </c>
      <c r="G786" t="s">
        <v>14</v>
      </c>
      <c r="H786" t="s">
        <v>14</v>
      </c>
      <c r="I786" t="s">
        <v>15</v>
      </c>
      <c r="J786">
        <v>56.6</v>
      </c>
      <c r="K786">
        <v>92.6</v>
      </c>
      <c r="L786" t="s">
        <v>16</v>
      </c>
    </row>
    <row r="787" spans="1:12" x14ac:dyDescent="0.35">
      <c r="A787">
        <v>786</v>
      </c>
      <c r="B787" t="s">
        <v>12</v>
      </c>
      <c r="C787">
        <v>3.9</v>
      </c>
      <c r="D787">
        <v>84.2</v>
      </c>
      <c r="E787">
        <v>7.5</v>
      </c>
      <c r="F787" t="s">
        <v>13</v>
      </c>
      <c r="G787" t="s">
        <v>14</v>
      </c>
      <c r="H787" t="s">
        <v>14</v>
      </c>
      <c r="I787" t="s">
        <v>14</v>
      </c>
      <c r="J787">
        <v>88.5</v>
      </c>
      <c r="K787">
        <v>97</v>
      </c>
      <c r="L787" t="s">
        <v>16</v>
      </c>
    </row>
    <row r="788" spans="1:12" x14ac:dyDescent="0.35">
      <c r="A788">
        <v>787</v>
      </c>
      <c r="B788" t="s">
        <v>12</v>
      </c>
      <c r="C788">
        <v>3.7</v>
      </c>
      <c r="D788">
        <v>81.8</v>
      </c>
      <c r="E788">
        <v>5.2</v>
      </c>
      <c r="F788" t="s">
        <v>13</v>
      </c>
      <c r="G788" t="s">
        <v>14</v>
      </c>
      <c r="H788" t="s">
        <v>15</v>
      </c>
      <c r="I788" t="s">
        <v>15</v>
      </c>
      <c r="J788">
        <v>58.9</v>
      </c>
      <c r="K788">
        <v>77</v>
      </c>
      <c r="L788" t="s">
        <v>22</v>
      </c>
    </row>
    <row r="789" spans="1:12" x14ac:dyDescent="0.35">
      <c r="A789">
        <v>788</v>
      </c>
      <c r="B789" t="s">
        <v>17</v>
      </c>
      <c r="C789">
        <v>3.4</v>
      </c>
      <c r="D789">
        <v>86.5</v>
      </c>
      <c r="E789">
        <v>7.7</v>
      </c>
      <c r="F789" t="s">
        <v>18</v>
      </c>
      <c r="G789" t="s">
        <v>14</v>
      </c>
      <c r="H789" t="s">
        <v>15</v>
      </c>
      <c r="I789" t="s">
        <v>15</v>
      </c>
      <c r="J789">
        <v>84.9</v>
      </c>
      <c r="K789">
        <v>96.8</v>
      </c>
      <c r="L789" t="s">
        <v>16</v>
      </c>
    </row>
    <row r="790" spans="1:12" x14ac:dyDescent="0.35">
      <c r="A790">
        <v>789</v>
      </c>
      <c r="B790" t="s">
        <v>17</v>
      </c>
      <c r="C790">
        <v>2.4</v>
      </c>
      <c r="D790">
        <v>76.599999999999994</v>
      </c>
      <c r="E790">
        <v>5.6</v>
      </c>
      <c r="F790" t="s">
        <v>13</v>
      </c>
      <c r="G790" t="s">
        <v>14</v>
      </c>
      <c r="H790" t="s">
        <v>15</v>
      </c>
      <c r="I790" t="s">
        <v>15</v>
      </c>
      <c r="J790">
        <v>74.3</v>
      </c>
      <c r="K790">
        <v>72.099999999999994</v>
      </c>
      <c r="L790" t="s">
        <v>22</v>
      </c>
    </row>
    <row r="791" spans="1:12" x14ac:dyDescent="0.35">
      <c r="A791">
        <v>790</v>
      </c>
      <c r="B791" t="s">
        <v>12</v>
      </c>
      <c r="C791">
        <v>3.1</v>
      </c>
      <c r="D791">
        <v>100</v>
      </c>
      <c r="E791">
        <v>5.9</v>
      </c>
      <c r="F791" t="s">
        <v>13</v>
      </c>
      <c r="G791" t="s">
        <v>14</v>
      </c>
      <c r="H791" t="s">
        <v>15</v>
      </c>
      <c r="I791" t="s">
        <v>15</v>
      </c>
      <c r="J791">
        <v>48.3</v>
      </c>
      <c r="K791">
        <v>75.400000000000006</v>
      </c>
      <c r="L791" t="s">
        <v>22</v>
      </c>
    </row>
    <row r="792" spans="1:12" x14ac:dyDescent="0.35">
      <c r="A792">
        <v>791</v>
      </c>
      <c r="B792" t="s">
        <v>17</v>
      </c>
      <c r="C792">
        <v>1</v>
      </c>
      <c r="D792">
        <v>68.900000000000006</v>
      </c>
      <c r="E792">
        <v>5</v>
      </c>
      <c r="F792" t="s">
        <v>18</v>
      </c>
      <c r="G792" t="s">
        <v>14</v>
      </c>
      <c r="H792" t="s">
        <v>14</v>
      </c>
      <c r="I792" t="s">
        <v>15</v>
      </c>
      <c r="J792">
        <v>77.599999999999994</v>
      </c>
      <c r="K792">
        <v>57.6</v>
      </c>
      <c r="L792" t="s">
        <v>25</v>
      </c>
    </row>
    <row r="793" spans="1:12" x14ac:dyDescent="0.35">
      <c r="A793">
        <v>792</v>
      </c>
      <c r="B793" t="s">
        <v>17</v>
      </c>
      <c r="C793">
        <v>3.4</v>
      </c>
      <c r="D793">
        <v>86.8</v>
      </c>
      <c r="E793">
        <v>6.2</v>
      </c>
      <c r="F793" t="s">
        <v>18</v>
      </c>
      <c r="G793" t="s">
        <v>15</v>
      </c>
      <c r="H793" t="s">
        <v>15</v>
      </c>
      <c r="I793" t="s">
        <v>14</v>
      </c>
      <c r="J793">
        <v>68.599999999999994</v>
      </c>
      <c r="K793">
        <v>67.599999999999994</v>
      </c>
      <c r="L793" t="s">
        <v>21</v>
      </c>
    </row>
    <row r="794" spans="1:12" x14ac:dyDescent="0.35">
      <c r="A794">
        <v>793</v>
      </c>
      <c r="B794" t="s">
        <v>12</v>
      </c>
      <c r="C794">
        <v>2</v>
      </c>
      <c r="D794">
        <v>100</v>
      </c>
      <c r="E794">
        <v>8</v>
      </c>
      <c r="F794" t="s">
        <v>23</v>
      </c>
      <c r="G794" t="s">
        <v>14</v>
      </c>
      <c r="H794" t="s">
        <v>14</v>
      </c>
      <c r="I794" t="s">
        <v>14</v>
      </c>
      <c r="J794">
        <v>64.5</v>
      </c>
      <c r="K794">
        <v>91.2</v>
      </c>
      <c r="L794" t="s">
        <v>16</v>
      </c>
    </row>
    <row r="795" spans="1:12" x14ac:dyDescent="0.35">
      <c r="A795">
        <v>794</v>
      </c>
      <c r="B795" t="s">
        <v>17</v>
      </c>
      <c r="C795">
        <v>1.8</v>
      </c>
      <c r="D795">
        <v>85.1</v>
      </c>
      <c r="E795">
        <v>7.4</v>
      </c>
      <c r="F795" t="s">
        <v>18</v>
      </c>
      <c r="G795" t="s">
        <v>14</v>
      </c>
      <c r="H795" t="s">
        <v>14</v>
      </c>
      <c r="I795" t="s">
        <v>14</v>
      </c>
      <c r="J795">
        <v>72.900000000000006</v>
      </c>
      <c r="K795">
        <v>86.8</v>
      </c>
      <c r="L795" t="s">
        <v>20</v>
      </c>
    </row>
    <row r="796" spans="1:12" x14ac:dyDescent="0.35">
      <c r="A796">
        <v>795</v>
      </c>
      <c r="B796" t="s">
        <v>12</v>
      </c>
      <c r="C796">
        <v>3.8</v>
      </c>
      <c r="D796">
        <v>83.1</v>
      </c>
      <c r="E796">
        <v>8</v>
      </c>
      <c r="F796" t="s">
        <v>18</v>
      </c>
      <c r="G796" t="s">
        <v>14</v>
      </c>
      <c r="H796" t="s">
        <v>15</v>
      </c>
      <c r="I796" t="s">
        <v>15</v>
      </c>
      <c r="J796">
        <v>75.7</v>
      </c>
      <c r="K796">
        <v>89.5</v>
      </c>
      <c r="L796" t="s">
        <v>20</v>
      </c>
    </row>
    <row r="797" spans="1:12" x14ac:dyDescent="0.35">
      <c r="A797">
        <v>796</v>
      </c>
      <c r="B797" t="s">
        <v>12</v>
      </c>
      <c r="C797">
        <v>5.6</v>
      </c>
      <c r="D797">
        <v>81.400000000000006</v>
      </c>
      <c r="E797">
        <v>7.4</v>
      </c>
      <c r="F797" t="s">
        <v>13</v>
      </c>
      <c r="G797" t="s">
        <v>14</v>
      </c>
      <c r="H797" t="s">
        <v>14</v>
      </c>
      <c r="I797" t="s">
        <v>15</v>
      </c>
      <c r="J797">
        <v>78.5</v>
      </c>
      <c r="K797">
        <v>100</v>
      </c>
      <c r="L797" t="s">
        <v>16</v>
      </c>
    </row>
    <row r="798" spans="1:12" x14ac:dyDescent="0.35">
      <c r="A798">
        <v>797</v>
      </c>
      <c r="B798" t="s">
        <v>12</v>
      </c>
      <c r="C798">
        <v>4.9000000000000004</v>
      </c>
      <c r="D798">
        <v>83.2</v>
      </c>
      <c r="E798">
        <v>5.5</v>
      </c>
      <c r="F798" t="s">
        <v>23</v>
      </c>
      <c r="G798" t="s">
        <v>14</v>
      </c>
      <c r="H798" t="s">
        <v>15</v>
      </c>
      <c r="I798" t="s">
        <v>15</v>
      </c>
      <c r="J798">
        <v>84.1</v>
      </c>
      <c r="K798">
        <v>93.4</v>
      </c>
      <c r="L798" t="s">
        <v>16</v>
      </c>
    </row>
    <row r="799" spans="1:12" x14ac:dyDescent="0.35">
      <c r="A799">
        <v>798</v>
      </c>
      <c r="B799" t="s">
        <v>12</v>
      </c>
      <c r="C799">
        <v>1.1000000000000001</v>
      </c>
      <c r="D799">
        <v>98.7</v>
      </c>
      <c r="E799">
        <v>6.4</v>
      </c>
      <c r="F799" t="s">
        <v>18</v>
      </c>
      <c r="G799" t="s">
        <v>14</v>
      </c>
      <c r="H799" t="s">
        <v>15</v>
      </c>
      <c r="I799" t="s">
        <v>15</v>
      </c>
      <c r="J799">
        <v>74.900000000000006</v>
      </c>
      <c r="K799">
        <v>78.7</v>
      </c>
      <c r="L799" t="s">
        <v>22</v>
      </c>
    </row>
    <row r="800" spans="1:12" x14ac:dyDescent="0.35">
      <c r="A800">
        <v>799</v>
      </c>
      <c r="B800" t="s">
        <v>12</v>
      </c>
      <c r="C800">
        <v>2</v>
      </c>
      <c r="D800">
        <v>62.9</v>
      </c>
      <c r="E800">
        <v>5.9</v>
      </c>
      <c r="F800" t="s">
        <v>13</v>
      </c>
      <c r="G800" t="s">
        <v>14</v>
      </c>
      <c r="H800" t="s">
        <v>14</v>
      </c>
      <c r="I800" t="s">
        <v>14</v>
      </c>
      <c r="J800">
        <v>53.5</v>
      </c>
      <c r="K800">
        <v>60.8</v>
      </c>
      <c r="L800" t="s">
        <v>21</v>
      </c>
    </row>
    <row r="801" spans="1:12" x14ac:dyDescent="0.35">
      <c r="A801">
        <v>800</v>
      </c>
      <c r="B801" t="s">
        <v>12</v>
      </c>
      <c r="C801">
        <v>4.9000000000000004</v>
      </c>
      <c r="D801">
        <v>100</v>
      </c>
      <c r="E801">
        <v>8.4</v>
      </c>
      <c r="F801" t="s">
        <v>18</v>
      </c>
      <c r="G801" t="s">
        <v>14</v>
      </c>
      <c r="H801" t="s">
        <v>14</v>
      </c>
      <c r="I801" t="s">
        <v>15</v>
      </c>
      <c r="J801">
        <v>64.3</v>
      </c>
      <c r="K801">
        <v>96.1</v>
      </c>
      <c r="L801" t="s">
        <v>16</v>
      </c>
    </row>
    <row r="802" spans="1:12" x14ac:dyDescent="0.35">
      <c r="A802">
        <v>801</v>
      </c>
      <c r="B802" t="s">
        <v>12</v>
      </c>
      <c r="C802">
        <v>2</v>
      </c>
      <c r="D802">
        <v>70.8</v>
      </c>
      <c r="E802">
        <v>5.4</v>
      </c>
      <c r="F802" t="s">
        <v>18</v>
      </c>
      <c r="G802" t="s">
        <v>14</v>
      </c>
      <c r="H802" t="s">
        <v>14</v>
      </c>
      <c r="I802" t="s">
        <v>15</v>
      </c>
      <c r="J802">
        <v>100</v>
      </c>
      <c r="K802">
        <v>83</v>
      </c>
      <c r="L802" t="s">
        <v>20</v>
      </c>
    </row>
    <row r="803" spans="1:12" x14ac:dyDescent="0.35">
      <c r="A803">
        <v>802</v>
      </c>
      <c r="B803" t="s">
        <v>17</v>
      </c>
      <c r="C803">
        <v>3.2</v>
      </c>
      <c r="D803">
        <v>82.3</v>
      </c>
      <c r="E803">
        <v>7.9</v>
      </c>
      <c r="F803" t="s">
        <v>18</v>
      </c>
      <c r="G803" t="s">
        <v>14</v>
      </c>
      <c r="H803" t="s">
        <v>15</v>
      </c>
      <c r="I803" t="s">
        <v>15</v>
      </c>
      <c r="J803">
        <v>78.7</v>
      </c>
      <c r="K803">
        <v>94</v>
      </c>
      <c r="L803" t="s">
        <v>16</v>
      </c>
    </row>
    <row r="804" spans="1:12" x14ac:dyDescent="0.35">
      <c r="A804">
        <v>803</v>
      </c>
      <c r="B804" t="s">
        <v>12</v>
      </c>
      <c r="C804">
        <v>4.3</v>
      </c>
      <c r="D804">
        <v>80.7</v>
      </c>
      <c r="E804">
        <v>7.9</v>
      </c>
      <c r="F804" t="s">
        <v>23</v>
      </c>
      <c r="G804" t="s">
        <v>14</v>
      </c>
      <c r="H804" t="s">
        <v>15</v>
      </c>
      <c r="I804" t="s">
        <v>15</v>
      </c>
      <c r="J804">
        <v>98.4</v>
      </c>
      <c r="K804">
        <v>100</v>
      </c>
      <c r="L804" t="s">
        <v>16</v>
      </c>
    </row>
    <row r="805" spans="1:12" x14ac:dyDescent="0.35">
      <c r="A805">
        <v>804</v>
      </c>
      <c r="B805" t="s">
        <v>12</v>
      </c>
      <c r="C805">
        <v>2</v>
      </c>
      <c r="D805">
        <v>90.9</v>
      </c>
      <c r="E805">
        <v>9</v>
      </c>
      <c r="F805" t="s">
        <v>18</v>
      </c>
      <c r="G805" t="s">
        <v>14</v>
      </c>
      <c r="H805" t="s">
        <v>14</v>
      </c>
      <c r="I805" t="s">
        <v>15</v>
      </c>
      <c r="J805">
        <v>86.7</v>
      </c>
      <c r="K805">
        <v>94.6</v>
      </c>
      <c r="L805" t="s">
        <v>16</v>
      </c>
    </row>
    <row r="806" spans="1:12" x14ac:dyDescent="0.35">
      <c r="A806">
        <v>805</v>
      </c>
      <c r="B806" t="s">
        <v>17</v>
      </c>
      <c r="C806">
        <v>3.7</v>
      </c>
      <c r="D806">
        <v>69</v>
      </c>
      <c r="E806">
        <v>6.3</v>
      </c>
      <c r="F806" t="s">
        <v>18</v>
      </c>
      <c r="G806" t="s">
        <v>14</v>
      </c>
      <c r="H806" t="s">
        <v>14</v>
      </c>
      <c r="I806" t="s">
        <v>15</v>
      </c>
      <c r="J806">
        <v>72.900000000000006</v>
      </c>
      <c r="K806">
        <v>87.7</v>
      </c>
      <c r="L806" t="s">
        <v>20</v>
      </c>
    </row>
    <row r="807" spans="1:12" x14ac:dyDescent="0.35">
      <c r="A807">
        <v>806</v>
      </c>
      <c r="B807" t="s">
        <v>17</v>
      </c>
      <c r="C807">
        <v>1.5</v>
      </c>
      <c r="D807">
        <v>89.6</v>
      </c>
      <c r="E807">
        <v>7.7</v>
      </c>
      <c r="F807" t="s">
        <v>13</v>
      </c>
      <c r="G807" t="s">
        <v>14</v>
      </c>
      <c r="H807" t="s">
        <v>15</v>
      </c>
      <c r="I807" t="s">
        <v>15</v>
      </c>
      <c r="J807">
        <v>73.599999999999994</v>
      </c>
      <c r="K807">
        <v>82.1</v>
      </c>
      <c r="L807" t="s">
        <v>20</v>
      </c>
    </row>
    <row r="808" spans="1:12" x14ac:dyDescent="0.35">
      <c r="A808">
        <v>807</v>
      </c>
      <c r="B808" t="s">
        <v>17</v>
      </c>
      <c r="C808">
        <v>2.6</v>
      </c>
      <c r="D808">
        <v>100</v>
      </c>
      <c r="E808">
        <v>9.5</v>
      </c>
      <c r="F808" t="s">
        <v>23</v>
      </c>
      <c r="G808" t="s">
        <v>14</v>
      </c>
      <c r="H808" t="s">
        <v>15</v>
      </c>
      <c r="I808" t="s">
        <v>14</v>
      </c>
      <c r="J808">
        <v>69.599999999999994</v>
      </c>
      <c r="K808">
        <v>80.099999999999994</v>
      </c>
      <c r="L808" t="s">
        <v>20</v>
      </c>
    </row>
    <row r="809" spans="1:12" x14ac:dyDescent="0.35">
      <c r="A809">
        <v>808</v>
      </c>
      <c r="B809" t="s">
        <v>12</v>
      </c>
      <c r="C809">
        <v>4</v>
      </c>
      <c r="D809">
        <v>71.400000000000006</v>
      </c>
      <c r="E809">
        <v>6.1</v>
      </c>
      <c r="F809" t="s">
        <v>18</v>
      </c>
      <c r="G809" t="s">
        <v>15</v>
      </c>
      <c r="H809" t="s">
        <v>14</v>
      </c>
      <c r="I809" t="s">
        <v>14</v>
      </c>
      <c r="J809">
        <v>49.1</v>
      </c>
      <c r="K809">
        <v>57.8</v>
      </c>
      <c r="L809" t="s">
        <v>25</v>
      </c>
    </row>
    <row r="810" spans="1:12" x14ac:dyDescent="0.35">
      <c r="A810">
        <v>809</v>
      </c>
      <c r="B810" t="s">
        <v>17</v>
      </c>
      <c r="C810">
        <v>1.1000000000000001</v>
      </c>
      <c r="D810">
        <v>86.9</v>
      </c>
      <c r="E810">
        <v>5</v>
      </c>
      <c r="F810" t="s">
        <v>13</v>
      </c>
      <c r="G810" t="s">
        <v>14</v>
      </c>
      <c r="H810" t="s">
        <v>14</v>
      </c>
      <c r="I810" t="s">
        <v>15</v>
      </c>
      <c r="J810">
        <v>70.2</v>
      </c>
      <c r="K810">
        <v>74.3</v>
      </c>
      <c r="L810" t="s">
        <v>22</v>
      </c>
    </row>
    <row r="811" spans="1:12" x14ac:dyDescent="0.35">
      <c r="A811">
        <v>810</v>
      </c>
      <c r="B811" t="s">
        <v>12</v>
      </c>
      <c r="C811">
        <v>4.2</v>
      </c>
      <c r="D811">
        <v>78.400000000000006</v>
      </c>
      <c r="E811">
        <v>4.5</v>
      </c>
      <c r="F811" t="s">
        <v>18</v>
      </c>
      <c r="G811" t="s">
        <v>15</v>
      </c>
      <c r="H811" t="s">
        <v>15</v>
      </c>
      <c r="I811" t="s">
        <v>15</v>
      </c>
      <c r="J811">
        <v>84.5</v>
      </c>
      <c r="K811">
        <v>82.5</v>
      </c>
      <c r="L811" t="s">
        <v>20</v>
      </c>
    </row>
    <row r="812" spans="1:12" x14ac:dyDescent="0.35">
      <c r="A812">
        <v>811</v>
      </c>
      <c r="B812" t="s">
        <v>12</v>
      </c>
      <c r="C812">
        <v>3.5</v>
      </c>
      <c r="D812">
        <v>89.3</v>
      </c>
      <c r="E812">
        <v>7.7</v>
      </c>
      <c r="F812" t="s">
        <v>13</v>
      </c>
      <c r="G812" t="s">
        <v>14</v>
      </c>
      <c r="H812" t="s">
        <v>14</v>
      </c>
      <c r="I812" t="s">
        <v>15</v>
      </c>
      <c r="J812">
        <v>62.8</v>
      </c>
      <c r="K812">
        <v>85.9</v>
      </c>
      <c r="L812" t="s">
        <v>20</v>
      </c>
    </row>
    <row r="813" spans="1:12" x14ac:dyDescent="0.35">
      <c r="A813">
        <v>812</v>
      </c>
      <c r="B813" t="s">
        <v>12</v>
      </c>
      <c r="C813">
        <v>4.3</v>
      </c>
      <c r="D813">
        <v>85.2</v>
      </c>
      <c r="E813">
        <v>4.5</v>
      </c>
      <c r="F813" t="s">
        <v>13</v>
      </c>
      <c r="G813" t="s">
        <v>14</v>
      </c>
      <c r="H813" t="s">
        <v>14</v>
      </c>
      <c r="I813" t="s">
        <v>15</v>
      </c>
      <c r="J813">
        <v>74.900000000000006</v>
      </c>
      <c r="K813">
        <v>88.4</v>
      </c>
      <c r="L813" t="s">
        <v>20</v>
      </c>
    </row>
    <row r="814" spans="1:12" x14ac:dyDescent="0.35">
      <c r="A814">
        <v>813</v>
      </c>
      <c r="B814" t="s">
        <v>12</v>
      </c>
      <c r="C814">
        <v>3.8</v>
      </c>
      <c r="D814">
        <v>78.599999999999994</v>
      </c>
      <c r="E814">
        <v>6.4</v>
      </c>
      <c r="F814" t="s">
        <v>13</v>
      </c>
      <c r="G814" t="s">
        <v>14</v>
      </c>
      <c r="H814" t="s">
        <v>15</v>
      </c>
      <c r="I814" t="s">
        <v>15</v>
      </c>
      <c r="J814">
        <v>80.2</v>
      </c>
      <c r="K814">
        <v>100</v>
      </c>
      <c r="L814" t="s">
        <v>16</v>
      </c>
    </row>
    <row r="815" spans="1:12" x14ac:dyDescent="0.35">
      <c r="A815">
        <v>814</v>
      </c>
      <c r="B815" t="s">
        <v>17</v>
      </c>
      <c r="C815">
        <v>5.5</v>
      </c>
      <c r="D815">
        <v>89.9</v>
      </c>
      <c r="E815">
        <v>7.3</v>
      </c>
      <c r="F815" t="s">
        <v>18</v>
      </c>
      <c r="G815" t="s">
        <v>15</v>
      </c>
      <c r="H815" t="s">
        <v>15</v>
      </c>
      <c r="I815" t="s">
        <v>14</v>
      </c>
      <c r="J815">
        <v>59.1</v>
      </c>
      <c r="K815">
        <v>75.599999999999994</v>
      </c>
      <c r="L815" t="s">
        <v>22</v>
      </c>
    </row>
    <row r="816" spans="1:12" x14ac:dyDescent="0.35">
      <c r="A816">
        <v>815</v>
      </c>
      <c r="B816" t="s">
        <v>17</v>
      </c>
      <c r="C816">
        <v>3.7</v>
      </c>
      <c r="D816">
        <v>100</v>
      </c>
      <c r="E816">
        <v>7</v>
      </c>
      <c r="F816" t="s">
        <v>18</v>
      </c>
      <c r="G816" t="s">
        <v>14</v>
      </c>
      <c r="H816" t="s">
        <v>14</v>
      </c>
      <c r="I816" t="s">
        <v>15</v>
      </c>
      <c r="J816">
        <v>64.599999999999994</v>
      </c>
      <c r="K816">
        <v>78</v>
      </c>
      <c r="L816" t="s">
        <v>22</v>
      </c>
    </row>
    <row r="817" spans="1:12" x14ac:dyDescent="0.35">
      <c r="A817">
        <v>816</v>
      </c>
      <c r="B817" t="s">
        <v>12</v>
      </c>
      <c r="C817">
        <v>2.9</v>
      </c>
      <c r="D817">
        <v>83.1</v>
      </c>
      <c r="E817">
        <v>7.3</v>
      </c>
      <c r="F817" t="s">
        <v>18</v>
      </c>
      <c r="G817" t="s">
        <v>14</v>
      </c>
      <c r="H817" t="s">
        <v>14</v>
      </c>
      <c r="I817" t="s">
        <v>15</v>
      </c>
      <c r="J817">
        <v>57.8</v>
      </c>
      <c r="K817">
        <v>80</v>
      </c>
      <c r="L817" t="s">
        <v>20</v>
      </c>
    </row>
    <row r="818" spans="1:12" x14ac:dyDescent="0.35">
      <c r="A818">
        <v>817</v>
      </c>
      <c r="B818" t="s">
        <v>12</v>
      </c>
      <c r="C818">
        <v>3.7</v>
      </c>
      <c r="D818">
        <v>92.2</v>
      </c>
      <c r="E818">
        <v>7.1</v>
      </c>
      <c r="F818" t="s">
        <v>13</v>
      </c>
      <c r="G818" t="s">
        <v>14</v>
      </c>
      <c r="H818" t="s">
        <v>14</v>
      </c>
      <c r="I818" t="s">
        <v>14</v>
      </c>
      <c r="J818">
        <v>60.1</v>
      </c>
      <c r="K818">
        <v>80.2</v>
      </c>
      <c r="L818" t="s">
        <v>20</v>
      </c>
    </row>
    <row r="819" spans="1:12" x14ac:dyDescent="0.35">
      <c r="A819">
        <v>818</v>
      </c>
      <c r="B819" t="s">
        <v>12</v>
      </c>
      <c r="C819">
        <v>4.3</v>
      </c>
      <c r="D819">
        <v>72.099999999999994</v>
      </c>
      <c r="E819">
        <v>8.3000000000000007</v>
      </c>
      <c r="F819" t="s">
        <v>18</v>
      </c>
      <c r="G819" t="s">
        <v>14</v>
      </c>
      <c r="H819" t="s">
        <v>14</v>
      </c>
      <c r="I819" t="s">
        <v>15</v>
      </c>
      <c r="J819">
        <v>54.5</v>
      </c>
      <c r="K819">
        <v>82.2</v>
      </c>
      <c r="L819" t="s">
        <v>20</v>
      </c>
    </row>
    <row r="820" spans="1:12" x14ac:dyDescent="0.35">
      <c r="A820">
        <v>819</v>
      </c>
      <c r="B820" t="s">
        <v>17</v>
      </c>
      <c r="C820">
        <v>3.6</v>
      </c>
      <c r="D820">
        <v>75.400000000000006</v>
      </c>
      <c r="E820">
        <v>5.7</v>
      </c>
      <c r="F820" t="s">
        <v>23</v>
      </c>
      <c r="G820" t="s">
        <v>14</v>
      </c>
      <c r="H820" t="s">
        <v>15</v>
      </c>
      <c r="I820" t="s">
        <v>15</v>
      </c>
      <c r="J820">
        <v>59.2</v>
      </c>
      <c r="K820">
        <v>79.599999999999994</v>
      </c>
      <c r="L820" t="s">
        <v>22</v>
      </c>
    </row>
    <row r="821" spans="1:12" x14ac:dyDescent="0.35">
      <c r="A821">
        <v>820</v>
      </c>
      <c r="B821" t="s">
        <v>12</v>
      </c>
      <c r="C821">
        <v>3.6</v>
      </c>
      <c r="D821">
        <v>89.7</v>
      </c>
      <c r="E821">
        <v>6</v>
      </c>
      <c r="F821" t="s">
        <v>19</v>
      </c>
      <c r="G821" t="s">
        <v>15</v>
      </c>
      <c r="H821" t="s">
        <v>14</v>
      </c>
      <c r="I821" t="s">
        <v>15</v>
      </c>
      <c r="J821">
        <v>87</v>
      </c>
      <c r="K821">
        <v>96.3</v>
      </c>
      <c r="L821" t="s">
        <v>16</v>
      </c>
    </row>
    <row r="822" spans="1:12" x14ac:dyDescent="0.35">
      <c r="A822">
        <v>821</v>
      </c>
      <c r="B822" t="s">
        <v>12</v>
      </c>
      <c r="C822">
        <v>2.4</v>
      </c>
      <c r="D822">
        <v>99.8</v>
      </c>
      <c r="E822">
        <v>5.9</v>
      </c>
      <c r="F822" t="s">
        <v>19</v>
      </c>
      <c r="G822" t="s">
        <v>15</v>
      </c>
      <c r="H822" t="s">
        <v>15</v>
      </c>
      <c r="I822" t="s">
        <v>15</v>
      </c>
      <c r="J822">
        <v>59</v>
      </c>
      <c r="K822">
        <v>65.400000000000006</v>
      </c>
      <c r="L822" t="s">
        <v>21</v>
      </c>
    </row>
    <row r="823" spans="1:12" x14ac:dyDescent="0.35">
      <c r="A823">
        <v>822</v>
      </c>
      <c r="B823" t="s">
        <v>17</v>
      </c>
      <c r="C823">
        <v>2.5</v>
      </c>
      <c r="D823">
        <v>88.6</v>
      </c>
      <c r="E823">
        <v>7.8</v>
      </c>
      <c r="F823" t="s">
        <v>24</v>
      </c>
      <c r="G823" t="s">
        <v>14</v>
      </c>
      <c r="H823" t="s">
        <v>15</v>
      </c>
      <c r="I823" t="s">
        <v>15</v>
      </c>
      <c r="J823">
        <v>71.5</v>
      </c>
      <c r="K823">
        <v>79.900000000000006</v>
      </c>
      <c r="L823" t="s">
        <v>22</v>
      </c>
    </row>
    <row r="824" spans="1:12" x14ac:dyDescent="0.35">
      <c r="A824">
        <v>823</v>
      </c>
      <c r="B824" t="s">
        <v>17</v>
      </c>
      <c r="C824">
        <v>1.4</v>
      </c>
      <c r="D824">
        <v>81.900000000000006</v>
      </c>
      <c r="E824">
        <v>7.9</v>
      </c>
      <c r="F824" t="s">
        <v>13</v>
      </c>
      <c r="G824" t="s">
        <v>15</v>
      </c>
      <c r="H824" t="s">
        <v>14</v>
      </c>
      <c r="I824" t="s">
        <v>15</v>
      </c>
      <c r="J824">
        <v>64</v>
      </c>
      <c r="K824">
        <v>71.599999999999994</v>
      </c>
      <c r="L824" t="s">
        <v>22</v>
      </c>
    </row>
    <row r="825" spans="1:12" x14ac:dyDescent="0.35">
      <c r="A825">
        <v>824</v>
      </c>
      <c r="B825" t="s">
        <v>12</v>
      </c>
      <c r="C825">
        <v>6.1</v>
      </c>
      <c r="D825">
        <v>85</v>
      </c>
      <c r="E825">
        <v>7.3</v>
      </c>
      <c r="F825" t="s">
        <v>23</v>
      </c>
      <c r="G825" t="s">
        <v>14</v>
      </c>
      <c r="H825" t="s">
        <v>14</v>
      </c>
      <c r="I825" t="s">
        <v>15</v>
      </c>
      <c r="J825">
        <v>84.1</v>
      </c>
      <c r="K825">
        <v>100</v>
      </c>
      <c r="L825" t="s">
        <v>16</v>
      </c>
    </row>
    <row r="826" spans="1:12" x14ac:dyDescent="0.35">
      <c r="A826">
        <v>825</v>
      </c>
      <c r="B826" t="s">
        <v>17</v>
      </c>
      <c r="C826">
        <v>1.6</v>
      </c>
      <c r="D826">
        <v>72.5</v>
      </c>
      <c r="E826">
        <v>8.1999999999999993</v>
      </c>
      <c r="F826" t="s">
        <v>18</v>
      </c>
      <c r="G826" t="s">
        <v>14</v>
      </c>
      <c r="H826" t="s">
        <v>14</v>
      </c>
      <c r="I826" t="s">
        <v>15</v>
      </c>
      <c r="J826">
        <v>85.7</v>
      </c>
      <c r="K826">
        <v>93.9</v>
      </c>
      <c r="L826" t="s">
        <v>16</v>
      </c>
    </row>
    <row r="827" spans="1:12" x14ac:dyDescent="0.35">
      <c r="A827">
        <v>826</v>
      </c>
      <c r="B827" t="s">
        <v>17</v>
      </c>
      <c r="C827">
        <v>2.5</v>
      </c>
      <c r="D827">
        <v>91</v>
      </c>
      <c r="E827">
        <v>5.4</v>
      </c>
      <c r="F827" t="s">
        <v>13</v>
      </c>
      <c r="G827" t="s">
        <v>14</v>
      </c>
      <c r="H827" t="s">
        <v>15</v>
      </c>
      <c r="I827" t="s">
        <v>14</v>
      </c>
      <c r="J827">
        <v>80.400000000000006</v>
      </c>
      <c r="K827">
        <v>87.5</v>
      </c>
      <c r="L827" t="s">
        <v>20</v>
      </c>
    </row>
    <row r="828" spans="1:12" x14ac:dyDescent="0.35">
      <c r="A828">
        <v>827</v>
      </c>
      <c r="B828" t="s">
        <v>12</v>
      </c>
      <c r="C828">
        <v>2.4</v>
      </c>
      <c r="D828">
        <v>93.8</v>
      </c>
      <c r="E828">
        <v>8.8000000000000007</v>
      </c>
      <c r="F828" t="s">
        <v>13</v>
      </c>
      <c r="G828" t="s">
        <v>14</v>
      </c>
      <c r="H828" t="s">
        <v>15</v>
      </c>
      <c r="I828" t="s">
        <v>15</v>
      </c>
      <c r="J828">
        <v>73.7</v>
      </c>
      <c r="K828">
        <v>86.3</v>
      </c>
      <c r="L828" t="s">
        <v>20</v>
      </c>
    </row>
    <row r="829" spans="1:12" x14ac:dyDescent="0.35">
      <c r="A829">
        <v>828</v>
      </c>
      <c r="B829" t="s">
        <v>17</v>
      </c>
      <c r="C829">
        <v>4.8</v>
      </c>
      <c r="D829">
        <v>80.5</v>
      </c>
      <c r="E829">
        <v>8.6</v>
      </c>
      <c r="F829" t="s">
        <v>13</v>
      </c>
      <c r="G829" t="s">
        <v>15</v>
      </c>
      <c r="H829" t="s">
        <v>14</v>
      </c>
      <c r="I829" t="s">
        <v>14</v>
      </c>
      <c r="J829">
        <v>67.2</v>
      </c>
      <c r="K829">
        <v>77.599999999999994</v>
      </c>
      <c r="L829" t="s">
        <v>22</v>
      </c>
    </row>
    <row r="830" spans="1:12" x14ac:dyDescent="0.35">
      <c r="A830">
        <v>829</v>
      </c>
      <c r="B830" t="s">
        <v>12</v>
      </c>
      <c r="C830">
        <v>3.1</v>
      </c>
      <c r="D830">
        <v>80.3</v>
      </c>
      <c r="E830">
        <v>7.7</v>
      </c>
      <c r="F830" t="s">
        <v>23</v>
      </c>
      <c r="G830" t="s">
        <v>14</v>
      </c>
      <c r="H830" t="s">
        <v>15</v>
      </c>
      <c r="I830" t="s">
        <v>14</v>
      </c>
      <c r="J830">
        <v>55.7</v>
      </c>
      <c r="K830">
        <v>70.2</v>
      </c>
      <c r="L830" t="s">
        <v>22</v>
      </c>
    </row>
    <row r="831" spans="1:12" x14ac:dyDescent="0.35">
      <c r="A831">
        <v>830</v>
      </c>
      <c r="B831" t="s">
        <v>17</v>
      </c>
      <c r="C831">
        <v>5.4</v>
      </c>
      <c r="D831">
        <v>87.7</v>
      </c>
      <c r="E831">
        <v>8.9</v>
      </c>
      <c r="F831" t="s">
        <v>18</v>
      </c>
      <c r="G831" t="s">
        <v>14</v>
      </c>
      <c r="H831" t="s">
        <v>15</v>
      </c>
      <c r="I831" t="s">
        <v>15</v>
      </c>
      <c r="J831">
        <v>93.3</v>
      </c>
      <c r="K831">
        <v>100</v>
      </c>
      <c r="L831" t="s">
        <v>16</v>
      </c>
    </row>
    <row r="832" spans="1:12" x14ac:dyDescent="0.35">
      <c r="A832">
        <v>831</v>
      </c>
      <c r="B832" t="s">
        <v>12</v>
      </c>
      <c r="C832">
        <v>2.5</v>
      </c>
      <c r="D832">
        <v>80.599999999999994</v>
      </c>
      <c r="E832">
        <v>4.8</v>
      </c>
      <c r="F832" t="s">
        <v>18</v>
      </c>
      <c r="G832" t="s">
        <v>14</v>
      </c>
      <c r="H832" t="s">
        <v>15</v>
      </c>
      <c r="I832" t="s">
        <v>14</v>
      </c>
      <c r="J832">
        <v>60.9</v>
      </c>
      <c r="K832">
        <v>73.5</v>
      </c>
      <c r="L832" t="s">
        <v>22</v>
      </c>
    </row>
    <row r="833" spans="1:12" x14ac:dyDescent="0.35">
      <c r="A833">
        <v>832</v>
      </c>
      <c r="B833" t="s">
        <v>12</v>
      </c>
      <c r="C833">
        <v>3.9</v>
      </c>
      <c r="D833">
        <v>84.3</v>
      </c>
      <c r="E833">
        <v>6.2</v>
      </c>
      <c r="F833" t="s">
        <v>19</v>
      </c>
      <c r="G833" t="s">
        <v>14</v>
      </c>
      <c r="H833" t="s">
        <v>14</v>
      </c>
      <c r="I833" t="s">
        <v>15</v>
      </c>
      <c r="J833">
        <v>78</v>
      </c>
      <c r="K833">
        <v>91.2</v>
      </c>
      <c r="L833" t="s">
        <v>16</v>
      </c>
    </row>
    <row r="834" spans="1:12" x14ac:dyDescent="0.35">
      <c r="A834">
        <v>833</v>
      </c>
      <c r="B834" t="s">
        <v>12</v>
      </c>
      <c r="C834">
        <v>2.2000000000000002</v>
      </c>
      <c r="D834">
        <v>100</v>
      </c>
      <c r="E834">
        <v>5.9</v>
      </c>
      <c r="F834" t="s">
        <v>18</v>
      </c>
      <c r="G834" t="s">
        <v>14</v>
      </c>
      <c r="H834" t="s">
        <v>14</v>
      </c>
      <c r="I834" t="s">
        <v>14</v>
      </c>
      <c r="J834">
        <v>82.7</v>
      </c>
      <c r="K834">
        <v>78.099999999999994</v>
      </c>
      <c r="L834" t="s">
        <v>22</v>
      </c>
    </row>
    <row r="835" spans="1:12" x14ac:dyDescent="0.35">
      <c r="A835">
        <v>834</v>
      </c>
      <c r="B835" t="s">
        <v>17</v>
      </c>
      <c r="C835">
        <v>6.7</v>
      </c>
      <c r="D835">
        <v>82.5</v>
      </c>
      <c r="E835">
        <v>7.7</v>
      </c>
      <c r="F835" t="s">
        <v>13</v>
      </c>
      <c r="G835" t="s">
        <v>15</v>
      </c>
      <c r="H835" t="s">
        <v>15</v>
      </c>
      <c r="I835" t="s">
        <v>15</v>
      </c>
      <c r="J835">
        <v>63.3</v>
      </c>
      <c r="K835">
        <v>89</v>
      </c>
      <c r="L835" t="s">
        <v>20</v>
      </c>
    </row>
    <row r="836" spans="1:12" x14ac:dyDescent="0.35">
      <c r="A836">
        <v>835</v>
      </c>
      <c r="B836" t="s">
        <v>12</v>
      </c>
      <c r="C836">
        <v>1.7</v>
      </c>
      <c r="D836">
        <v>81.400000000000006</v>
      </c>
      <c r="E836">
        <v>5.5</v>
      </c>
      <c r="F836" t="s">
        <v>19</v>
      </c>
      <c r="G836" t="s">
        <v>14</v>
      </c>
      <c r="H836" t="s">
        <v>14</v>
      </c>
      <c r="I836" t="s">
        <v>14</v>
      </c>
      <c r="J836">
        <v>82.5</v>
      </c>
      <c r="K836">
        <v>82</v>
      </c>
      <c r="L836" t="s">
        <v>20</v>
      </c>
    </row>
    <row r="837" spans="1:12" x14ac:dyDescent="0.35">
      <c r="A837">
        <v>836</v>
      </c>
      <c r="B837" t="s">
        <v>17</v>
      </c>
      <c r="C837">
        <v>4</v>
      </c>
      <c r="D837">
        <v>78.5</v>
      </c>
      <c r="E837">
        <v>7.7</v>
      </c>
      <c r="F837" t="s">
        <v>13</v>
      </c>
      <c r="G837" t="s">
        <v>14</v>
      </c>
      <c r="H837" t="s">
        <v>14</v>
      </c>
      <c r="I837" t="s">
        <v>14</v>
      </c>
      <c r="J837">
        <v>79.2</v>
      </c>
      <c r="K837">
        <v>89.5</v>
      </c>
      <c r="L837" t="s">
        <v>20</v>
      </c>
    </row>
    <row r="838" spans="1:12" x14ac:dyDescent="0.35">
      <c r="A838">
        <v>837</v>
      </c>
      <c r="B838" t="s">
        <v>12</v>
      </c>
      <c r="C838">
        <v>4.5</v>
      </c>
      <c r="D838">
        <v>92.4</v>
      </c>
      <c r="E838">
        <v>8.4</v>
      </c>
      <c r="F838" t="s">
        <v>13</v>
      </c>
      <c r="G838" t="s">
        <v>14</v>
      </c>
      <c r="H838" t="s">
        <v>14</v>
      </c>
      <c r="I838" t="s">
        <v>14</v>
      </c>
      <c r="J838">
        <v>90.7</v>
      </c>
      <c r="K838">
        <v>100</v>
      </c>
      <c r="L838" t="s">
        <v>16</v>
      </c>
    </row>
    <row r="839" spans="1:12" x14ac:dyDescent="0.35">
      <c r="A839">
        <v>838</v>
      </c>
      <c r="B839" t="s">
        <v>12</v>
      </c>
      <c r="C839">
        <v>4.0999999999999996</v>
      </c>
      <c r="D839">
        <v>83.2</v>
      </c>
      <c r="E839">
        <v>7.6</v>
      </c>
      <c r="F839" t="s">
        <v>18</v>
      </c>
      <c r="G839" t="s">
        <v>14</v>
      </c>
      <c r="H839" t="s">
        <v>14</v>
      </c>
      <c r="I839" t="s">
        <v>15</v>
      </c>
      <c r="J839">
        <v>64.400000000000006</v>
      </c>
      <c r="K839">
        <v>88.7</v>
      </c>
      <c r="L839" t="s">
        <v>20</v>
      </c>
    </row>
    <row r="840" spans="1:12" x14ac:dyDescent="0.35">
      <c r="A840">
        <v>839</v>
      </c>
      <c r="B840" t="s">
        <v>17</v>
      </c>
      <c r="C840">
        <v>3.2</v>
      </c>
      <c r="D840">
        <v>78.5</v>
      </c>
      <c r="E840">
        <v>7.1</v>
      </c>
      <c r="F840" t="s">
        <v>18</v>
      </c>
      <c r="G840" t="s">
        <v>14</v>
      </c>
      <c r="H840" t="s">
        <v>14</v>
      </c>
      <c r="I840" t="s">
        <v>15</v>
      </c>
      <c r="J840">
        <v>54.6</v>
      </c>
      <c r="K840">
        <v>86</v>
      </c>
      <c r="L840" t="s">
        <v>20</v>
      </c>
    </row>
    <row r="841" spans="1:12" x14ac:dyDescent="0.35">
      <c r="A841">
        <v>840</v>
      </c>
      <c r="B841" t="s">
        <v>12</v>
      </c>
      <c r="C841">
        <v>3.3</v>
      </c>
      <c r="D841">
        <v>98.2</v>
      </c>
      <c r="E841">
        <v>5.6</v>
      </c>
      <c r="F841" t="s">
        <v>24</v>
      </c>
      <c r="G841" t="s">
        <v>14</v>
      </c>
      <c r="H841" t="s">
        <v>15</v>
      </c>
      <c r="I841" t="s">
        <v>14</v>
      </c>
      <c r="J841">
        <v>63.9</v>
      </c>
      <c r="K841">
        <v>82.9</v>
      </c>
      <c r="L841" t="s">
        <v>20</v>
      </c>
    </row>
    <row r="842" spans="1:12" x14ac:dyDescent="0.35">
      <c r="A842">
        <v>841</v>
      </c>
      <c r="B842" t="s">
        <v>12</v>
      </c>
      <c r="C842">
        <v>3.6</v>
      </c>
      <c r="D842">
        <v>99.2</v>
      </c>
      <c r="E842">
        <v>5.8</v>
      </c>
      <c r="F842" t="s">
        <v>13</v>
      </c>
      <c r="G842" t="s">
        <v>14</v>
      </c>
      <c r="H842" t="s">
        <v>14</v>
      </c>
      <c r="I842" t="s">
        <v>15</v>
      </c>
      <c r="J842">
        <v>72.5</v>
      </c>
      <c r="K842">
        <v>88.6</v>
      </c>
      <c r="L842" t="s">
        <v>20</v>
      </c>
    </row>
    <row r="843" spans="1:12" x14ac:dyDescent="0.35">
      <c r="A843">
        <v>842</v>
      </c>
      <c r="B843" t="s">
        <v>17</v>
      </c>
      <c r="C843">
        <v>3.3</v>
      </c>
      <c r="D843">
        <v>79</v>
      </c>
      <c r="E843">
        <v>8.3000000000000007</v>
      </c>
      <c r="F843" t="s">
        <v>13</v>
      </c>
      <c r="G843" t="s">
        <v>14</v>
      </c>
      <c r="H843" t="s">
        <v>14</v>
      </c>
      <c r="I843" t="s">
        <v>15</v>
      </c>
      <c r="J843">
        <v>70.7</v>
      </c>
      <c r="K843">
        <v>79.2</v>
      </c>
      <c r="L843" t="s">
        <v>22</v>
      </c>
    </row>
    <row r="844" spans="1:12" x14ac:dyDescent="0.35">
      <c r="A844">
        <v>843</v>
      </c>
      <c r="B844" t="s">
        <v>12</v>
      </c>
      <c r="C844">
        <v>4.9000000000000004</v>
      </c>
      <c r="D844">
        <v>66.3</v>
      </c>
      <c r="E844">
        <v>7.7</v>
      </c>
      <c r="F844" t="s">
        <v>18</v>
      </c>
      <c r="G844" t="s">
        <v>14</v>
      </c>
      <c r="H844" t="s">
        <v>15</v>
      </c>
      <c r="I844" t="s">
        <v>15</v>
      </c>
      <c r="J844">
        <v>65.3</v>
      </c>
      <c r="K844">
        <v>85.1</v>
      </c>
      <c r="L844" t="s">
        <v>20</v>
      </c>
    </row>
    <row r="845" spans="1:12" x14ac:dyDescent="0.35">
      <c r="A845">
        <v>844</v>
      </c>
      <c r="B845" t="s">
        <v>12</v>
      </c>
      <c r="C845">
        <v>6.8</v>
      </c>
      <c r="D845">
        <v>95.1</v>
      </c>
      <c r="E845">
        <v>6.8</v>
      </c>
      <c r="F845" t="s">
        <v>18</v>
      </c>
      <c r="G845" t="s">
        <v>14</v>
      </c>
      <c r="H845" t="s">
        <v>14</v>
      </c>
      <c r="I845" t="s">
        <v>15</v>
      </c>
      <c r="J845">
        <v>47.1</v>
      </c>
      <c r="K845">
        <v>80.2</v>
      </c>
      <c r="L845" t="s">
        <v>20</v>
      </c>
    </row>
    <row r="846" spans="1:12" x14ac:dyDescent="0.35">
      <c r="A846">
        <v>845</v>
      </c>
      <c r="B846" t="s">
        <v>12</v>
      </c>
      <c r="C846">
        <v>2.7</v>
      </c>
      <c r="D846">
        <v>78.2</v>
      </c>
      <c r="E846">
        <v>6.3</v>
      </c>
      <c r="F846" t="s">
        <v>19</v>
      </c>
      <c r="G846" t="s">
        <v>14</v>
      </c>
      <c r="H846" t="s">
        <v>14</v>
      </c>
      <c r="I846" t="s">
        <v>15</v>
      </c>
      <c r="J846">
        <v>75.599999999999994</v>
      </c>
      <c r="K846">
        <v>80.2</v>
      </c>
      <c r="L846" t="s">
        <v>20</v>
      </c>
    </row>
    <row r="847" spans="1:12" x14ac:dyDescent="0.35">
      <c r="A847">
        <v>846</v>
      </c>
      <c r="B847" t="s">
        <v>12</v>
      </c>
      <c r="C847">
        <v>1.4</v>
      </c>
      <c r="D847">
        <v>92.9</v>
      </c>
      <c r="E847">
        <v>4.4000000000000004</v>
      </c>
      <c r="F847" t="s">
        <v>13</v>
      </c>
      <c r="G847" t="s">
        <v>14</v>
      </c>
      <c r="H847" t="s">
        <v>15</v>
      </c>
      <c r="I847" t="s">
        <v>14</v>
      </c>
      <c r="J847">
        <v>93.7</v>
      </c>
      <c r="K847">
        <v>80.3</v>
      </c>
      <c r="L847" t="s">
        <v>20</v>
      </c>
    </row>
    <row r="848" spans="1:12" x14ac:dyDescent="0.35">
      <c r="A848">
        <v>847</v>
      </c>
      <c r="B848" t="s">
        <v>17</v>
      </c>
      <c r="C848">
        <v>3.4</v>
      </c>
      <c r="D848">
        <v>65.3</v>
      </c>
      <c r="E848">
        <v>5.5</v>
      </c>
      <c r="F848" t="s">
        <v>13</v>
      </c>
      <c r="G848" t="s">
        <v>14</v>
      </c>
      <c r="H848" t="s">
        <v>15</v>
      </c>
      <c r="I848" t="s">
        <v>15</v>
      </c>
      <c r="J848">
        <v>75.599999999999994</v>
      </c>
      <c r="K848">
        <v>69.8</v>
      </c>
      <c r="L848" t="s">
        <v>21</v>
      </c>
    </row>
    <row r="849" spans="1:12" x14ac:dyDescent="0.35">
      <c r="A849">
        <v>848</v>
      </c>
      <c r="B849" t="s">
        <v>17</v>
      </c>
      <c r="C849">
        <v>7.4</v>
      </c>
      <c r="D849">
        <v>93.9</v>
      </c>
      <c r="E849">
        <v>9.1</v>
      </c>
      <c r="F849" t="s">
        <v>18</v>
      </c>
      <c r="G849" t="s">
        <v>15</v>
      </c>
      <c r="H849" t="s">
        <v>15</v>
      </c>
      <c r="I849" t="s">
        <v>15</v>
      </c>
      <c r="J849">
        <v>77.3</v>
      </c>
      <c r="K849">
        <v>100</v>
      </c>
      <c r="L849" t="s">
        <v>16</v>
      </c>
    </row>
    <row r="850" spans="1:12" x14ac:dyDescent="0.35">
      <c r="A850">
        <v>849</v>
      </c>
      <c r="B850" t="s">
        <v>12</v>
      </c>
      <c r="C850">
        <v>2.2999999999999998</v>
      </c>
      <c r="D850">
        <v>72.900000000000006</v>
      </c>
      <c r="E850">
        <v>5.3</v>
      </c>
      <c r="F850" t="s">
        <v>23</v>
      </c>
      <c r="G850" t="s">
        <v>14</v>
      </c>
      <c r="H850" t="s">
        <v>15</v>
      </c>
      <c r="I850" t="s">
        <v>15</v>
      </c>
      <c r="J850">
        <v>76.900000000000006</v>
      </c>
      <c r="K850">
        <v>80.8</v>
      </c>
      <c r="L850" t="s">
        <v>20</v>
      </c>
    </row>
    <row r="851" spans="1:12" x14ac:dyDescent="0.35">
      <c r="A851">
        <v>850</v>
      </c>
      <c r="B851" t="s">
        <v>17</v>
      </c>
      <c r="C851">
        <v>6</v>
      </c>
      <c r="D851">
        <v>92.3</v>
      </c>
      <c r="E851">
        <v>7</v>
      </c>
      <c r="F851" t="s">
        <v>19</v>
      </c>
      <c r="G851" t="s">
        <v>14</v>
      </c>
      <c r="H851" t="s">
        <v>14</v>
      </c>
      <c r="I851" t="s">
        <v>14</v>
      </c>
      <c r="J851">
        <v>74.8</v>
      </c>
      <c r="K851">
        <v>100</v>
      </c>
      <c r="L851" t="s">
        <v>16</v>
      </c>
    </row>
    <row r="852" spans="1:12" x14ac:dyDescent="0.35">
      <c r="A852">
        <v>851</v>
      </c>
      <c r="B852" t="s">
        <v>12</v>
      </c>
      <c r="C852">
        <v>6</v>
      </c>
      <c r="D852">
        <v>85.1</v>
      </c>
      <c r="E852">
        <v>8</v>
      </c>
      <c r="F852" t="s">
        <v>13</v>
      </c>
      <c r="G852" t="s">
        <v>14</v>
      </c>
      <c r="H852" t="s">
        <v>15</v>
      </c>
      <c r="I852" t="s">
        <v>14</v>
      </c>
      <c r="J852">
        <v>81.2</v>
      </c>
      <c r="K852">
        <v>99.5</v>
      </c>
      <c r="L852" t="s">
        <v>16</v>
      </c>
    </row>
    <row r="853" spans="1:12" x14ac:dyDescent="0.35">
      <c r="A853">
        <v>852</v>
      </c>
      <c r="B853" t="s">
        <v>17</v>
      </c>
      <c r="C853">
        <v>2.7</v>
      </c>
      <c r="D853">
        <v>75.5</v>
      </c>
      <c r="E853">
        <v>5.3</v>
      </c>
      <c r="F853" t="s">
        <v>18</v>
      </c>
      <c r="G853" t="s">
        <v>14</v>
      </c>
      <c r="H853" t="s">
        <v>14</v>
      </c>
      <c r="I853" t="s">
        <v>15</v>
      </c>
      <c r="J853">
        <v>74.7</v>
      </c>
      <c r="K853">
        <v>80.7</v>
      </c>
      <c r="L853" t="s">
        <v>20</v>
      </c>
    </row>
    <row r="854" spans="1:12" x14ac:dyDescent="0.35">
      <c r="A854">
        <v>853</v>
      </c>
      <c r="B854" t="s">
        <v>12</v>
      </c>
      <c r="C854">
        <v>4.4000000000000004</v>
      </c>
      <c r="D854">
        <v>80.900000000000006</v>
      </c>
      <c r="E854">
        <v>7</v>
      </c>
      <c r="F854" t="s">
        <v>13</v>
      </c>
      <c r="G854" t="s">
        <v>14</v>
      </c>
      <c r="H854" t="s">
        <v>15</v>
      </c>
      <c r="I854" t="s">
        <v>15</v>
      </c>
      <c r="J854">
        <v>66.2</v>
      </c>
      <c r="K854">
        <v>86.6</v>
      </c>
      <c r="L854" t="s">
        <v>20</v>
      </c>
    </row>
    <row r="855" spans="1:12" x14ac:dyDescent="0.35">
      <c r="A855">
        <v>854</v>
      </c>
      <c r="B855" t="s">
        <v>12</v>
      </c>
      <c r="C855">
        <v>5.9</v>
      </c>
      <c r="D855">
        <v>91.9</v>
      </c>
      <c r="E855">
        <v>7.9</v>
      </c>
      <c r="F855" t="s">
        <v>23</v>
      </c>
      <c r="G855" t="s">
        <v>15</v>
      </c>
      <c r="H855" t="s">
        <v>14</v>
      </c>
      <c r="I855" t="s">
        <v>15</v>
      </c>
      <c r="J855">
        <v>60.4</v>
      </c>
      <c r="K855">
        <v>98.8</v>
      </c>
      <c r="L855" t="s">
        <v>16</v>
      </c>
    </row>
    <row r="856" spans="1:12" x14ac:dyDescent="0.35">
      <c r="A856">
        <v>855</v>
      </c>
      <c r="B856" t="s">
        <v>12</v>
      </c>
      <c r="C856">
        <v>2.9</v>
      </c>
      <c r="D856">
        <v>86.1</v>
      </c>
      <c r="E856">
        <v>6.8</v>
      </c>
      <c r="F856" t="s">
        <v>13</v>
      </c>
      <c r="G856" t="s">
        <v>14</v>
      </c>
      <c r="H856" t="s">
        <v>15</v>
      </c>
      <c r="I856" t="s">
        <v>15</v>
      </c>
      <c r="J856">
        <v>67</v>
      </c>
      <c r="K856">
        <v>81.900000000000006</v>
      </c>
      <c r="L856" t="s">
        <v>20</v>
      </c>
    </row>
    <row r="857" spans="1:12" x14ac:dyDescent="0.35">
      <c r="A857">
        <v>856</v>
      </c>
      <c r="B857" t="s">
        <v>12</v>
      </c>
      <c r="C857">
        <v>3.2</v>
      </c>
      <c r="D857">
        <v>90.8</v>
      </c>
      <c r="E857">
        <v>10</v>
      </c>
      <c r="F857" t="s">
        <v>24</v>
      </c>
      <c r="G857" t="s">
        <v>14</v>
      </c>
      <c r="H857" t="s">
        <v>15</v>
      </c>
      <c r="I857" t="s">
        <v>14</v>
      </c>
      <c r="J857">
        <v>73.8</v>
      </c>
      <c r="K857">
        <v>79</v>
      </c>
      <c r="L857" t="s">
        <v>22</v>
      </c>
    </row>
    <row r="858" spans="1:12" x14ac:dyDescent="0.35">
      <c r="A858">
        <v>857</v>
      </c>
      <c r="B858" t="s">
        <v>12</v>
      </c>
      <c r="C858">
        <v>2.6</v>
      </c>
      <c r="D858">
        <v>100</v>
      </c>
      <c r="E858">
        <v>4.8</v>
      </c>
      <c r="F858" t="s">
        <v>13</v>
      </c>
      <c r="G858" t="s">
        <v>14</v>
      </c>
      <c r="H858" t="s">
        <v>15</v>
      </c>
      <c r="I858" t="s">
        <v>15</v>
      </c>
      <c r="J858">
        <v>66.2</v>
      </c>
      <c r="K858">
        <v>91.7</v>
      </c>
      <c r="L858" t="s">
        <v>16</v>
      </c>
    </row>
    <row r="859" spans="1:12" x14ac:dyDescent="0.35">
      <c r="A859">
        <v>858</v>
      </c>
      <c r="B859" t="s">
        <v>12</v>
      </c>
      <c r="C859">
        <v>2</v>
      </c>
      <c r="D859">
        <v>69.400000000000006</v>
      </c>
      <c r="E859">
        <v>8.1</v>
      </c>
      <c r="F859" t="s">
        <v>24</v>
      </c>
      <c r="G859" t="s">
        <v>14</v>
      </c>
      <c r="H859" t="s">
        <v>14</v>
      </c>
      <c r="I859" t="s">
        <v>15</v>
      </c>
      <c r="J859">
        <v>73.8</v>
      </c>
      <c r="K859">
        <v>78.8</v>
      </c>
      <c r="L859" t="s">
        <v>22</v>
      </c>
    </row>
    <row r="860" spans="1:12" x14ac:dyDescent="0.35">
      <c r="A860">
        <v>859</v>
      </c>
      <c r="B860" t="s">
        <v>17</v>
      </c>
      <c r="C860">
        <v>2.5</v>
      </c>
      <c r="D860">
        <v>100</v>
      </c>
      <c r="E860">
        <v>6.6</v>
      </c>
      <c r="F860" t="s">
        <v>13</v>
      </c>
      <c r="G860" t="s">
        <v>14</v>
      </c>
      <c r="H860" t="s">
        <v>14</v>
      </c>
      <c r="I860" t="s">
        <v>15</v>
      </c>
      <c r="J860">
        <v>75.3</v>
      </c>
      <c r="K860">
        <v>84.8</v>
      </c>
      <c r="L860" t="s">
        <v>20</v>
      </c>
    </row>
    <row r="861" spans="1:12" x14ac:dyDescent="0.35">
      <c r="A861">
        <v>860</v>
      </c>
      <c r="B861" t="s">
        <v>12</v>
      </c>
      <c r="C861">
        <v>1.7</v>
      </c>
      <c r="D861">
        <v>86</v>
      </c>
      <c r="E861">
        <v>7.7</v>
      </c>
      <c r="F861" t="s">
        <v>18</v>
      </c>
      <c r="G861" t="s">
        <v>15</v>
      </c>
      <c r="H861" t="s">
        <v>15</v>
      </c>
      <c r="I861" t="s">
        <v>14</v>
      </c>
      <c r="J861">
        <v>80</v>
      </c>
      <c r="K861">
        <v>66.5</v>
      </c>
      <c r="L861" t="s">
        <v>21</v>
      </c>
    </row>
    <row r="862" spans="1:12" x14ac:dyDescent="0.35">
      <c r="A862">
        <v>861</v>
      </c>
      <c r="B862" t="s">
        <v>17</v>
      </c>
      <c r="C862">
        <v>3.6</v>
      </c>
      <c r="D862">
        <v>76</v>
      </c>
      <c r="E862">
        <v>7.3</v>
      </c>
      <c r="F862" t="s">
        <v>18</v>
      </c>
      <c r="G862" t="s">
        <v>14</v>
      </c>
      <c r="H862" t="s">
        <v>15</v>
      </c>
      <c r="I862" t="s">
        <v>15</v>
      </c>
      <c r="J862">
        <v>85.4</v>
      </c>
      <c r="K862">
        <v>91.1</v>
      </c>
      <c r="L862" t="s">
        <v>16</v>
      </c>
    </row>
    <row r="863" spans="1:12" x14ac:dyDescent="0.35">
      <c r="A863">
        <v>862</v>
      </c>
      <c r="B863" t="s">
        <v>12</v>
      </c>
      <c r="C863">
        <v>2.2999999999999998</v>
      </c>
      <c r="D863">
        <v>71.7</v>
      </c>
      <c r="E863">
        <v>5.9</v>
      </c>
      <c r="F863" t="s">
        <v>18</v>
      </c>
      <c r="G863" t="s">
        <v>14</v>
      </c>
      <c r="H863" t="s">
        <v>14</v>
      </c>
      <c r="I863" t="s">
        <v>15</v>
      </c>
      <c r="J863">
        <v>70.900000000000006</v>
      </c>
      <c r="K863">
        <v>74.2</v>
      </c>
      <c r="L863" t="s">
        <v>22</v>
      </c>
    </row>
    <row r="864" spans="1:12" x14ac:dyDescent="0.35">
      <c r="A864">
        <v>863</v>
      </c>
      <c r="B864" t="s">
        <v>17</v>
      </c>
      <c r="C864">
        <v>3.9</v>
      </c>
      <c r="D864">
        <v>83.1</v>
      </c>
      <c r="E864">
        <v>7.1</v>
      </c>
      <c r="F864" t="s">
        <v>19</v>
      </c>
      <c r="G864" t="s">
        <v>14</v>
      </c>
      <c r="H864" t="s">
        <v>15</v>
      </c>
      <c r="I864" t="s">
        <v>14</v>
      </c>
      <c r="J864">
        <v>54.3</v>
      </c>
      <c r="K864">
        <v>86.3</v>
      </c>
      <c r="L864" t="s">
        <v>20</v>
      </c>
    </row>
    <row r="865" spans="1:12" x14ac:dyDescent="0.35">
      <c r="A865">
        <v>864</v>
      </c>
      <c r="B865" t="s">
        <v>17</v>
      </c>
      <c r="C865">
        <v>1.2</v>
      </c>
      <c r="D865">
        <v>94.2</v>
      </c>
      <c r="E865">
        <v>4.5999999999999996</v>
      </c>
      <c r="F865" t="s">
        <v>23</v>
      </c>
      <c r="G865" t="s">
        <v>14</v>
      </c>
      <c r="H865" t="s">
        <v>15</v>
      </c>
      <c r="I865" t="s">
        <v>15</v>
      </c>
      <c r="J865">
        <v>65.900000000000006</v>
      </c>
      <c r="K865">
        <v>71.2</v>
      </c>
      <c r="L865" t="s">
        <v>22</v>
      </c>
    </row>
    <row r="866" spans="1:12" x14ac:dyDescent="0.35">
      <c r="A866">
        <v>865</v>
      </c>
      <c r="B866" t="s">
        <v>17</v>
      </c>
      <c r="C866">
        <v>4</v>
      </c>
      <c r="D866">
        <v>83.7</v>
      </c>
      <c r="E866">
        <v>7.5</v>
      </c>
      <c r="F866" t="s">
        <v>23</v>
      </c>
      <c r="G866" t="s">
        <v>14</v>
      </c>
      <c r="H866" t="s">
        <v>14</v>
      </c>
      <c r="I866" t="s">
        <v>15</v>
      </c>
      <c r="J866">
        <v>70.5</v>
      </c>
      <c r="K866">
        <v>83.5</v>
      </c>
      <c r="L866" t="s">
        <v>20</v>
      </c>
    </row>
    <row r="867" spans="1:12" x14ac:dyDescent="0.35">
      <c r="A867">
        <v>866</v>
      </c>
      <c r="B867" t="s">
        <v>12</v>
      </c>
      <c r="C867">
        <v>4.8</v>
      </c>
      <c r="D867">
        <v>100</v>
      </c>
      <c r="E867">
        <v>7.2</v>
      </c>
      <c r="F867" t="s">
        <v>18</v>
      </c>
      <c r="G867" t="s">
        <v>14</v>
      </c>
      <c r="H867" t="s">
        <v>15</v>
      </c>
      <c r="I867" t="s">
        <v>14</v>
      </c>
      <c r="J867">
        <v>48</v>
      </c>
      <c r="K867">
        <v>89.8</v>
      </c>
      <c r="L867" t="s">
        <v>20</v>
      </c>
    </row>
    <row r="868" spans="1:12" x14ac:dyDescent="0.35">
      <c r="A868">
        <v>867</v>
      </c>
      <c r="B868" t="s">
        <v>12</v>
      </c>
      <c r="C868">
        <v>0.5</v>
      </c>
      <c r="D868">
        <v>70.5</v>
      </c>
      <c r="E868">
        <v>7.6</v>
      </c>
      <c r="F868" t="s">
        <v>18</v>
      </c>
      <c r="G868" t="s">
        <v>14</v>
      </c>
      <c r="H868" t="s">
        <v>14</v>
      </c>
      <c r="I868" t="s">
        <v>15</v>
      </c>
      <c r="J868">
        <v>86.7</v>
      </c>
      <c r="K868">
        <v>80.3</v>
      </c>
      <c r="L868" t="s">
        <v>20</v>
      </c>
    </row>
    <row r="869" spans="1:12" x14ac:dyDescent="0.35">
      <c r="A869">
        <v>868</v>
      </c>
      <c r="B869" t="s">
        <v>17</v>
      </c>
      <c r="C869">
        <v>4.0999999999999996</v>
      </c>
      <c r="D869">
        <v>84.9</v>
      </c>
      <c r="E869">
        <v>8.1</v>
      </c>
      <c r="F869" t="s">
        <v>23</v>
      </c>
      <c r="G869" t="s">
        <v>14</v>
      </c>
      <c r="H869" t="s">
        <v>14</v>
      </c>
      <c r="I869" t="s">
        <v>15</v>
      </c>
      <c r="J869">
        <v>71.7</v>
      </c>
      <c r="K869">
        <v>91.6</v>
      </c>
      <c r="L869" t="s">
        <v>16</v>
      </c>
    </row>
    <row r="870" spans="1:12" x14ac:dyDescent="0.35">
      <c r="A870">
        <v>869</v>
      </c>
      <c r="B870" t="s">
        <v>12</v>
      </c>
      <c r="C870">
        <v>5.3</v>
      </c>
      <c r="D870">
        <v>72.5</v>
      </c>
      <c r="E870">
        <v>7.2</v>
      </c>
      <c r="F870" t="s">
        <v>13</v>
      </c>
      <c r="G870" t="s">
        <v>14</v>
      </c>
      <c r="H870" t="s">
        <v>14</v>
      </c>
      <c r="I870" t="s">
        <v>15</v>
      </c>
      <c r="J870">
        <v>74.599999999999994</v>
      </c>
      <c r="K870">
        <v>95.8</v>
      </c>
      <c r="L870" t="s">
        <v>16</v>
      </c>
    </row>
    <row r="871" spans="1:12" x14ac:dyDescent="0.35">
      <c r="A871">
        <v>870</v>
      </c>
      <c r="B871" t="s">
        <v>17</v>
      </c>
      <c r="C871">
        <v>1.7</v>
      </c>
      <c r="D871">
        <v>88.6</v>
      </c>
      <c r="E871">
        <v>7</v>
      </c>
      <c r="F871" t="s">
        <v>18</v>
      </c>
      <c r="G871" t="s">
        <v>14</v>
      </c>
      <c r="H871" t="s">
        <v>15</v>
      </c>
      <c r="I871" t="s">
        <v>15</v>
      </c>
      <c r="J871">
        <v>86.4</v>
      </c>
      <c r="K871">
        <v>84.4</v>
      </c>
      <c r="L871" t="s">
        <v>20</v>
      </c>
    </row>
    <row r="872" spans="1:12" x14ac:dyDescent="0.35">
      <c r="A872">
        <v>871</v>
      </c>
      <c r="B872" t="s">
        <v>12</v>
      </c>
      <c r="C872">
        <v>6</v>
      </c>
      <c r="D872">
        <v>93.9</v>
      </c>
      <c r="E872">
        <v>5.7</v>
      </c>
      <c r="F872" t="s">
        <v>13</v>
      </c>
      <c r="G872" t="s">
        <v>14</v>
      </c>
      <c r="H872" t="s">
        <v>15</v>
      </c>
      <c r="I872" t="s">
        <v>15</v>
      </c>
      <c r="J872">
        <v>62.4</v>
      </c>
      <c r="K872">
        <v>96.1</v>
      </c>
      <c r="L872" t="s">
        <v>16</v>
      </c>
    </row>
    <row r="873" spans="1:12" x14ac:dyDescent="0.35">
      <c r="A873">
        <v>872</v>
      </c>
      <c r="B873" t="s">
        <v>17</v>
      </c>
      <c r="C873">
        <v>4.0999999999999996</v>
      </c>
      <c r="D873">
        <v>80.8</v>
      </c>
      <c r="E873">
        <v>5.9</v>
      </c>
      <c r="F873" t="s">
        <v>18</v>
      </c>
      <c r="G873" t="s">
        <v>14</v>
      </c>
      <c r="H873" t="s">
        <v>14</v>
      </c>
      <c r="I873" t="s">
        <v>14</v>
      </c>
      <c r="J873">
        <v>76.900000000000006</v>
      </c>
      <c r="K873">
        <v>92.6</v>
      </c>
      <c r="L873" t="s">
        <v>16</v>
      </c>
    </row>
    <row r="874" spans="1:12" x14ac:dyDescent="0.35">
      <c r="A874">
        <v>873</v>
      </c>
      <c r="B874" t="s">
        <v>17</v>
      </c>
      <c r="C874">
        <v>2.4</v>
      </c>
      <c r="D874">
        <v>59</v>
      </c>
      <c r="E874">
        <v>8.1999999999999993</v>
      </c>
      <c r="F874" t="s">
        <v>18</v>
      </c>
      <c r="G874" t="s">
        <v>14</v>
      </c>
      <c r="H874" t="s">
        <v>15</v>
      </c>
      <c r="I874" t="s">
        <v>15</v>
      </c>
      <c r="J874">
        <v>68.7</v>
      </c>
      <c r="K874">
        <v>75.5</v>
      </c>
      <c r="L874" t="s">
        <v>22</v>
      </c>
    </row>
    <row r="875" spans="1:12" x14ac:dyDescent="0.35">
      <c r="A875">
        <v>874</v>
      </c>
      <c r="B875" t="s">
        <v>12</v>
      </c>
      <c r="C875">
        <v>3.4</v>
      </c>
      <c r="D875">
        <v>87</v>
      </c>
      <c r="E875">
        <v>8.5</v>
      </c>
      <c r="F875" t="s">
        <v>13</v>
      </c>
      <c r="G875" t="s">
        <v>14</v>
      </c>
      <c r="H875" t="s">
        <v>15</v>
      </c>
      <c r="I875" t="s">
        <v>15</v>
      </c>
      <c r="J875">
        <v>67.8</v>
      </c>
      <c r="K875">
        <v>85.1</v>
      </c>
      <c r="L875" t="s">
        <v>20</v>
      </c>
    </row>
    <row r="876" spans="1:12" x14ac:dyDescent="0.35">
      <c r="A876">
        <v>875</v>
      </c>
      <c r="B876" t="s">
        <v>17</v>
      </c>
      <c r="C876">
        <v>4.3</v>
      </c>
      <c r="D876">
        <v>89.4</v>
      </c>
      <c r="E876">
        <v>6.5</v>
      </c>
      <c r="F876" t="s">
        <v>18</v>
      </c>
      <c r="G876" t="s">
        <v>14</v>
      </c>
      <c r="H876" t="s">
        <v>15</v>
      </c>
      <c r="I876" t="s">
        <v>15</v>
      </c>
      <c r="J876">
        <v>60.7</v>
      </c>
      <c r="K876">
        <v>93.8</v>
      </c>
      <c r="L876" t="s">
        <v>16</v>
      </c>
    </row>
    <row r="877" spans="1:12" x14ac:dyDescent="0.35">
      <c r="A877">
        <v>876</v>
      </c>
      <c r="B877" t="s">
        <v>12</v>
      </c>
      <c r="C877">
        <v>3.6</v>
      </c>
      <c r="D877">
        <v>89</v>
      </c>
      <c r="E877">
        <v>6.9</v>
      </c>
      <c r="F877" t="s">
        <v>19</v>
      </c>
      <c r="G877" t="s">
        <v>14</v>
      </c>
      <c r="H877" t="s">
        <v>14</v>
      </c>
      <c r="I877" t="s">
        <v>15</v>
      </c>
      <c r="J877">
        <v>90</v>
      </c>
      <c r="K877">
        <v>81.400000000000006</v>
      </c>
      <c r="L877" t="s">
        <v>20</v>
      </c>
    </row>
    <row r="878" spans="1:12" x14ac:dyDescent="0.35">
      <c r="A878">
        <v>877</v>
      </c>
      <c r="B878" t="s">
        <v>17</v>
      </c>
      <c r="C878">
        <v>4.3</v>
      </c>
      <c r="D878">
        <v>97.4</v>
      </c>
      <c r="E878">
        <v>5.7</v>
      </c>
      <c r="F878" t="s">
        <v>18</v>
      </c>
      <c r="G878" t="s">
        <v>14</v>
      </c>
      <c r="H878" t="s">
        <v>15</v>
      </c>
      <c r="I878" t="s">
        <v>14</v>
      </c>
      <c r="J878">
        <v>65.5</v>
      </c>
      <c r="K878">
        <v>98.8</v>
      </c>
      <c r="L878" t="s">
        <v>16</v>
      </c>
    </row>
    <row r="879" spans="1:12" x14ac:dyDescent="0.35">
      <c r="A879">
        <v>878</v>
      </c>
      <c r="B879" t="s">
        <v>17</v>
      </c>
      <c r="C879">
        <v>2.1</v>
      </c>
      <c r="D879">
        <v>74.3</v>
      </c>
      <c r="E879">
        <v>8.1999999999999993</v>
      </c>
      <c r="F879" t="s">
        <v>18</v>
      </c>
      <c r="G879" t="s">
        <v>15</v>
      </c>
      <c r="H879" t="s">
        <v>14</v>
      </c>
      <c r="I879" t="s">
        <v>15</v>
      </c>
      <c r="J879">
        <v>78.400000000000006</v>
      </c>
      <c r="K879">
        <v>65.400000000000006</v>
      </c>
      <c r="L879" t="s">
        <v>21</v>
      </c>
    </row>
    <row r="880" spans="1:12" x14ac:dyDescent="0.35">
      <c r="A880">
        <v>879</v>
      </c>
      <c r="B880" t="s">
        <v>12</v>
      </c>
      <c r="C880">
        <v>3.8</v>
      </c>
      <c r="D880">
        <v>91.8</v>
      </c>
      <c r="E880">
        <v>7.6</v>
      </c>
      <c r="F880" t="s">
        <v>18</v>
      </c>
      <c r="G880" t="s">
        <v>14</v>
      </c>
      <c r="H880" t="s">
        <v>14</v>
      </c>
      <c r="I880" t="s">
        <v>15</v>
      </c>
      <c r="J880">
        <v>47.5</v>
      </c>
      <c r="K880">
        <v>77.599999999999994</v>
      </c>
      <c r="L880" t="s">
        <v>22</v>
      </c>
    </row>
    <row r="881" spans="1:12" x14ac:dyDescent="0.35">
      <c r="A881">
        <v>880</v>
      </c>
      <c r="B881" t="s">
        <v>12</v>
      </c>
      <c r="C881">
        <v>1.4</v>
      </c>
      <c r="D881">
        <v>96.9</v>
      </c>
      <c r="E881">
        <v>9.1</v>
      </c>
      <c r="F881" t="s">
        <v>23</v>
      </c>
      <c r="G881" t="s">
        <v>14</v>
      </c>
      <c r="H881" t="s">
        <v>14</v>
      </c>
      <c r="I881" t="s">
        <v>14</v>
      </c>
      <c r="J881">
        <v>84.2</v>
      </c>
      <c r="K881">
        <v>85.6</v>
      </c>
      <c r="L881" t="s">
        <v>20</v>
      </c>
    </row>
    <row r="882" spans="1:12" x14ac:dyDescent="0.35">
      <c r="A882">
        <v>881</v>
      </c>
      <c r="B882" t="s">
        <v>12</v>
      </c>
      <c r="C882">
        <v>3.3</v>
      </c>
      <c r="D882">
        <v>67.2</v>
      </c>
      <c r="E882">
        <v>5.7</v>
      </c>
      <c r="F882" t="s">
        <v>13</v>
      </c>
      <c r="G882" t="s">
        <v>14</v>
      </c>
      <c r="H882" t="s">
        <v>14</v>
      </c>
      <c r="I882" t="s">
        <v>15</v>
      </c>
      <c r="J882">
        <v>82.6</v>
      </c>
      <c r="K882">
        <v>81.400000000000006</v>
      </c>
      <c r="L882" t="s">
        <v>20</v>
      </c>
    </row>
    <row r="883" spans="1:12" x14ac:dyDescent="0.35">
      <c r="A883">
        <v>882</v>
      </c>
      <c r="B883" t="s">
        <v>17</v>
      </c>
      <c r="C883">
        <v>2.1</v>
      </c>
      <c r="D883">
        <v>88.2</v>
      </c>
      <c r="E883">
        <v>6.3</v>
      </c>
      <c r="F883" t="s">
        <v>13</v>
      </c>
      <c r="G883" t="s">
        <v>14</v>
      </c>
      <c r="H883" t="s">
        <v>15</v>
      </c>
      <c r="I883" t="s">
        <v>15</v>
      </c>
      <c r="J883">
        <v>71.2</v>
      </c>
      <c r="K883">
        <v>85.4</v>
      </c>
      <c r="L883" t="s">
        <v>20</v>
      </c>
    </row>
    <row r="884" spans="1:12" x14ac:dyDescent="0.35">
      <c r="A884">
        <v>883</v>
      </c>
      <c r="B884" t="s">
        <v>12</v>
      </c>
      <c r="C884">
        <v>2.4</v>
      </c>
      <c r="D884">
        <v>80</v>
      </c>
      <c r="E884">
        <v>7.1</v>
      </c>
      <c r="F884" t="s">
        <v>18</v>
      </c>
      <c r="G884" t="s">
        <v>14</v>
      </c>
      <c r="H884" t="s">
        <v>14</v>
      </c>
      <c r="I884" t="s">
        <v>15</v>
      </c>
      <c r="J884">
        <v>67.3</v>
      </c>
      <c r="K884">
        <v>71.900000000000006</v>
      </c>
      <c r="L884" t="s">
        <v>22</v>
      </c>
    </row>
    <row r="885" spans="1:12" x14ac:dyDescent="0.35">
      <c r="A885">
        <v>884</v>
      </c>
      <c r="B885" t="s">
        <v>17</v>
      </c>
      <c r="C885">
        <v>5.4</v>
      </c>
      <c r="D885">
        <v>84.2</v>
      </c>
      <c r="E885">
        <v>7.6</v>
      </c>
      <c r="F885" t="s">
        <v>18</v>
      </c>
      <c r="G885" t="s">
        <v>14</v>
      </c>
      <c r="H885" t="s">
        <v>15</v>
      </c>
      <c r="I885" t="s">
        <v>14</v>
      </c>
      <c r="J885">
        <v>74.8</v>
      </c>
      <c r="K885">
        <v>94.4</v>
      </c>
      <c r="L885" t="s">
        <v>16</v>
      </c>
    </row>
    <row r="886" spans="1:12" x14ac:dyDescent="0.35">
      <c r="A886">
        <v>885</v>
      </c>
      <c r="B886" t="s">
        <v>17</v>
      </c>
      <c r="C886">
        <v>5.0999999999999996</v>
      </c>
      <c r="D886">
        <v>88.5</v>
      </c>
      <c r="E886">
        <v>6.5</v>
      </c>
      <c r="F886" t="s">
        <v>13</v>
      </c>
      <c r="G886" t="s">
        <v>14</v>
      </c>
      <c r="H886" t="s">
        <v>14</v>
      </c>
      <c r="I886" t="s">
        <v>15</v>
      </c>
      <c r="J886">
        <v>97.5</v>
      </c>
      <c r="K886">
        <v>100</v>
      </c>
      <c r="L886" t="s">
        <v>16</v>
      </c>
    </row>
    <row r="887" spans="1:12" x14ac:dyDescent="0.35">
      <c r="A887">
        <v>886</v>
      </c>
      <c r="B887" t="s">
        <v>12</v>
      </c>
      <c r="C887">
        <v>4.4000000000000004</v>
      </c>
      <c r="D887">
        <v>80.099999999999994</v>
      </c>
      <c r="E887">
        <v>5.8</v>
      </c>
      <c r="F887" t="s">
        <v>23</v>
      </c>
      <c r="G887" t="s">
        <v>14</v>
      </c>
      <c r="H887" t="s">
        <v>14</v>
      </c>
      <c r="I887" t="s">
        <v>14</v>
      </c>
      <c r="J887">
        <v>48.8</v>
      </c>
      <c r="K887">
        <v>77.099999999999994</v>
      </c>
      <c r="L887" t="s">
        <v>22</v>
      </c>
    </row>
    <row r="888" spans="1:12" x14ac:dyDescent="0.35">
      <c r="A888">
        <v>887</v>
      </c>
      <c r="B888" t="s">
        <v>12</v>
      </c>
      <c r="C888">
        <v>1.9</v>
      </c>
      <c r="D888">
        <v>78.2</v>
      </c>
      <c r="E888">
        <v>7.9</v>
      </c>
      <c r="F888" t="s">
        <v>24</v>
      </c>
      <c r="G888" t="s">
        <v>14</v>
      </c>
      <c r="H888" t="s">
        <v>15</v>
      </c>
      <c r="I888" t="s">
        <v>14</v>
      </c>
      <c r="J888">
        <v>79.400000000000006</v>
      </c>
      <c r="K888">
        <v>76.8</v>
      </c>
      <c r="L888" t="s">
        <v>22</v>
      </c>
    </row>
    <row r="889" spans="1:12" x14ac:dyDescent="0.35">
      <c r="A889">
        <v>888</v>
      </c>
      <c r="B889" t="s">
        <v>17</v>
      </c>
      <c r="C889">
        <v>3</v>
      </c>
      <c r="D889">
        <v>85.3</v>
      </c>
      <c r="E889">
        <v>7.7</v>
      </c>
      <c r="F889" t="s">
        <v>18</v>
      </c>
      <c r="G889" t="s">
        <v>14</v>
      </c>
      <c r="H889" t="s">
        <v>15</v>
      </c>
      <c r="I889" t="s">
        <v>15</v>
      </c>
      <c r="J889">
        <v>59.1</v>
      </c>
      <c r="K889">
        <v>79.8</v>
      </c>
      <c r="L889" t="s">
        <v>22</v>
      </c>
    </row>
    <row r="890" spans="1:12" x14ac:dyDescent="0.35">
      <c r="A890">
        <v>889</v>
      </c>
      <c r="B890" t="s">
        <v>17</v>
      </c>
      <c r="C890">
        <v>5.3</v>
      </c>
      <c r="D890">
        <v>74.099999999999994</v>
      </c>
      <c r="E890">
        <v>5.7</v>
      </c>
      <c r="F890" t="s">
        <v>13</v>
      </c>
      <c r="G890" t="s">
        <v>14</v>
      </c>
      <c r="H890" t="s">
        <v>14</v>
      </c>
      <c r="I890" t="s">
        <v>14</v>
      </c>
      <c r="J890">
        <v>69.8</v>
      </c>
      <c r="K890">
        <v>82.2</v>
      </c>
      <c r="L890" t="s">
        <v>20</v>
      </c>
    </row>
    <row r="891" spans="1:12" x14ac:dyDescent="0.35">
      <c r="A891">
        <v>890</v>
      </c>
      <c r="B891" t="s">
        <v>12</v>
      </c>
      <c r="C891">
        <v>3.7</v>
      </c>
      <c r="D891">
        <v>74.099999999999994</v>
      </c>
      <c r="E891">
        <v>8.4</v>
      </c>
      <c r="F891" t="s">
        <v>19</v>
      </c>
      <c r="G891" t="s">
        <v>14</v>
      </c>
      <c r="H891" t="s">
        <v>14</v>
      </c>
      <c r="I891" t="s">
        <v>14</v>
      </c>
      <c r="J891">
        <v>67</v>
      </c>
      <c r="K891">
        <v>77.400000000000006</v>
      </c>
      <c r="L891" t="s">
        <v>22</v>
      </c>
    </row>
    <row r="892" spans="1:12" x14ac:dyDescent="0.35">
      <c r="A892">
        <v>891</v>
      </c>
      <c r="B892" t="s">
        <v>12</v>
      </c>
      <c r="C892">
        <v>7</v>
      </c>
      <c r="D892">
        <v>91.8</v>
      </c>
      <c r="E892">
        <v>8.1999999999999993</v>
      </c>
      <c r="F892" t="s">
        <v>13</v>
      </c>
      <c r="G892" t="s">
        <v>14</v>
      </c>
      <c r="H892" t="s">
        <v>14</v>
      </c>
      <c r="I892" t="s">
        <v>14</v>
      </c>
      <c r="J892">
        <v>64.900000000000006</v>
      </c>
      <c r="K892">
        <v>100</v>
      </c>
      <c r="L892" t="s">
        <v>16</v>
      </c>
    </row>
    <row r="893" spans="1:12" x14ac:dyDescent="0.35">
      <c r="A893">
        <v>892</v>
      </c>
      <c r="B893" t="s">
        <v>12</v>
      </c>
      <c r="C893">
        <v>4.0999999999999996</v>
      </c>
      <c r="D893">
        <v>73.5</v>
      </c>
      <c r="E893">
        <v>7</v>
      </c>
      <c r="F893" t="s">
        <v>23</v>
      </c>
      <c r="G893" t="s">
        <v>14</v>
      </c>
      <c r="H893" t="s">
        <v>14</v>
      </c>
      <c r="I893" t="s">
        <v>14</v>
      </c>
      <c r="J893">
        <v>69.900000000000006</v>
      </c>
      <c r="K893">
        <v>87.2</v>
      </c>
      <c r="L893" t="s">
        <v>20</v>
      </c>
    </row>
    <row r="894" spans="1:12" x14ac:dyDescent="0.35">
      <c r="A894">
        <v>893</v>
      </c>
      <c r="B894" t="s">
        <v>12</v>
      </c>
      <c r="C894">
        <v>3.8</v>
      </c>
      <c r="D894">
        <v>91.7</v>
      </c>
      <c r="E894">
        <v>6.9</v>
      </c>
      <c r="F894" t="s">
        <v>18</v>
      </c>
      <c r="G894" t="s">
        <v>14</v>
      </c>
      <c r="H894" t="s">
        <v>15</v>
      </c>
      <c r="I894" t="s">
        <v>14</v>
      </c>
      <c r="J894">
        <v>56.4</v>
      </c>
      <c r="K894">
        <v>76.400000000000006</v>
      </c>
      <c r="L894" t="s">
        <v>22</v>
      </c>
    </row>
    <row r="895" spans="1:12" x14ac:dyDescent="0.35">
      <c r="A895">
        <v>894</v>
      </c>
      <c r="B895" t="s">
        <v>12</v>
      </c>
      <c r="C895">
        <v>3</v>
      </c>
      <c r="D895">
        <v>89.6</v>
      </c>
      <c r="E895">
        <v>7.5</v>
      </c>
      <c r="F895" t="s">
        <v>19</v>
      </c>
      <c r="G895" t="s">
        <v>15</v>
      </c>
      <c r="H895" t="s">
        <v>15</v>
      </c>
      <c r="I895" t="s">
        <v>15</v>
      </c>
      <c r="J895">
        <v>82.4</v>
      </c>
      <c r="K895">
        <v>79.599999999999994</v>
      </c>
      <c r="L895" t="s">
        <v>22</v>
      </c>
    </row>
    <row r="896" spans="1:12" x14ac:dyDescent="0.35">
      <c r="A896">
        <v>895</v>
      </c>
      <c r="B896" t="s">
        <v>17</v>
      </c>
      <c r="C896">
        <v>3.7</v>
      </c>
      <c r="D896">
        <v>67.7</v>
      </c>
      <c r="E896">
        <v>5.8</v>
      </c>
      <c r="F896" t="s">
        <v>23</v>
      </c>
      <c r="G896" t="s">
        <v>14</v>
      </c>
      <c r="H896" t="s">
        <v>14</v>
      </c>
      <c r="I896" t="s">
        <v>14</v>
      </c>
      <c r="J896">
        <v>48.5</v>
      </c>
      <c r="K896">
        <v>71.400000000000006</v>
      </c>
      <c r="L896" t="s">
        <v>22</v>
      </c>
    </row>
    <row r="897" spans="1:12" x14ac:dyDescent="0.35">
      <c r="A897">
        <v>896</v>
      </c>
      <c r="B897" t="s">
        <v>17</v>
      </c>
      <c r="C897">
        <v>3.3</v>
      </c>
      <c r="D897">
        <v>78.2</v>
      </c>
      <c r="E897">
        <v>6.8</v>
      </c>
      <c r="F897" t="s">
        <v>19</v>
      </c>
      <c r="G897" t="s">
        <v>14</v>
      </c>
      <c r="H897" t="s">
        <v>15</v>
      </c>
      <c r="I897" t="s">
        <v>14</v>
      </c>
      <c r="J897">
        <v>76.5</v>
      </c>
      <c r="K897">
        <v>80.8</v>
      </c>
      <c r="L897" t="s">
        <v>20</v>
      </c>
    </row>
    <row r="898" spans="1:12" x14ac:dyDescent="0.35">
      <c r="A898">
        <v>897</v>
      </c>
      <c r="B898" t="s">
        <v>17</v>
      </c>
      <c r="C898">
        <v>4.5999999999999996</v>
      </c>
      <c r="D898">
        <v>96.9</v>
      </c>
      <c r="E898">
        <v>4.2</v>
      </c>
      <c r="F898" t="s">
        <v>23</v>
      </c>
      <c r="G898" t="s">
        <v>14</v>
      </c>
      <c r="H898" t="s">
        <v>15</v>
      </c>
      <c r="I898" t="s">
        <v>14</v>
      </c>
      <c r="J898">
        <v>66.099999999999994</v>
      </c>
      <c r="K898">
        <v>91.1</v>
      </c>
      <c r="L898" t="s">
        <v>16</v>
      </c>
    </row>
    <row r="899" spans="1:12" x14ac:dyDescent="0.35">
      <c r="A899">
        <v>898</v>
      </c>
      <c r="B899" t="s">
        <v>17</v>
      </c>
      <c r="C899">
        <v>4.9000000000000004</v>
      </c>
      <c r="D899">
        <v>75.2</v>
      </c>
      <c r="E899">
        <v>7.9</v>
      </c>
      <c r="F899" t="s">
        <v>13</v>
      </c>
      <c r="G899" t="s">
        <v>14</v>
      </c>
      <c r="H899" t="s">
        <v>14</v>
      </c>
      <c r="I899" t="s">
        <v>15</v>
      </c>
      <c r="J899">
        <v>55.9</v>
      </c>
      <c r="K899">
        <v>78.8</v>
      </c>
      <c r="L899" t="s">
        <v>22</v>
      </c>
    </row>
    <row r="900" spans="1:12" x14ac:dyDescent="0.35">
      <c r="A900">
        <v>899</v>
      </c>
      <c r="B900" t="s">
        <v>12</v>
      </c>
      <c r="C900">
        <v>2.2999999999999998</v>
      </c>
      <c r="D900">
        <v>80.400000000000006</v>
      </c>
      <c r="E900">
        <v>4.9000000000000004</v>
      </c>
      <c r="F900" t="s">
        <v>19</v>
      </c>
      <c r="G900" t="s">
        <v>14</v>
      </c>
      <c r="H900" t="s">
        <v>14</v>
      </c>
      <c r="I900" t="s">
        <v>15</v>
      </c>
      <c r="J900">
        <v>72.400000000000006</v>
      </c>
      <c r="K900">
        <v>66.7</v>
      </c>
      <c r="L900" t="s">
        <v>21</v>
      </c>
    </row>
    <row r="901" spans="1:12" x14ac:dyDescent="0.35">
      <c r="A901">
        <v>900</v>
      </c>
      <c r="B901" t="s">
        <v>12</v>
      </c>
      <c r="C901">
        <v>1.5</v>
      </c>
      <c r="D901">
        <v>89.6</v>
      </c>
      <c r="E901">
        <v>8.6</v>
      </c>
      <c r="F901" t="s">
        <v>18</v>
      </c>
      <c r="G901" t="s">
        <v>14</v>
      </c>
      <c r="H901" t="s">
        <v>15</v>
      </c>
      <c r="I901" t="s">
        <v>15</v>
      </c>
      <c r="J901">
        <v>51.3</v>
      </c>
      <c r="K901">
        <v>68.8</v>
      </c>
      <c r="L901" t="s">
        <v>21</v>
      </c>
    </row>
    <row r="902" spans="1:12" x14ac:dyDescent="0.35">
      <c r="A902">
        <v>901</v>
      </c>
      <c r="B902" t="s">
        <v>12</v>
      </c>
      <c r="C902">
        <v>0.7</v>
      </c>
      <c r="D902">
        <v>92.8</v>
      </c>
      <c r="E902">
        <v>6.4</v>
      </c>
      <c r="F902" t="s">
        <v>18</v>
      </c>
      <c r="G902" t="s">
        <v>14</v>
      </c>
      <c r="H902" t="s">
        <v>15</v>
      </c>
      <c r="I902" t="s">
        <v>15</v>
      </c>
      <c r="J902">
        <v>70.5</v>
      </c>
      <c r="K902">
        <v>69.900000000000006</v>
      </c>
      <c r="L902" t="s">
        <v>21</v>
      </c>
    </row>
    <row r="903" spans="1:12" x14ac:dyDescent="0.35">
      <c r="A903">
        <v>902</v>
      </c>
      <c r="B903" t="s">
        <v>17</v>
      </c>
      <c r="C903">
        <v>4.3</v>
      </c>
      <c r="D903">
        <v>82.5</v>
      </c>
      <c r="E903">
        <v>6.5</v>
      </c>
      <c r="F903" t="s">
        <v>23</v>
      </c>
      <c r="G903" t="s">
        <v>14</v>
      </c>
      <c r="H903" t="s">
        <v>14</v>
      </c>
      <c r="I903" t="s">
        <v>15</v>
      </c>
      <c r="J903">
        <v>52.9</v>
      </c>
      <c r="K903">
        <v>80.7</v>
      </c>
      <c r="L903" t="s">
        <v>20</v>
      </c>
    </row>
    <row r="904" spans="1:12" x14ac:dyDescent="0.35">
      <c r="A904">
        <v>903</v>
      </c>
      <c r="B904" t="s">
        <v>17</v>
      </c>
      <c r="C904">
        <v>1.8</v>
      </c>
      <c r="D904">
        <v>79</v>
      </c>
      <c r="E904">
        <v>6</v>
      </c>
      <c r="F904" t="s">
        <v>23</v>
      </c>
      <c r="G904" t="s">
        <v>14</v>
      </c>
      <c r="H904" t="s">
        <v>14</v>
      </c>
      <c r="I904" t="s">
        <v>15</v>
      </c>
      <c r="J904">
        <v>75.5</v>
      </c>
      <c r="K904">
        <v>73.3</v>
      </c>
      <c r="L904" t="s">
        <v>22</v>
      </c>
    </row>
    <row r="905" spans="1:12" x14ac:dyDescent="0.35">
      <c r="A905">
        <v>904</v>
      </c>
      <c r="B905" t="s">
        <v>12</v>
      </c>
      <c r="C905">
        <v>0.5</v>
      </c>
      <c r="D905">
        <v>99.2</v>
      </c>
      <c r="E905">
        <v>6.5</v>
      </c>
      <c r="F905" t="s">
        <v>19</v>
      </c>
      <c r="G905" t="s">
        <v>15</v>
      </c>
      <c r="H905" t="s">
        <v>14</v>
      </c>
      <c r="I905" t="s">
        <v>14</v>
      </c>
      <c r="J905">
        <v>58.9</v>
      </c>
      <c r="K905">
        <v>68.8</v>
      </c>
      <c r="L905" t="s">
        <v>21</v>
      </c>
    </row>
    <row r="906" spans="1:12" x14ac:dyDescent="0.35">
      <c r="A906">
        <v>905</v>
      </c>
      <c r="B906" t="s">
        <v>12</v>
      </c>
      <c r="C906">
        <v>4.0999999999999996</v>
      </c>
      <c r="D906">
        <v>100</v>
      </c>
      <c r="E906">
        <v>8.5</v>
      </c>
      <c r="F906" t="s">
        <v>18</v>
      </c>
      <c r="G906" t="s">
        <v>14</v>
      </c>
      <c r="H906" t="s">
        <v>15</v>
      </c>
      <c r="I906" t="s">
        <v>15</v>
      </c>
      <c r="J906">
        <v>64.599999999999994</v>
      </c>
      <c r="K906">
        <v>90.8</v>
      </c>
      <c r="L906" t="s">
        <v>16</v>
      </c>
    </row>
    <row r="907" spans="1:12" x14ac:dyDescent="0.35">
      <c r="A907">
        <v>906</v>
      </c>
      <c r="B907" t="s">
        <v>17</v>
      </c>
      <c r="C907">
        <v>7.2</v>
      </c>
      <c r="D907">
        <v>94.8</v>
      </c>
      <c r="E907">
        <v>3.8</v>
      </c>
      <c r="F907" t="s">
        <v>23</v>
      </c>
      <c r="G907" t="s">
        <v>14</v>
      </c>
      <c r="H907" t="s">
        <v>14</v>
      </c>
      <c r="I907" t="s">
        <v>15</v>
      </c>
      <c r="J907">
        <v>73.5</v>
      </c>
      <c r="K907">
        <v>100</v>
      </c>
      <c r="L907" t="s">
        <v>16</v>
      </c>
    </row>
    <row r="908" spans="1:12" x14ac:dyDescent="0.35">
      <c r="A908">
        <v>907</v>
      </c>
      <c r="B908" t="s">
        <v>17</v>
      </c>
      <c r="C908">
        <v>3.5</v>
      </c>
      <c r="D908">
        <v>85.9</v>
      </c>
      <c r="E908">
        <v>8.3000000000000007</v>
      </c>
      <c r="F908" t="s">
        <v>23</v>
      </c>
      <c r="G908" t="s">
        <v>14</v>
      </c>
      <c r="H908" t="s">
        <v>14</v>
      </c>
      <c r="I908" t="s">
        <v>15</v>
      </c>
      <c r="J908">
        <v>60.7</v>
      </c>
      <c r="K908">
        <v>85</v>
      </c>
      <c r="L908" t="s">
        <v>20</v>
      </c>
    </row>
    <row r="909" spans="1:12" x14ac:dyDescent="0.35">
      <c r="A909">
        <v>908</v>
      </c>
      <c r="B909" t="s">
        <v>12</v>
      </c>
      <c r="C909">
        <v>4.8</v>
      </c>
      <c r="D909">
        <v>76.900000000000006</v>
      </c>
      <c r="E909">
        <v>7.2</v>
      </c>
      <c r="F909" t="s">
        <v>18</v>
      </c>
      <c r="G909" t="s">
        <v>14</v>
      </c>
      <c r="H909" t="s">
        <v>15</v>
      </c>
      <c r="I909" t="s">
        <v>14</v>
      </c>
      <c r="J909">
        <v>69.3</v>
      </c>
      <c r="K909">
        <v>86</v>
      </c>
      <c r="L909" t="s">
        <v>20</v>
      </c>
    </row>
    <row r="910" spans="1:12" x14ac:dyDescent="0.35">
      <c r="A910">
        <v>909</v>
      </c>
      <c r="B910" t="s">
        <v>12</v>
      </c>
      <c r="C910">
        <v>3.6</v>
      </c>
      <c r="D910">
        <v>76.7</v>
      </c>
      <c r="E910">
        <v>5.4</v>
      </c>
      <c r="F910" t="s">
        <v>13</v>
      </c>
      <c r="G910" t="s">
        <v>14</v>
      </c>
      <c r="H910" t="s">
        <v>15</v>
      </c>
      <c r="I910" t="s">
        <v>15</v>
      </c>
      <c r="J910">
        <v>51.8</v>
      </c>
      <c r="K910">
        <v>73.099999999999994</v>
      </c>
      <c r="L910" t="s">
        <v>22</v>
      </c>
    </row>
    <row r="911" spans="1:12" x14ac:dyDescent="0.35">
      <c r="A911">
        <v>910</v>
      </c>
      <c r="B911" t="s">
        <v>17</v>
      </c>
      <c r="C911">
        <v>3.4</v>
      </c>
      <c r="D911">
        <v>90.2</v>
      </c>
      <c r="E911">
        <v>5.5</v>
      </c>
      <c r="F911" t="s">
        <v>18</v>
      </c>
      <c r="G911" t="s">
        <v>14</v>
      </c>
      <c r="H911" t="s">
        <v>15</v>
      </c>
      <c r="I911" t="s">
        <v>14</v>
      </c>
      <c r="J911">
        <v>77.599999999999994</v>
      </c>
      <c r="K911">
        <v>87.6</v>
      </c>
      <c r="L911" t="s">
        <v>20</v>
      </c>
    </row>
    <row r="912" spans="1:12" x14ac:dyDescent="0.35">
      <c r="A912">
        <v>911</v>
      </c>
      <c r="B912" t="s">
        <v>12</v>
      </c>
      <c r="C912">
        <v>4.9000000000000004</v>
      </c>
      <c r="D912">
        <v>89.2</v>
      </c>
      <c r="E912">
        <v>8.8000000000000007</v>
      </c>
      <c r="F912" t="s">
        <v>18</v>
      </c>
      <c r="G912" t="s">
        <v>14</v>
      </c>
      <c r="H912" t="s">
        <v>14</v>
      </c>
      <c r="I912" t="s">
        <v>14</v>
      </c>
      <c r="J912">
        <v>91.2</v>
      </c>
      <c r="K912">
        <v>96.5</v>
      </c>
      <c r="L912" t="s">
        <v>16</v>
      </c>
    </row>
    <row r="913" spans="1:12" x14ac:dyDescent="0.35">
      <c r="A913">
        <v>912</v>
      </c>
      <c r="B913" t="s">
        <v>12</v>
      </c>
      <c r="C913">
        <v>3.1</v>
      </c>
      <c r="D913">
        <v>99</v>
      </c>
      <c r="E913">
        <v>5.7</v>
      </c>
      <c r="F913" t="s">
        <v>19</v>
      </c>
      <c r="G913" t="s">
        <v>14</v>
      </c>
      <c r="H913" t="s">
        <v>14</v>
      </c>
      <c r="I913" t="s">
        <v>15</v>
      </c>
      <c r="J913">
        <v>100</v>
      </c>
      <c r="K913">
        <v>100</v>
      </c>
      <c r="L913" t="s">
        <v>16</v>
      </c>
    </row>
    <row r="914" spans="1:12" x14ac:dyDescent="0.35">
      <c r="A914">
        <v>913</v>
      </c>
      <c r="B914" t="s">
        <v>12</v>
      </c>
      <c r="C914">
        <v>3.9</v>
      </c>
      <c r="D914">
        <v>91.5</v>
      </c>
      <c r="E914">
        <v>5.4</v>
      </c>
      <c r="F914" t="s">
        <v>13</v>
      </c>
      <c r="G914" t="s">
        <v>15</v>
      </c>
      <c r="H914" t="s">
        <v>14</v>
      </c>
      <c r="I914" t="s">
        <v>15</v>
      </c>
      <c r="J914">
        <v>71.099999999999994</v>
      </c>
      <c r="K914">
        <v>82.1</v>
      </c>
      <c r="L914" t="s">
        <v>20</v>
      </c>
    </row>
    <row r="915" spans="1:12" x14ac:dyDescent="0.35">
      <c r="A915">
        <v>914</v>
      </c>
      <c r="B915" t="s">
        <v>17</v>
      </c>
      <c r="C915">
        <v>4</v>
      </c>
      <c r="D915">
        <v>70</v>
      </c>
      <c r="E915">
        <v>8.1999999999999993</v>
      </c>
      <c r="F915" t="s">
        <v>23</v>
      </c>
      <c r="G915" t="s">
        <v>14</v>
      </c>
      <c r="H915" t="s">
        <v>14</v>
      </c>
      <c r="I915" t="s">
        <v>15</v>
      </c>
      <c r="J915">
        <v>79.5</v>
      </c>
      <c r="K915">
        <v>80.3</v>
      </c>
      <c r="L915" t="s">
        <v>20</v>
      </c>
    </row>
    <row r="916" spans="1:12" x14ac:dyDescent="0.35">
      <c r="A916">
        <v>915</v>
      </c>
      <c r="B916" t="s">
        <v>17</v>
      </c>
      <c r="C916">
        <v>2.5</v>
      </c>
      <c r="D916">
        <v>95.5</v>
      </c>
      <c r="E916">
        <v>7.2</v>
      </c>
      <c r="F916" t="s">
        <v>19</v>
      </c>
      <c r="G916" t="s">
        <v>14</v>
      </c>
      <c r="H916" t="s">
        <v>15</v>
      </c>
      <c r="I916" t="s">
        <v>15</v>
      </c>
      <c r="J916">
        <v>48.6</v>
      </c>
      <c r="K916">
        <v>76.900000000000006</v>
      </c>
      <c r="L916" t="s">
        <v>22</v>
      </c>
    </row>
    <row r="917" spans="1:12" x14ac:dyDescent="0.35">
      <c r="A917">
        <v>916</v>
      </c>
      <c r="B917" t="s">
        <v>17</v>
      </c>
      <c r="C917">
        <v>5</v>
      </c>
      <c r="D917">
        <v>75</v>
      </c>
      <c r="E917">
        <v>5.7</v>
      </c>
      <c r="F917" t="s">
        <v>13</v>
      </c>
      <c r="G917" t="s">
        <v>15</v>
      </c>
      <c r="H917" t="s">
        <v>14</v>
      </c>
      <c r="I917" t="s">
        <v>14</v>
      </c>
      <c r="J917">
        <v>88</v>
      </c>
      <c r="K917">
        <v>81.7</v>
      </c>
      <c r="L917" t="s">
        <v>20</v>
      </c>
    </row>
    <row r="918" spans="1:12" x14ac:dyDescent="0.35">
      <c r="A918">
        <v>917</v>
      </c>
      <c r="B918" t="s">
        <v>17</v>
      </c>
      <c r="C918">
        <v>3.2</v>
      </c>
      <c r="D918">
        <v>81.2</v>
      </c>
      <c r="E918">
        <v>7.1</v>
      </c>
      <c r="F918" t="s">
        <v>23</v>
      </c>
      <c r="G918" t="s">
        <v>14</v>
      </c>
      <c r="H918" t="s">
        <v>14</v>
      </c>
      <c r="I918" t="s">
        <v>14</v>
      </c>
      <c r="J918">
        <v>79.3</v>
      </c>
      <c r="K918">
        <v>88.1</v>
      </c>
      <c r="L918" t="s">
        <v>20</v>
      </c>
    </row>
    <row r="919" spans="1:12" x14ac:dyDescent="0.35">
      <c r="A919">
        <v>918</v>
      </c>
      <c r="B919" t="s">
        <v>17</v>
      </c>
      <c r="C919">
        <v>2.4</v>
      </c>
      <c r="D919">
        <v>87.5</v>
      </c>
      <c r="E919">
        <v>5.6</v>
      </c>
      <c r="F919" t="s">
        <v>13</v>
      </c>
      <c r="G919" t="s">
        <v>14</v>
      </c>
      <c r="H919" t="s">
        <v>14</v>
      </c>
      <c r="I919" t="s">
        <v>14</v>
      </c>
      <c r="J919">
        <v>64.2</v>
      </c>
      <c r="K919">
        <v>88.1</v>
      </c>
      <c r="L919" t="s">
        <v>20</v>
      </c>
    </row>
    <row r="920" spans="1:12" x14ac:dyDescent="0.35">
      <c r="A920">
        <v>919</v>
      </c>
      <c r="B920" t="s">
        <v>17</v>
      </c>
      <c r="C920">
        <v>4.3</v>
      </c>
      <c r="D920">
        <v>100</v>
      </c>
      <c r="E920">
        <v>8.1</v>
      </c>
      <c r="F920" t="s">
        <v>24</v>
      </c>
      <c r="G920" t="s">
        <v>14</v>
      </c>
      <c r="H920" t="s">
        <v>14</v>
      </c>
      <c r="I920" t="s">
        <v>15</v>
      </c>
      <c r="J920">
        <v>84.8</v>
      </c>
      <c r="K920">
        <v>97.3</v>
      </c>
      <c r="L920" t="s">
        <v>16</v>
      </c>
    </row>
    <row r="921" spans="1:12" x14ac:dyDescent="0.35">
      <c r="A921">
        <v>920</v>
      </c>
      <c r="B921" t="s">
        <v>17</v>
      </c>
      <c r="C921">
        <v>2.2000000000000002</v>
      </c>
      <c r="D921">
        <v>100</v>
      </c>
      <c r="E921">
        <v>8.1</v>
      </c>
      <c r="F921" t="s">
        <v>18</v>
      </c>
      <c r="G921" t="s">
        <v>14</v>
      </c>
      <c r="H921" t="s">
        <v>15</v>
      </c>
      <c r="I921" t="s">
        <v>14</v>
      </c>
      <c r="J921">
        <v>66.900000000000006</v>
      </c>
      <c r="K921">
        <v>83.4</v>
      </c>
      <c r="L921" t="s">
        <v>20</v>
      </c>
    </row>
    <row r="922" spans="1:12" x14ac:dyDescent="0.35">
      <c r="A922">
        <v>921</v>
      </c>
      <c r="B922" t="s">
        <v>12</v>
      </c>
      <c r="C922">
        <v>3.5</v>
      </c>
      <c r="D922">
        <v>91.1</v>
      </c>
      <c r="E922">
        <v>7.4</v>
      </c>
      <c r="F922" t="s">
        <v>19</v>
      </c>
      <c r="G922" t="s">
        <v>14</v>
      </c>
      <c r="H922" t="s">
        <v>14</v>
      </c>
      <c r="I922" t="s">
        <v>14</v>
      </c>
      <c r="J922">
        <v>64.5</v>
      </c>
      <c r="K922">
        <v>72.8</v>
      </c>
      <c r="L922" t="s">
        <v>22</v>
      </c>
    </row>
    <row r="923" spans="1:12" x14ac:dyDescent="0.35">
      <c r="A923">
        <v>922</v>
      </c>
      <c r="B923" t="s">
        <v>12</v>
      </c>
      <c r="C923">
        <v>3.5</v>
      </c>
      <c r="D923">
        <v>83.2</v>
      </c>
      <c r="E923">
        <v>7.2</v>
      </c>
      <c r="F923" t="s">
        <v>18</v>
      </c>
      <c r="G923" t="s">
        <v>14</v>
      </c>
      <c r="H923" t="s">
        <v>14</v>
      </c>
      <c r="I923" t="s">
        <v>15</v>
      </c>
      <c r="J923">
        <v>75.7</v>
      </c>
      <c r="K923">
        <v>90.5</v>
      </c>
      <c r="L923" t="s">
        <v>16</v>
      </c>
    </row>
    <row r="924" spans="1:12" x14ac:dyDescent="0.35">
      <c r="A924">
        <v>923</v>
      </c>
      <c r="B924" t="s">
        <v>12</v>
      </c>
      <c r="C924">
        <v>5.0999999999999996</v>
      </c>
      <c r="D924">
        <v>90.3</v>
      </c>
      <c r="E924">
        <v>8.9</v>
      </c>
      <c r="F924" t="s">
        <v>18</v>
      </c>
      <c r="G924" t="s">
        <v>14</v>
      </c>
      <c r="H924" t="s">
        <v>14</v>
      </c>
      <c r="I924" t="s">
        <v>14</v>
      </c>
      <c r="J924">
        <v>57.2</v>
      </c>
      <c r="K924">
        <v>83.8</v>
      </c>
      <c r="L924" t="s">
        <v>20</v>
      </c>
    </row>
    <row r="925" spans="1:12" x14ac:dyDescent="0.35">
      <c r="A925">
        <v>924</v>
      </c>
      <c r="B925" t="s">
        <v>12</v>
      </c>
      <c r="C925">
        <v>4.2</v>
      </c>
      <c r="D925">
        <v>93.9</v>
      </c>
      <c r="E925">
        <v>6.8</v>
      </c>
      <c r="F925" t="s">
        <v>23</v>
      </c>
      <c r="G925" t="s">
        <v>14</v>
      </c>
      <c r="H925" t="s">
        <v>14</v>
      </c>
      <c r="I925" t="s">
        <v>15</v>
      </c>
      <c r="J925">
        <v>82.3</v>
      </c>
      <c r="K925">
        <v>93.1</v>
      </c>
      <c r="L925" t="s">
        <v>16</v>
      </c>
    </row>
    <row r="926" spans="1:12" x14ac:dyDescent="0.35">
      <c r="A926">
        <v>925</v>
      </c>
      <c r="B926" t="s">
        <v>12</v>
      </c>
      <c r="C926">
        <v>3.5</v>
      </c>
      <c r="D926">
        <v>81.8</v>
      </c>
      <c r="E926">
        <v>5.4</v>
      </c>
      <c r="F926" t="s">
        <v>13</v>
      </c>
      <c r="G926" t="s">
        <v>14</v>
      </c>
      <c r="H926" t="s">
        <v>14</v>
      </c>
      <c r="I926" t="s">
        <v>15</v>
      </c>
      <c r="J926">
        <v>57.3</v>
      </c>
      <c r="K926">
        <v>71.2</v>
      </c>
      <c r="L926" t="s">
        <v>22</v>
      </c>
    </row>
    <row r="927" spans="1:12" x14ac:dyDescent="0.35">
      <c r="A927">
        <v>926</v>
      </c>
      <c r="B927" t="s">
        <v>12</v>
      </c>
      <c r="C927">
        <v>4.7</v>
      </c>
      <c r="D927">
        <v>100</v>
      </c>
      <c r="E927">
        <v>7.3</v>
      </c>
      <c r="F927" t="s">
        <v>13</v>
      </c>
      <c r="G927" t="s">
        <v>14</v>
      </c>
      <c r="H927" t="s">
        <v>15</v>
      </c>
      <c r="I927" t="s">
        <v>15</v>
      </c>
      <c r="J927">
        <v>57.4</v>
      </c>
      <c r="K927">
        <v>95.3</v>
      </c>
      <c r="L927" t="s">
        <v>16</v>
      </c>
    </row>
    <row r="928" spans="1:12" x14ac:dyDescent="0.35">
      <c r="A928">
        <v>927</v>
      </c>
      <c r="B928" t="s">
        <v>12</v>
      </c>
      <c r="C928">
        <v>5.6</v>
      </c>
      <c r="D928">
        <v>87.3</v>
      </c>
      <c r="E928">
        <v>9.3000000000000007</v>
      </c>
      <c r="F928" t="s">
        <v>13</v>
      </c>
      <c r="G928" t="s">
        <v>14</v>
      </c>
      <c r="H928" t="s">
        <v>15</v>
      </c>
      <c r="I928" t="s">
        <v>15</v>
      </c>
      <c r="J928">
        <v>59.1</v>
      </c>
      <c r="K928">
        <v>99.6</v>
      </c>
      <c r="L928" t="s">
        <v>16</v>
      </c>
    </row>
    <row r="929" spans="1:12" x14ac:dyDescent="0.35">
      <c r="A929">
        <v>928</v>
      </c>
      <c r="B929" t="s">
        <v>17</v>
      </c>
      <c r="C929">
        <v>4.3</v>
      </c>
      <c r="D929">
        <v>90</v>
      </c>
      <c r="E929">
        <v>5.6</v>
      </c>
      <c r="F929" t="s">
        <v>23</v>
      </c>
      <c r="G929" t="s">
        <v>14</v>
      </c>
      <c r="H929" t="s">
        <v>15</v>
      </c>
      <c r="I929" t="s">
        <v>15</v>
      </c>
      <c r="J929">
        <v>79.099999999999994</v>
      </c>
      <c r="K929">
        <v>92.4</v>
      </c>
      <c r="L929" t="s">
        <v>16</v>
      </c>
    </row>
    <row r="930" spans="1:12" x14ac:dyDescent="0.35">
      <c r="A930">
        <v>929</v>
      </c>
      <c r="B930" t="s">
        <v>17</v>
      </c>
      <c r="C930">
        <v>3.5</v>
      </c>
      <c r="D930">
        <v>91.7</v>
      </c>
      <c r="E930">
        <v>6.4</v>
      </c>
      <c r="F930" t="s">
        <v>18</v>
      </c>
      <c r="G930" t="s">
        <v>14</v>
      </c>
      <c r="H930" t="s">
        <v>15</v>
      </c>
      <c r="I930" t="s">
        <v>14</v>
      </c>
      <c r="J930">
        <v>62.6</v>
      </c>
      <c r="K930">
        <v>75.400000000000006</v>
      </c>
      <c r="L930" t="s">
        <v>22</v>
      </c>
    </row>
    <row r="931" spans="1:12" x14ac:dyDescent="0.35">
      <c r="A931">
        <v>930</v>
      </c>
      <c r="B931" t="s">
        <v>12</v>
      </c>
      <c r="C931">
        <v>1.5</v>
      </c>
      <c r="D931">
        <v>89.2</v>
      </c>
      <c r="E931">
        <v>7.3</v>
      </c>
      <c r="F931" t="s">
        <v>18</v>
      </c>
      <c r="G931" t="s">
        <v>14</v>
      </c>
      <c r="H931" t="s">
        <v>15</v>
      </c>
      <c r="I931" t="s">
        <v>15</v>
      </c>
      <c r="J931">
        <v>53.8</v>
      </c>
      <c r="K931">
        <v>80.8</v>
      </c>
      <c r="L931" t="s">
        <v>20</v>
      </c>
    </row>
    <row r="932" spans="1:12" x14ac:dyDescent="0.35">
      <c r="A932">
        <v>931</v>
      </c>
      <c r="B932" t="s">
        <v>12</v>
      </c>
      <c r="C932">
        <v>1.9</v>
      </c>
      <c r="D932">
        <v>93.4</v>
      </c>
      <c r="E932">
        <v>6.7</v>
      </c>
      <c r="F932" t="s">
        <v>18</v>
      </c>
      <c r="G932" t="s">
        <v>14</v>
      </c>
      <c r="H932" t="s">
        <v>15</v>
      </c>
      <c r="I932" t="s">
        <v>15</v>
      </c>
      <c r="J932">
        <v>62.7</v>
      </c>
      <c r="K932">
        <v>72.900000000000006</v>
      </c>
      <c r="L932" t="s">
        <v>22</v>
      </c>
    </row>
    <row r="933" spans="1:12" x14ac:dyDescent="0.35">
      <c r="A933">
        <v>932</v>
      </c>
      <c r="B933" t="s">
        <v>17</v>
      </c>
      <c r="C933">
        <v>3</v>
      </c>
      <c r="D933">
        <v>78.8</v>
      </c>
      <c r="E933">
        <v>5.6</v>
      </c>
      <c r="F933" t="s">
        <v>13</v>
      </c>
      <c r="G933" t="s">
        <v>14</v>
      </c>
      <c r="H933" t="s">
        <v>14</v>
      </c>
      <c r="I933" t="s">
        <v>14</v>
      </c>
      <c r="J933">
        <v>69.599999999999994</v>
      </c>
      <c r="K933">
        <v>63.7</v>
      </c>
      <c r="L933" t="s">
        <v>21</v>
      </c>
    </row>
    <row r="934" spans="1:12" x14ac:dyDescent="0.35">
      <c r="A934">
        <v>933</v>
      </c>
      <c r="B934" t="s">
        <v>12</v>
      </c>
      <c r="C934">
        <v>2.6</v>
      </c>
      <c r="D934">
        <v>79.400000000000006</v>
      </c>
      <c r="E934">
        <v>8.1</v>
      </c>
      <c r="F934" t="s">
        <v>18</v>
      </c>
      <c r="G934" t="s">
        <v>14</v>
      </c>
      <c r="H934" t="s">
        <v>14</v>
      </c>
      <c r="I934" t="s">
        <v>14</v>
      </c>
      <c r="J934">
        <v>55.8</v>
      </c>
      <c r="K934">
        <v>75.3</v>
      </c>
      <c r="L934" t="s">
        <v>22</v>
      </c>
    </row>
    <row r="935" spans="1:12" x14ac:dyDescent="0.35">
      <c r="A935">
        <v>934</v>
      </c>
      <c r="B935" t="s">
        <v>12</v>
      </c>
      <c r="C935">
        <v>3.2</v>
      </c>
      <c r="D935">
        <v>74</v>
      </c>
      <c r="E935">
        <v>9.6</v>
      </c>
      <c r="F935" t="s">
        <v>13</v>
      </c>
      <c r="G935" t="s">
        <v>14</v>
      </c>
      <c r="H935" t="s">
        <v>14</v>
      </c>
      <c r="I935" t="s">
        <v>15</v>
      </c>
      <c r="J935">
        <v>56.2</v>
      </c>
      <c r="K935">
        <v>71.7</v>
      </c>
      <c r="L935" t="s">
        <v>22</v>
      </c>
    </row>
    <row r="936" spans="1:12" x14ac:dyDescent="0.35">
      <c r="A936">
        <v>935</v>
      </c>
      <c r="B936" t="s">
        <v>17</v>
      </c>
      <c r="C936">
        <v>3.6</v>
      </c>
      <c r="D936">
        <v>89.4</v>
      </c>
      <c r="E936">
        <v>7</v>
      </c>
      <c r="F936" t="s">
        <v>13</v>
      </c>
      <c r="G936" t="s">
        <v>14</v>
      </c>
      <c r="H936" t="s">
        <v>15</v>
      </c>
      <c r="I936" t="s">
        <v>15</v>
      </c>
      <c r="J936">
        <v>95.3</v>
      </c>
      <c r="K936">
        <v>100</v>
      </c>
      <c r="L936" t="s">
        <v>16</v>
      </c>
    </row>
    <row r="937" spans="1:12" x14ac:dyDescent="0.35">
      <c r="A937">
        <v>936</v>
      </c>
      <c r="B937" t="s">
        <v>12</v>
      </c>
      <c r="C937">
        <v>4.3</v>
      </c>
      <c r="D937">
        <v>92.8</v>
      </c>
      <c r="E937">
        <v>5.7</v>
      </c>
      <c r="F937" t="s">
        <v>18</v>
      </c>
      <c r="G937" t="s">
        <v>14</v>
      </c>
      <c r="H937" t="s">
        <v>15</v>
      </c>
      <c r="I937" t="s">
        <v>15</v>
      </c>
      <c r="J937">
        <v>59.7</v>
      </c>
      <c r="K937">
        <v>83.3</v>
      </c>
      <c r="L937" t="s">
        <v>20</v>
      </c>
    </row>
    <row r="938" spans="1:12" x14ac:dyDescent="0.35">
      <c r="A938">
        <v>937</v>
      </c>
      <c r="B938" t="s">
        <v>17</v>
      </c>
      <c r="C938">
        <v>3.4</v>
      </c>
      <c r="D938">
        <v>89.6</v>
      </c>
      <c r="E938">
        <v>4.9000000000000004</v>
      </c>
      <c r="F938" t="s">
        <v>13</v>
      </c>
      <c r="G938" t="s">
        <v>14</v>
      </c>
      <c r="H938" t="s">
        <v>15</v>
      </c>
      <c r="I938" t="s">
        <v>15</v>
      </c>
      <c r="J938">
        <v>66.099999999999994</v>
      </c>
      <c r="K938">
        <v>85.6</v>
      </c>
      <c r="L938" t="s">
        <v>20</v>
      </c>
    </row>
    <row r="939" spans="1:12" x14ac:dyDescent="0.35">
      <c r="A939">
        <v>938</v>
      </c>
      <c r="B939" t="s">
        <v>12</v>
      </c>
      <c r="C939">
        <v>4.2</v>
      </c>
      <c r="D939">
        <v>100</v>
      </c>
      <c r="E939">
        <v>7.1</v>
      </c>
      <c r="F939" t="s">
        <v>24</v>
      </c>
      <c r="G939" t="s">
        <v>15</v>
      </c>
      <c r="H939" t="s">
        <v>14</v>
      </c>
      <c r="I939" t="s">
        <v>14</v>
      </c>
      <c r="J939">
        <v>65.599999999999994</v>
      </c>
      <c r="K939">
        <v>93.1</v>
      </c>
      <c r="L939" t="s">
        <v>16</v>
      </c>
    </row>
    <row r="940" spans="1:12" x14ac:dyDescent="0.35">
      <c r="A940">
        <v>939</v>
      </c>
      <c r="B940" t="s">
        <v>17</v>
      </c>
      <c r="C940">
        <v>3.6</v>
      </c>
      <c r="D940">
        <v>84.9</v>
      </c>
      <c r="E940">
        <v>8.1</v>
      </c>
      <c r="F940" t="s">
        <v>18</v>
      </c>
      <c r="G940" t="s">
        <v>14</v>
      </c>
      <c r="H940" t="s">
        <v>15</v>
      </c>
      <c r="I940" t="s">
        <v>15</v>
      </c>
      <c r="J940">
        <v>64.900000000000006</v>
      </c>
      <c r="K940">
        <v>77.3</v>
      </c>
      <c r="L940" t="s">
        <v>22</v>
      </c>
    </row>
    <row r="941" spans="1:12" x14ac:dyDescent="0.35">
      <c r="A941">
        <v>940</v>
      </c>
      <c r="B941" t="s">
        <v>17</v>
      </c>
      <c r="C941">
        <v>0.5</v>
      </c>
      <c r="D941">
        <v>91.7</v>
      </c>
      <c r="E941">
        <v>7.4</v>
      </c>
      <c r="F941" t="s">
        <v>13</v>
      </c>
      <c r="G941" t="s">
        <v>14</v>
      </c>
      <c r="H941" t="s">
        <v>14</v>
      </c>
      <c r="I941" t="s">
        <v>15</v>
      </c>
      <c r="J941">
        <v>77.5</v>
      </c>
      <c r="K941">
        <v>74.8</v>
      </c>
      <c r="L941" t="s">
        <v>22</v>
      </c>
    </row>
    <row r="942" spans="1:12" x14ac:dyDescent="0.35">
      <c r="A942">
        <v>941</v>
      </c>
      <c r="B942" t="s">
        <v>17</v>
      </c>
      <c r="C942">
        <v>2.1</v>
      </c>
      <c r="D942">
        <v>74.099999999999994</v>
      </c>
      <c r="E942">
        <v>6.8</v>
      </c>
      <c r="F942" t="s">
        <v>23</v>
      </c>
      <c r="G942" t="s">
        <v>14</v>
      </c>
      <c r="H942" t="s">
        <v>14</v>
      </c>
      <c r="I942" t="s">
        <v>14</v>
      </c>
      <c r="J942">
        <v>81.400000000000006</v>
      </c>
      <c r="K942">
        <v>76.7</v>
      </c>
      <c r="L942" t="s">
        <v>22</v>
      </c>
    </row>
    <row r="943" spans="1:12" x14ac:dyDescent="0.35">
      <c r="A943">
        <v>942</v>
      </c>
      <c r="B943" t="s">
        <v>12</v>
      </c>
      <c r="C943">
        <v>3.3</v>
      </c>
      <c r="D943">
        <v>81.099999999999994</v>
      </c>
      <c r="E943">
        <v>6.1</v>
      </c>
      <c r="F943" t="s">
        <v>13</v>
      </c>
      <c r="G943" t="s">
        <v>15</v>
      </c>
      <c r="H943" t="s">
        <v>14</v>
      </c>
      <c r="I943" t="s">
        <v>15</v>
      </c>
      <c r="J943">
        <v>66.3</v>
      </c>
      <c r="K943">
        <v>85.3</v>
      </c>
      <c r="L943" t="s">
        <v>20</v>
      </c>
    </row>
    <row r="944" spans="1:12" x14ac:dyDescent="0.35">
      <c r="A944">
        <v>943</v>
      </c>
      <c r="B944" t="s">
        <v>17</v>
      </c>
      <c r="C944">
        <v>1.7</v>
      </c>
      <c r="D944">
        <v>92</v>
      </c>
      <c r="E944">
        <v>5.5</v>
      </c>
      <c r="F944" t="s">
        <v>23</v>
      </c>
      <c r="G944" t="s">
        <v>14</v>
      </c>
      <c r="H944" t="s">
        <v>14</v>
      </c>
      <c r="I944" t="s">
        <v>15</v>
      </c>
      <c r="J944">
        <v>55.2</v>
      </c>
      <c r="K944">
        <v>68.599999999999994</v>
      </c>
      <c r="L944" t="s">
        <v>21</v>
      </c>
    </row>
    <row r="945" spans="1:12" x14ac:dyDescent="0.35">
      <c r="A945">
        <v>944</v>
      </c>
      <c r="B945" t="s">
        <v>12</v>
      </c>
      <c r="C945">
        <v>4.4000000000000004</v>
      </c>
      <c r="D945">
        <v>93.5</v>
      </c>
      <c r="E945">
        <v>7.8</v>
      </c>
      <c r="F945" t="s">
        <v>13</v>
      </c>
      <c r="G945" t="s">
        <v>14</v>
      </c>
      <c r="H945" t="s">
        <v>14</v>
      </c>
      <c r="I945" t="s">
        <v>15</v>
      </c>
      <c r="J945">
        <v>85.3</v>
      </c>
      <c r="K945">
        <v>96.4</v>
      </c>
      <c r="L945" t="s">
        <v>16</v>
      </c>
    </row>
    <row r="946" spans="1:12" x14ac:dyDescent="0.35">
      <c r="A946">
        <v>945</v>
      </c>
      <c r="B946" t="s">
        <v>12</v>
      </c>
      <c r="C946">
        <v>5.8</v>
      </c>
      <c r="D946">
        <v>82.1</v>
      </c>
      <c r="E946">
        <v>7.9</v>
      </c>
      <c r="F946" t="s">
        <v>13</v>
      </c>
      <c r="G946" t="s">
        <v>14</v>
      </c>
      <c r="H946" t="s">
        <v>14</v>
      </c>
      <c r="I946" t="s">
        <v>14</v>
      </c>
      <c r="J946">
        <v>68.900000000000006</v>
      </c>
      <c r="K946">
        <v>95.7</v>
      </c>
      <c r="L946" t="s">
        <v>16</v>
      </c>
    </row>
    <row r="947" spans="1:12" x14ac:dyDescent="0.35">
      <c r="A947">
        <v>946</v>
      </c>
      <c r="B947" t="s">
        <v>12</v>
      </c>
      <c r="C947">
        <v>5.3</v>
      </c>
      <c r="D947">
        <v>84.3</v>
      </c>
      <c r="E947">
        <v>4.9000000000000004</v>
      </c>
      <c r="F947" t="s">
        <v>18</v>
      </c>
      <c r="G947" t="s">
        <v>14</v>
      </c>
      <c r="H947" t="s">
        <v>14</v>
      </c>
      <c r="I947" t="s">
        <v>15</v>
      </c>
      <c r="J947">
        <v>90.8</v>
      </c>
      <c r="K947">
        <v>96.1</v>
      </c>
      <c r="L947" t="s">
        <v>16</v>
      </c>
    </row>
    <row r="948" spans="1:12" x14ac:dyDescent="0.35">
      <c r="A948">
        <v>947</v>
      </c>
      <c r="B948" t="s">
        <v>12</v>
      </c>
      <c r="C948">
        <v>3.2</v>
      </c>
      <c r="D948">
        <v>69.8</v>
      </c>
      <c r="E948">
        <v>8.6999999999999993</v>
      </c>
      <c r="F948" t="s">
        <v>23</v>
      </c>
      <c r="G948" t="s">
        <v>14</v>
      </c>
      <c r="H948" t="s">
        <v>15</v>
      </c>
      <c r="I948" t="s">
        <v>15</v>
      </c>
      <c r="J948">
        <v>43.1</v>
      </c>
      <c r="K948">
        <v>70.400000000000006</v>
      </c>
      <c r="L948" t="s">
        <v>22</v>
      </c>
    </row>
    <row r="949" spans="1:12" x14ac:dyDescent="0.35">
      <c r="A949">
        <v>948</v>
      </c>
      <c r="B949" t="s">
        <v>17</v>
      </c>
      <c r="C949">
        <v>5.7</v>
      </c>
      <c r="D949">
        <v>81.400000000000006</v>
      </c>
      <c r="E949">
        <v>7.5</v>
      </c>
      <c r="F949" t="s">
        <v>23</v>
      </c>
      <c r="G949" t="s">
        <v>14</v>
      </c>
      <c r="H949" t="s">
        <v>15</v>
      </c>
      <c r="I949" t="s">
        <v>15</v>
      </c>
      <c r="J949">
        <v>72.3</v>
      </c>
      <c r="K949">
        <v>85.8</v>
      </c>
      <c r="L949" t="s">
        <v>20</v>
      </c>
    </row>
    <row r="950" spans="1:12" x14ac:dyDescent="0.35">
      <c r="A950">
        <v>949</v>
      </c>
      <c r="B950" t="s">
        <v>17</v>
      </c>
      <c r="C950">
        <v>3.7</v>
      </c>
      <c r="D950">
        <v>93.9</v>
      </c>
      <c r="E950">
        <v>8.5</v>
      </c>
      <c r="F950" t="s">
        <v>18</v>
      </c>
      <c r="G950" t="s">
        <v>15</v>
      </c>
      <c r="H950" t="s">
        <v>15</v>
      </c>
      <c r="I950" t="s">
        <v>15</v>
      </c>
      <c r="J950">
        <v>93</v>
      </c>
      <c r="K950">
        <v>100</v>
      </c>
      <c r="L950" t="s">
        <v>16</v>
      </c>
    </row>
    <row r="951" spans="1:12" x14ac:dyDescent="0.35">
      <c r="A951">
        <v>950</v>
      </c>
      <c r="B951" t="s">
        <v>12</v>
      </c>
      <c r="C951">
        <v>3</v>
      </c>
      <c r="D951">
        <v>90.8</v>
      </c>
      <c r="E951">
        <v>5.2</v>
      </c>
      <c r="F951" t="s">
        <v>13</v>
      </c>
      <c r="G951" t="s">
        <v>15</v>
      </c>
      <c r="H951" t="s">
        <v>14</v>
      </c>
      <c r="I951" t="s">
        <v>14</v>
      </c>
      <c r="J951">
        <v>65.8</v>
      </c>
      <c r="K951">
        <v>65.8</v>
      </c>
      <c r="L951" t="s">
        <v>21</v>
      </c>
    </row>
    <row r="952" spans="1:12" x14ac:dyDescent="0.35">
      <c r="A952">
        <v>951</v>
      </c>
      <c r="B952" t="s">
        <v>12</v>
      </c>
      <c r="C952">
        <v>2.6</v>
      </c>
      <c r="D952">
        <v>90</v>
      </c>
      <c r="E952">
        <v>5.2</v>
      </c>
      <c r="F952" t="s">
        <v>19</v>
      </c>
      <c r="G952" t="s">
        <v>15</v>
      </c>
      <c r="H952" t="s">
        <v>15</v>
      </c>
      <c r="I952" t="s">
        <v>15</v>
      </c>
      <c r="J952">
        <v>67.3</v>
      </c>
      <c r="K952">
        <v>72.400000000000006</v>
      </c>
      <c r="L952" t="s">
        <v>22</v>
      </c>
    </row>
    <row r="953" spans="1:12" x14ac:dyDescent="0.35">
      <c r="A953">
        <v>952</v>
      </c>
      <c r="B953" t="s">
        <v>17</v>
      </c>
      <c r="C953">
        <v>3</v>
      </c>
      <c r="D953">
        <v>85.5</v>
      </c>
      <c r="E953">
        <v>6.6</v>
      </c>
      <c r="F953" t="s">
        <v>13</v>
      </c>
      <c r="G953" t="s">
        <v>14</v>
      </c>
      <c r="H953" t="s">
        <v>15</v>
      </c>
      <c r="I953" t="s">
        <v>15</v>
      </c>
      <c r="J953">
        <v>73.5</v>
      </c>
      <c r="K953">
        <v>83.6</v>
      </c>
      <c r="L953" t="s">
        <v>20</v>
      </c>
    </row>
    <row r="954" spans="1:12" x14ac:dyDescent="0.35">
      <c r="A954">
        <v>953</v>
      </c>
      <c r="B954" t="s">
        <v>12</v>
      </c>
      <c r="C954">
        <v>2.9</v>
      </c>
      <c r="D954">
        <v>85.1</v>
      </c>
      <c r="E954">
        <v>7.4</v>
      </c>
      <c r="F954" t="s">
        <v>13</v>
      </c>
      <c r="G954" t="s">
        <v>14</v>
      </c>
      <c r="H954" t="s">
        <v>14</v>
      </c>
      <c r="I954" t="s">
        <v>14</v>
      </c>
      <c r="J954">
        <v>63.3</v>
      </c>
      <c r="K954">
        <v>89.5</v>
      </c>
      <c r="L954" t="s">
        <v>20</v>
      </c>
    </row>
    <row r="955" spans="1:12" x14ac:dyDescent="0.35">
      <c r="A955">
        <v>954</v>
      </c>
      <c r="B955" t="s">
        <v>17</v>
      </c>
      <c r="C955">
        <v>3.8</v>
      </c>
      <c r="D955">
        <v>78.400000000000006</v>
      </c>
      <c r="E955">
        <v>9</v>
      </c>
      <c r="F955" t="s">
        <v>19</v>
      </c>
      <c r="G955" t="s">
        <v>14</v>
      </c>
      <c r="H955" t="s">
        <v>14</v>
      </c>
      <c r="I955" t="s">
        <v>15</v>
      </c>
      <c r="J955">
        <v>66.3</v>
      </c>
      <c r="K955">
        <v>77.900000000000006</v>
      </c>
      <c r="L955" t="s">
        <v>22</v>
      </c>
    </row>
    <row r="956" spans="1:12" x14ac:dyDescent="0.35">
      <c r="A956">
        <v>955</v>
      </c>
      <c r="B956" t="s">
        <v>12</v>
      </c>
      <c r="C956">
        <v>3.7</v>
      </c>
      <c r="D956">
        <v>92</v>
      </c>
      <c r="E956">
        <v>7.6</v>
      </c>
      <c r="F956" t="s">
        <v>23</v>
      </c>
      <c r="G956" t="s">
        <v>14</v>
      </c>
      <c r="H956" t="s">
        <v>14</v>
      </c>
      <c r="I956" t="s">
        <v>15</v>
      </c>
      <c r="J956">
        <v>65.900000000000006</v>
      </c>
      <c r="K956">
        <v>100</v>
      </c>
      <c r="L956" t="s">
        <v>16</v>
      </c>
    </row>
    <row r="957" spans="1:12" x14ac:dyDescent="0.35">
      <c r="A957">
        <v>956</v>
      </c>
      <c r="B957" t="s">
        <v>12</v>
      </c>
      <c r="C957">
        <v>3.5</v>
      </c>
      <c r="D957">
        <v>89.2</v>
      </c>
      <c r="E957">
        <v>6.5</v>
      </c>
      <c r="F957" t="s">
        <v>13</v>
      </c>
      <c r="G957" t="s">
        <v>14</v>
      </c>
      <c r="H957" t="s">
        <v>14</v>
      </c>
      <c r="I957" t="s">
        <v>15</v>
      </c>
      <c r="J957">
        <v>62.5</v>
      </c>
      <c r="K957">
        <v>88.3</v>
      </c>
      <c r="L957" t="s">
        <v>20</v>
      </c>
    </row>
    <row r="958" spans="1:12" x14ac:dyDescent="0.35">
      <c r="A958">
        <v>957</v>
      </c>
      <c r="B958" t="s">
        <v>17</v>
      </c>
      <c r="C958">
        <v>4.2</v>
      </c>
      <c r="D958">
        <v>89.9</v>
      </c>
      <c r="E958">
        <v>5.6</v>
      </c>
      <c r="F958" t="s">
        <v>23</v>
      </c>
      <c r="G958" t="s">
        <v>14</v>
      </c>
      <c r="H958" t="s">
        <v>15</v>
      </c>
      <c r="I958" t="s">
        <v>14</v>
      </c>
      <c r="J958">
        <v>84.7</v>
      </c>
      <c r="K958">
        <v>93.5</v>
      </c>
      <c r="L958" t="s">
        <v>16</v>
      </c>
    </row>
    <row r="959" spans="1:12" x14ac:dyDescent="0.35">
      <c r="A959">
        <v>958</v>
      </c>
      <c r="B959" t="s">
        <v>12</v>
      </c>
      <c r="C959">
        <v>5.3</v>
      </c>
      <c r="D959">
        <v>79.7</v>
      </c>
      <c r="E959">
        <v>8.3000000000000007</v>
      </c>
      <c r="F959" t="s">
        <v>24</v>
      </c>
      <c r="G959" t="s">
        <v>14</v>
      </c>
      <c r="H959" t="s">
        <v>15</v>
      </c>
      <c r="I959" t="s">
        <v>15</v>
      </c>
      <c r="J959">
        <v>75.5</v>
      </c>
      <c r="K959">
        <v>89</v>
      </c>
      <c r="L959" t="s">
        <v>20</v>
      </c>
    </row>
    <row r="960" spans="1:12" x14ac:dyDescent="0.35">
      <c r="A960">
        <v>959</v>
      </c>
      <c r="B960" t="s">
        <v>17</v>
      </c>
      <c r="C960">
        <v>4.9000000000000004</v>
      </c>
      <c r="D960">
        <v>63.5</v>
      </c>
      <c r="E960">
        <v>5.6</v>
      </c>
      <c r="F960" t="s">
        <v>13</v>
      </c>
      <c r="G960" t="s">
        <v>14</v>
      </c>
      <c r="H960" t="s">
        <v>14</v>
      </c>
      <c r="I960" t="s">
        <v>15</v>
      </c>
      <c r="J960">
        <v>73</v>
      </c>
      <c r="K960">
        <v>87.6</v>
      </c>
      <c r="L960" t="s">
        <v>20</v>
      </c>
    </row>
    <row r="961" spans="1:12" x14ac:dyDescent="0.35">
      <c r="A961">
        <v>960</v>
      </c>
      <c r="B961" t="s">
        <v>12</v>
      </c>
      <c r="C961">
        <v>1.3</v>
      </c>
      <c r="D961">
        <v>96</v>
      </c>
      <c r="E961">
        <v>8.8000000000000007</v>
      </c>
      <c r="F961" t="s">
        <v>13</v>
      </c>
      <c r="G961" t="s">
        <v>14</v>
      </c>
      <c r="H961" t="s">
        <v>15</v>
      </c>
      <c r="I961" t="s">
        <v>15</v>
      </c>
      <c r="J961">
        <v>79.7</v>
      </c>
      <c r="K961">
        <v>80.5</v>
      </c>
      <c r="L961" t="s">
        <v>20</v>
      </c>
    </row>
    <row r="962" spans="1:12" x14ac:dyDescent="0.35">
      <c r="A962">
        <v>961</v>
      </c>
      <c r="B962" t="s">
        <v>12</v>
      </c>
      <c r="C962">
        <v>0.5</v>
      </c>
      <c r="D962">
        <v>80.2</v>
      </c>
      <c r="E962">
        <v>6.5</v>
      </c>
      <c r="F962" t="s">
        <v>13</v>
      </c>
      <c r="G962" t="s">
        <v>14</v>
      </c>
      <c r="H962" t="s">
        <v>15</v>
      </c>
      <c r="I962" t="s">
        <v>15</v>
      </c>
      <c r="J962">
        <v>66.8</v>
      </c>
      <c r="K962">
        <v>75.400000000000006</v>
      </c>
      <c r="L962" t="s">
        <v>22</v>
      </c>
    </row>
    <row r="963" spans="1:12" x14ac:dyDescent="0.35">
      <c r="A963">
        <v>962</v>
      </c>
      <c r="B963" t="s">
        <v>12</v>
      </c>
      <c r="C963">
        <v>4.9000000000000004</v>
      </c>
      <c r="D963">
        <v>76.400000000000006</v>
      </c>
      <c r="E963">
        <v>8.6999999999999993</v>
      </c>
      <c r="F963" t="s">
        <v>19</v>
      </c>
      <c r="G963" t="s">
        <v>14</v>
      </c>
      <c r="H963" t="s">
        <v>15</v>
      </c>
      <c r="I963" t="s">
        <v>15</v>
      </c>
      <c r="J963">
        <v>60.7</v>
      </c>
      <c r="K963">
        <v>80.7</v>
      </c>
      <c r="L963" t="s">
        <v>20</v>
      </c>
    </row>
    <row r="964" spans="1:12" x14ac:dyDescent="0.35">
      <c r="A964">
        <v>963</v>
      </c>
      <c r="B964" t="s">
        <v>17</v>
      </c>
      <c r="C964">
        <v>1.4</v>
      </c>
      <c r="D964">
        <v>91.9</v>
      </c>
      <c r="E964">
        <v>7.6</v>
      </c>
      <c r="F964" t="s">
        <v>23</v>
      </c>
      <c r="G964" t="s">
        <v>14</v>
      </c>
      <c r="H964" t="s">
        <v>14</v>
      </c>
      <c r="I964" t="s">
        <v>14</v>
      </c>
      <c r="J964">
        <v>62.8</v>
      </c>
      <c r="K964">
        <v>73</v>
      </c>
      <c r="L964" t="s">
        <v>22</v>
      </c>
    </row>
    <row r="965" spans="1:12" x14ac:dyDescent="0.35">
      <c r="A965">
        <v>964</v>
      </c>
      <c r="B965" t="s">
        <v>12</v>
      </c>
      <c r="C965">
        <v>3.2</v>
      </c>
      <c r="D965">
        <v>81.099999999999994</v>
      </c>
      <c r="E965">
        <v>6.6</v>
      </c>
      <c r="F965" t="s">
        <v>18</v>
      </c>
      <c r="G965" t="s">
        <v>14</v>
      </c>
      <c r="H965" t="s">
        <v>15</v>
      </c>
      <c r="I965" t="s">
        <v>15</v>
      </c>
      <c r="J965">
        <v>70</v>
      </c>
      <c r="K965">
        <v>78.400000000000006</v>
      </c>
      <c r="L965" t="s">
        <v>22</v>
      </c>
    </row>
    <row r="966" spans="1:12" x14ac:dyDescent="0.35">
      <c r="A966">
        <v>965</v>
      </c>
      <c r="B966" t="s">
        <v>12</v>
      </c>
      <c r="C966">
        <v>1.7</v>
      </c>
      <c r="D966">
        <v>95.6</v>
      </c>
      <c r="E966">
        <v>6.2</v>
      </c>
      <c r="F966" t="s">
        <v>24</v>
      </c>
      <c r="G966" t="s">
        <v>14</v>
      </c>
      <c r="H966" t="s">
        <v>14</v>
      </c>
      <c r="I966" t="s">
        <v>15</v>
      </c>
      <c r="J966">
        <v>57.3</v>
      </c>
      <c r="K966">
        <v>69.5</v>
      </c>
      <c r="L966" t="s">
        <v>21</v>
      </c>
    </row>
    <row r="967" spans="1:12" x14ac:dyDescent="0.35">
      <c r="A967">
        <v>966</v>
      </c>
      <c r="B967" t="s">
        <v>12</v>
      </c>
      <c r="C967">
        <v>0.8</v>
      </c>
      <c r="D967">
        <v>91.2</v>
      </c>
      <c r="E967">
        <v>6.4</v>
      </c>
      <c r="F967" t="s">
        <v>13</v>
      </c>
      <c r="G967" t="s">
        <v>14</v>
      </c>
      <c r="H967" t="s">
        <v>15</v>
      </c>
      <c r="I967" t="s">
        <v>15</v>
      </c>
      <c r="J967">
        <v>64</v>
      </c>
      <c r="K967">
        <v>76.2</v>
      </c>
      <c r="L967" t="s">
        <v>22</v>
      </c>
    </row>
    <row r="968" spans="1:12" x14ac:dyDescent="0.35">
      <c r="A968">
        <v>967</v>
      </c>
      <c r="B968" t="s">
        <v>12</v>
      </c>
      <c r="C968">
        <v>4.3</v>
      </c>
      <c r="D968">
        <v>91.8</v>
      </c>
      <c r="E968">
        <v>7.3</v>
      </c>
      <c r="F968" t="s">
        <v>18</v>
      </c>
      <c r="G968" t="s">
        <v>14</v>
      </c>
      <c r="H968" t="s">
        <v>14</v>
      </c>
      <c r="I968" t="s">
        <v>14</v>
      </c>
      <c r="J968">
        <v>63.8</v>
      </c>
      <c r="K968">
        <v>90</v>
      </c>
      <c r="L968" t="s">
        <v>16</v>
      </c>
    </row>
    <row r="969" spans="1:12" x14ac:dyDescent="0.35">
      <c r="A969">
        <v>968</v>
      </c>
      <c r="B969" t="s">
        <v>17</v>
      </c>
      <c r="C969">
        <v>4.5999999999999996</v>
      </c>
      <c r="D969">
        <v>71.3</v>
      </c>
      <c r="E969">
        <v>6.9</v>
      </c>
      <c r="F969" t="s">
        <v>13</v>
      </c>
      <c r="G969" t="s">
        <v>14</v>
      </c>
      <c r="H969" t="s">
        <v>14</v>
      </c>
      <c r="I969" t="s">
        <v>15</v>
      </c>
      <c r="J969">
        <v>95.5</v>
      </c>
      <c r="K969">
        <v>100</v>
      </c>
      <c r="L969" t="s">
        <v>16</v>
      </c>
    </row>
    <row r="970" spans="1:12" x14ac:dyDescent="0.35">
      <c r="A970">
        <v>969</v>
      </c>
      <c r="B970" t="s">
        <v>17</v>
      </c>
      <c r="C970">
        <v>2.6</v>
      </c>
      <c r="D970">
        <v>97.1</v>
      </c>
      <c r="E970">
        <v>6.1</v>
      </c>
      <c r="F970" t="s">
        <v>13</v>
      </c>
      <c r="G970" t="s">
        <v>14</v>
      </c>
      <c r="H970" t="s">
        <v>15</v>
      </c>
      <c r="I970" t="s">
        <v>15</v>
      </c>
      <c r="J970">
        <v>36.700000000000003</v>
      </c>
      <c r="K970">
        <v>60</v>
      </c>
      <c r="L970" t="s">
        <v>21</v>
      </c>
    </row>
    <row r="971" spans="1:12" x14ac:dyDescent="0.35">
      <c r="A971">
        <v>970</v>
      </c>
      <c r="B971" t="s">
        <v>12</v>
      </c>
      <c r="C971">
        <v>0.5</v>
      </c>
      <c r="D971">
        <v>87.6</v>
      </c>
      <c r="E971">
        <v>6.6</v>
      </c>
      <c r="F971" t="s">
        <v>24</v>
      </c>
      <c r="G971" t="s">
        <v>14</v>
      </c>
      <c r="H971" t="s">
        <v>14</v>
      </c>
      <c r="I971" t="s">
        <v>15</v>
      </c>
      <c r="J971">
        <v>67.8</v>
      </c>
      <c r="K971">
        <v>78.3</v>
      </c>
      <c r="L971" t="s">
        <v>22</v>
      </c>
    </row>
    <row r="972" spans="1:12" x14ac:dyDescent="0.35">
      <c r="A972">
        <v>971</v>
      </c>
      <c r="B972" t="s">
        <v>17</v>
      </c>
      <c r="C972">
        <v>2.7</v>
      </c>
      <c r="D972">
        <v>81.3</v>
      </c>
      <c r="E972">
        <v>6.9</v>
      </c>
      <c r="F972" t="s">
        <v>18</v>
      </c>
      <c r="G972" t="s">
        <v>14</v>
      </c>
      <c r="H972" t="s">
        <v>14</v>
      </c>
      <c r="I972" t="s">
        <v>14</v>
      </c>
      <c r="J972">
        <v>90.7</v>
      </c>
      <c r="K972">
        <v>100</v>
      </c>
      <c r="L972" t="s">
        <v>16</v>
      </c>
    </row>
    <row r="973" spans="1:12" x14ac:dyDescent="0.35">
      <c r="A973">
        <v>972</v>
      </c>
      <c r="B973" t="s">
        <v>12</v>
      </c>
      <c r="C973">
        <v>4.0999999999999996</v>
      </c>
      <c r="D973">
        <v>86.4</v>
      </c>
      <c r="E973">
        <v>4.2</v>
      </c>
      <c r="F973" t="s">
        <v>23</v>
      </c>
      <c r="G973" t="s">
        <v>15</v>
      </c>
      <c r="H973" t="s">
        <v>14</v>
      </c>
      <c r="I973" t="s">
        <v>14</v>
      </c>
      <c r="J973">
        <v>71.5</v>
      </c>
      <c r="K973">
        <v>75.599999999999994</v>
      </c>
      <c r="L973" t="s">
        <v>22</v>
      </c>
    </row>
    <row r="974" spans="1:12" x14ac:dyDescent="0.35">
      <c r="A974">
        <v>973</v>
      </c>
      <c r="B974" t="s">
        <v>12</v>
      </c>
      <c r="C974">
        <v>1.3</v>
      </c>
      <c r="D974">
        <v>67.2</v>
      </c>
      <c r="E974">
        <v>7.3</v>
      </c>
      <c r="F974" t="s">
        <v>13</v>
      </c>
      <c r="G974" t="s">
        <v>14</v>
      </c>
      <c r="H974" t="s">
        <v>15</v>
      </c>
      <c r="I974" t="s">
        <v>15</v>
      </c>
      <c r="J974">
        <v>79</v>
      </c>
      <c r="K974">
        <v>84.1</v>
      </c>
      <c r="L974" t="s">
        <v>20</v>
      </c>
    </row>
    <row r="975" spans="1:12" x14ac:dyDescent="0.35">
      <c r="A975">
        <v>974</v>
      </c>
      <c r="B975" t="s">
        <v>12</v>
      </c>
      <c r="C975">
        <v>3.8</v>
      </c>
      <c r="D975">
        <v>89.1</v>
      </c>
      <c r="E975">
        <v>5.6</v>
      </c>
      <c r="F975" t="s">
        <v>18</v>
      </c>
      <c r="G975" t="s">
        <v>15</v>
      </c>
      <c r="H975" t="s">
        <v>14</v>
      </c>
      <c r="I975" t="s">
        <v>14</v>
      </c>
      <c r="J975">
        <v>71.2</v>
      </c>
      <c r="K975">
        <v>77.900000000000006</v>
      </c>
      <c r="L975" t="s">
        <v>22</v>
      </c>
    </row>
    <row r="976" spans="1:12" x14ac:dyDescent="0.35">
      <c r="A976">
        <v>975</v>
      </c>
      <c r="B976" t="s">
        <v>17</v>
      </c>
      <c r="C976">
        <v>3.5</v>
      </c>
      <c r="D976">
        <v>74.7</v>
      </c>
      <c r="E976">
        <v>5.4</v>
      </c>
      <c r="F976" t="s">
        <v>19</v>
      </c>
      <c r="G976" t="s">
        <v>14</v>
      </c>
      <c r="H976" t="s">
        <v>15</v>
      </c>
      <c r="I976" t="s">
        <v>15</v>
      </c>
      <c r="J976">
        <v>62</v>
      </c>
      <c r="K976">
        <v>67.900000000000006</v>
      </c>
      <c r="L976" t="s">
        <v>21</v>
      </c>
    </row>
    <row r="977" spans="1:12" x14ac:dyDescent="0.35">
      <c r="A977">
        <v>976</v>
      </c>
      <c r="B977" t="s">
        <v>17</v>
      </c>
      <c r="C977">
        <v>4.4000000000000004</v>
      </c>
      <c r="D977">
        <v>71.5</v>
      </c>
      <c r="E977">
        <v>4.8</v>
      </c>
      <c r="F977" t="s">
        <v>13</v>
      </c>
      <c r="G977" t="s">
        <v>14</v>
      </c>
      <c r="H977" t="s">
        <v>14</v>
      </c>
      <c r="I977" t="s">
        <v>14</v>
      </c>
      <c r="J977">
        <v>43.1</v>
      </c>
      <c r="K977">
        <v>67</v>
      </c>
      <c r="L977" t="s">
        <v>21</v>
      </c>
    </row>
    <row r="978" spans="1:12" x14ac:dyDescent="0.35">
      <c r="A978">
        <v>977</v>
      </c>
      <c r="B978" t="s">
        <v>17</v>
      </c>
      <c r="C978">
        <v>3.7</v>
      </c>
      <c r="D978">
        <v>69.8</v>
      </c>
      <c r="E978">
        <v>4.5999999999999996</v>
      </c>
      <c r="F978" t="s">
        <v>18</v>
      </c>
      <c r="G978" t="s">
        <v>15</v>
      </c>
      <c r="H978" t="s">
        <v>14</v>
      </c>
      <c r="I978" t="s">
        <v>15</v>
      </c>
      <c r="J978">
        <v>72.5</v>
      </c>
      <c r="K978">
        <v>80.900000000000006</v>
      </c>
      <c r="L978" t="s">
        <v>20</v>
      </c>
    </row>
    <row r="979" spans="1:12" x14ac:dyDescent="0.35">
      <c r="A979">
        <v>978</v>
      </c>
      <c r="B979" t="s">
        <v>17</v>
      </c>
      <c r="C979">
        <v>2</v>
      </c>
      <c r="D979">
        <v>96.1</v>
      </c>
      <c r="E979">
        <v>5.2</v>
      </c>
      <c r="F979" t="s">
        <v>13</v>
      </c>
      <c r="G979" t="s">
        <v>14</v>
      </c>
      <c r="H979" t="s">
        <v>14</v>
      </c>
      <c r="I979" t="s">
        <v>15</v>
      </c>
      <c r="J979">
        <v>60.7</v>
      </c>
      <c r="K979">
        <v>72.099999999999994</v>
      </c>
      <c r="L979" t="s">
        <v>22</v>
      </c>
    </row>
    <row r="980" spans="1:12" x14ac:dyDescent="0.35">
      <c r="A980">
        <v>979</v>
      </c>
      <c r="B980" t="s">
        <v>17</v>
      </c>
      <c r="C980">
        <v>5.3</v>
      </c>
      <c r="D980">
        <v>78.7</v>
      </c>
      <c r="E980">
        <v>5.9</v>
      </c>
      <c r="F980" t="s">
        <v>24</v>
      </c>
      <c r="G980" t="s">
        <v>14</v>
      </c>
      <c r="H980" t="s">
        <v>14</v>
      </c>
      <c r="I980" t="s">
        <v>15</v>
      </c>
      <c r="J980">
        <v>60.4</v>
      </c>
      <c r="K980">
        <v>83</v>
      </c>
      <c r="L980" t="s">
        <v>20</v>
      </c>
    </row>
    <row r="981" spans="1:12" x14ac:dyDescent="0.35">
      <c r="A981">
        <v>980</v>
      </c>
      <c r="B981" t="s">
        <v>17</v>
      </c>
      <c r="C981">
        <v>3.3</v>
      </c>
      <c r="D981">
        <v>100</v>
      </c>
      <c r="E981">
        <v>9.1</v>
      </c>
      <c r="F981" t="s">
        <v>18</v>
      </c>
      <c r="G981" t="s">
        <v>14</v>
      </c>
      <c r="H981" t="s">
        <v>14</v>
      </c>
      <c r="I981" t="s">
        <v>15</v>
      </c>
      <c r="J981">
        <v>64</v>
      </c>
      <c r="K981">
        <v>93.9</v>
      </c>
      <c r="L981" t="s">
        <v>16</v>
      </c>
    </row>
    <row r="982" spans="1:12" x14ac:dyDescent="0.35">
      <c r="A982">
        <v>981</v>
      </c>
      <c r="B982" t="s">
        <v>17</v>
      </c>
      <c r="C982">
        <v>3.5</v>
      </c>
      <c r="D982">
        <v>79.599999999999994</v>
      </c>
      <c r="E982">
        <v>6.2</v>
      </c>
      <c r="F982" t="s">
        <v>18</v>
      </c>
      <c r="G982" t="s">
        <v>14</v>
      </c>
      <c r="H982" t="s">
        <v>14</v>
      </c>
      <c r="I982" t="s">
        <v>15</v>
      </c>
      <c r="J982">
        <v>90.9</v>
      </c>
      <c r="K982">
        <v>91.4</v>
      </c>
      <c r="L982" t="s">
        <v>16</v>
      </c>
    </row>
    <row r="983" spans="1:12" x14ac:dyDescent="0.35">
      <c r="A983">
        <v>982</v>
      </c>
      <c r="B983" t="s">
        <v>17</v>
      </c>
      <c r="C983">
        <v>2.1</v>
      </c>
      <c r="D983">
        <v>67.900000000000006</v>
      </c>
      <c r="E983">
        <v>7</v>
      </c>
      <c r="F983" t="s">
        <v>18</v>
      </c>
      <c r="G983" t="s">
        <v>15</v>
      </c>
      <c r="H983" t="s">
        <v>15</v>
      </c>
      <c r="I983" t="s">
        <v>14</v>
      </c>
      <c r="J983">
        <v>98.9</v>
      </c>
      <c r="K983">
        <v>79.7</v>
      </c>
      <c r="L983" t="s">
        <v>22</v>
      </c>
    </row>
    <row r="984" spans="1:12" x14ac:dyDescent="0.35">
      <c r="A984">
        <v>983</v>
      </c>
      <c r="B984" t="s">
        <v>17</v>
      </c>
      <c r="C984">
        <v>2.8</v>
      </c>
      <c r="D984">
        <v>73.8</v>
      </c>
      <c r="E984">
        <v>7.3</v>
      </c>
      <c r="F984" t="s">
        <v>18</v>
      </c>
      <c r="G984" t="s">
        <v>14</v>
      </c>
      <c r="H984" t="s">
        <v>15</v>
      </c>
      <c r="I984" t="s">
        <v>14</v>
      </c>
      <c r="J984">
        <v>72.599999999999994</v>
      </c>
      <c r="K984">
        <v>77.7</v>
      </c>
      <c r="L984" t="s">
        <v>22</v>
      </c>
    </row>
    <row r="985" spans="1:12" x14ac:dyDescent="0.35">
      <c r="A985">
        <v>984</v>
      </c>
      <c r="B985" t="s">
        <v>12</v>
      </c>
      <c r="C985">
        <v>2.2000000000000002</v>
      </c>
      <c r="D985">
        <v>97.4</v>
      </c>
      <c r="E985">
        <v>7</v>
      </c>
      <c r="F985" t="s">
        <v>23</v>
      </c>
      <c r="G985" t="s">
        <v>14</v>
      </c>
      <c r="H985" t="s">
        <v>14</v>
      </c>
      <c r="I985" t="s">
        <v>15</v>
      </c>
      <c r="J985">
        <v>64.400000000000006</v>
      </c>
      <c r="K985">
        <v>85</v>
      </c>
      <c r="L985" t="s">
        <v>20</v>
      </c>
    </row>
    <row r="986" spans="1:12" x14ac:dyDescent="0.35">
      <c r="A986">
        <v>985</v>
      </c>
      <c r="B986" t="s">
        <v>17</v>
      </c>
      <c r="C986">
        <v>3.2</v>
      </c>
      <c r="D986">
        <v>83.4</v>
      </c>
      <c r="E986">
        <v>6.7</v>
      </c>
      <c r="F986" t="s">
        <v>13</v>
      </c>
      <c r="G986" t="s">
        <v>14</v>
      </c>
      <c r="H986" t="s">
        <v>14</v>
      </c>
      <c r="I986" t="s">
        <v>15</v>
      </c>
      <c r="J986">
        <v>55.9</v>
      </c>
      <c r="K986">
        <v>75.400000000000006</v>
      </c>
      <c r="L986" t="s">
        <v>22</v>
      </c>
    </row>
    <row r="987" spans="1:12" x14ac:dyDescent="0.35">
      <c r="A987">
        <v>986</v>
      </c>
      <c r="B987" t="s">
        <v>17</v>
      </c>
      <c r="C987">
        <v>6.1</v>
      </c>
      <c r="D987">
        <v>79.5</v>
      </c>
      <c r="E987">
        <v>5.4</v>
      </c>
      <c r="F987" t="s">
        <v>18</v>
      </c>
      <c r="G987" t="s">
        <v>14</v>
      </c>
      <c r="H987" t="s">
        <v>15</v>
      </c>
      <c r="I987" t="s">
        <v>15</v>
      </c>
      <c r="J987">
        <v>75.599999999999994</v>
      </c>
      <c r="K987">
        <v>96.4</v>
      </c>
      <c r="L987" t="s">
        <v>16</v>
      </c>
    </row>
    <row r="988" spans="1:12" x14ac:dyDescent="0.35">
      <c r="A988">
        <v>987</v>
      </c>
      <c r="B988" t="s">
        <v>17</v>
      </c>
      <c r="C988">
        <v>1.4</v>
      </c>
      <c r="D988">
        <v>86.6</v>
      </c>
      <c r="E988">
        <v>8.5</v>
      </c>
      <c r="F988" t="s">
        <v>18</v>
      </c>
      <c r="G988" t="s">
        <v>14</v>
      </c>
      <c r="H988" t="s">
        <v>14</v>
      </c>
      <c r="I988" t="s">
        <v>15</v>
      </c>
      <c r="J988">
        <v>91.4</v>
      </c>
      <c r="K988">
        <v>81.8</v>
      </c>
      <c r="L988" t="s">
        <v>20</v>
      </c>
    </row>
    <row r="989" spans="1:12" x14ac:dyDescent="0.35">
      <c r="A989">
        <v>988</v>
      </c>
      <c r="B989" t="s">
        <v>17</v>
      </c>
      <c r="C989">
        <v>1.1000000000000001</v>
      </c>
      <c r="D989">
        <v>90</v>
      </c>
      <c r="E989">
        <v>9</v>
      </c>
      <c r="F989" t="s">
        <v>18</v>
      </c>
      <c r="G989" t="s">
        <v>14</v>
      </c>
      <c r="H989" t="s">
        <v>14</v>
      </c>
      <c r="I989" t="s">
        <v>15</v>
      </c>
      <c r="J989">
        <v>67</v>
      </c>
      <c r="K989">
        <v>85.8</v>
      </c>
      <c r="L989" t="s">
        <v>20</v>
      </c>
    </row>
    <row r="990" spans="1:12" x14ac:dyDescent="0.35">
      <c r="A990">
        <v>989</v>
      </c>
      <c r="B990" t="s">
        <v>17</v>
      </c>
      <c r="C990">
        <v>5.7</v>
      </c>
      <c r="D990">
        <v>96.2</v>
      </c>
      <c r="E990">
        <v>4.8</v>
      </c>
      <c r="F990" t="s">
        <v>19</v>
      </c>
      <c r="G990" t="s">
        <v>14</v>
      </c>
      <c r="H990" t="s">
        <v>15</v>
      </c>
      <c r="I990" t="s">
        <v>15</v>
      </c>
      <c r="J990">
        <v>41.5</v>
      </c>
      <c r="K990">
        <v>80.900000000000006</v>
      </c>
      <c r="L990" t="s">
        <v>20</v>
      </c>
    </row>
    <row r="991" spans="1:12" x14ac:dyDescent="0.35">
      <c r="A991">
        <v>990</v>
      </c>
      <c r="B991" t="s">
        <v>17</v>
      </c>
      <c r="C991">
        <v>3.2</v>
      </c>
      <c r="D991">
        <v>99.5</v>
      </c>
      <c r="E991">
        <v>5.6</v>
      </c>
      <c r="F991" t="s">
        <v>18</v>
      </c>
      <c r="G991" t="s">
        <v>14</v>
      </c>
      <c r="H991" t="s">
        <v>15</v>
      </c>
      <c r="I991" t="s">
        <v>14</v>
      </c>
      <c r="J991">
        <v>78</v>
      </c>
      <c r="K991">
        <v>93.9</v>
      </c>
      <c r="L991" t="s">
        <v>16</v>
      </c>
    </row>
    <row r="992" spans="1:12" x14ac:dyDescent="0.35">
      <c r="A992">
        <v>991</v>
      </c>
      <c r="B992" t="s">
        <v>17</v>
      </c>
      <c r="C992">
        <v>2.5</v>
      </c>
      <c r="D992">
        <v>81.400000000000006</v>
      </c>
      <c r="E992">
        <v>6.5</v>
      </c>
      <c r="F992" t="s">
        <v>19</v>
      </c>
      <c r="G992" t="s">
        <v>14</v>
      </c>
      <c r="H992" t="s">
        <v>15</v>
      </c>
      <c r="I992" t="s">
        <v>15</v>
      </c>
      <c r="J992">
        <v>81.8</v>
      </c>
      <c r="K992">
        <v>81.900000000000006</v>
      </c>
      <c r="L992" t="s">
        <v>20</v>
      </c>
    </row>
    <row r="993" spans="1:12" x14ac:dyDescent="0.35">
      <c r="A993">
        <v>992</v>
      </c>
      <c r="B993" t="s">
        <v>17</v>
      </c>
      <c r="C993">
        <v>5.0999999999999996</v>
      </c>
      <c r="D993">
        <v>71.7</v>
      </c>
      <c r="E993">
        <v>5.6</v>
      </c>
      <c r="F993" t="s">
        <v>13</v>
      </c>
      <c r="G993" t="s">
        <v>14</v>
      </c>
      <c r="H993" t="s">
        <v>14</v>
      </c>
      <c r="I993" t="s">
        <v>15</v>
      </c>
      <c r="J993">
        <v>51</v>
      </c>
      <c r="K993">
        <v>80.400000000000006</v>
      </c>
      <c r="L993" t="s">
        <v>20</v>
      </c>
    </row>
    <row r="994" spans="1:12" x14ac:dyDescent="0.35">
      <c r="A994">
        <v>993</v>
      </c>
      <c r="B994" t="s">
        <v>17</v>
      </c>
      <c r="C994">
        <v>2.6</v>
      </c>
      <c r="D994">
        <v>80.900000000000006</v>
      </c>
      <c r="E994">
        <v>7.4</v>
      </c>
      <c r="F994" t="s">
        <v>18</v>
      </c>
      <c r="G994" t="s">
        <v>14</v>
      </c>
      <c r="H994" t="s">
        <v>14</v>
      </c>
      <c r="I994" t="s">
        <v>15</v>
      </c>
      <c r="J994">
        <v>72.099999999999994</v>
      </c>
      <c r="K994">
        <v>78.8</v>
      </c>
      <c r="L994" t="s">
        <v>22</v>
      </c>
    </row>
    <row r="995" spans="1:12" x14ac:dyDescent="0.35">
      <c r="A995">
        <v>994</v>
      </c>
      <c r="B995" t="s">
        <v>17</v>
      </c>
      <c r="C995">
        <v>6.2</v>
      </c>
      <c r="D995">
        <v>87.6</v>
      </c>
      <c r="E995">
        <v>5.9</v>
      </c>
      <c r="F995" t="s">
        <v>24</v>
      </c>
      <c r="G995" t="s">
        <v>14</v>
      </c>
      <c r="H995" t="s">
        <v>15</v>
      </c>
      <c r="I995" t="s">
        <v>15</v>
      </c>
      <c r="J995">
        <v>75.400000000000006</v>
      </c>
      <c r="K995">
        <v>92.7</v>
      </c>
      <c r="L995" t="s">
        <v>16</v>
      </c>
    </row>
    <row r="996" spans="1:12" x14ac:dyDescent="0.35">
      <c r="A996">
        <v>995</v>
      </c>
      <c r="B996" t="s">
        <v>17</v>
      </c>
      <c r="C996">
        <v>4.5</v>
      </c>
      <c r="D996">
        <v>75.400000000000006</v>
      </c>
      <c r="E996">
        <v>9.4</v>
      </c>
      <c r="F996" t="s">
        <v>13</v>
      </c>
      <c r="G996" t="s">
        <v>14</v>
      </c>
      <c r="H996" t="s">
        <v>14</v>
      </c>
      <c r="I996" t="s">
        <v>15</v>
      </c>
      <c r="J996">
        <v>69.099999999999994</v>
      </c>
      <c r="K996">
        <v>79.099999999999994</v>
      </c>
      <c r="L996" t="s">
        <v>22</v>
      </c>
    </row>
    <row r="997" spans="1:12" x14ac:dyDescent="0.35">
      <c r="A997">
        <v>996</v>
      </c>
      <c r="B997" t="s">
        <v>12</v>
      </c>
      <c r="C997">
        <v>2.8</v>
      </c>
      <c r="D997">
        <v>75.400000000000006</v>
      </c>
      <c r="E997">
        <v>8.1999999999999993</v>
      </c>
      <c r="F997" t="s">
        <v>23</v>
      </c>
      <c r="G997" t="s">
        <v>14</v>
      </c>
      <c r="H997" t="s">
        <v>14</v>
      </c>
      <c r="I997" t="s">
        <v>15</v>
      </c>
      <c r="J997">
        <v>60.5</v>
      </c>
      <c r="K997">
        <v>70.7</v>
      </c>
      <c r="L997" t="s">
        <v>22</v>
      </c>
    </row>
    <row r="998" spans="1:12" x14ac:dyDescent="0.35">
      <c r="A998">
        <v>997</v>
      </c>
      <c r="B998" t="s">
        <v>12</v>
      </c>
      <c r="C998">
        <v>6.7</v>
      </c>
      <c r="D998">
        <v>88.4</v>
      </c>
      <c r="E998">
        <v>7.1</v>
      </c>
      <c r="F998" t="s">
        <v>19</v>
      </c>
      <c r="G998" t="s">
        <v>15</v>
      </c>
      <c r="H998" t="s">
        <v>14</v>
      </c>
      <c r="I998" t="s">
        <v>15</v>
      </c>
      <c r="J998">
        <v>82.2</v>
      </c>
      <c r="K998">
        <v>99.5</v>
      </c>
      <c r="L998" t="s">
        <v>16</v>
      </c>
    </row>
    <row r="999" spans="1:12" x14ac:dyDescent="0.35">
      <c r="A999">
        <v>998</v>
      </c>
      <c r="B999" t="s">
        <v>17</v>
      </c>
      <c r="C999">
        <v>2.6</v>
      </c>
      <c r="D999">
        <v>84.5</v>
      </c>
      <c r="E999">
        <v>8</v>
      </c>
      <c r="F999" t="s">
        <v>18</v>
      </c>
      <c r="G999" t="s">
        <v>14</v>
      </c>
      <c r="H999" t="s">
        <v>14</v>
      </c>
      <c r="I999" t="s">
        <v>14</v>
      </c>
      <c r="J999">
        <v>65.2</v>
      </c>
      <c r="K999">
        <v>79.2</v>
      </c>
      <c r="L999" t="s">
        <v>22</v>
      </c>
    </row>
    <row r="1000" spans="1:12" x14ac:dyDescent="0.35">
      <c r="A1000">
        <v>999</v>
      </c>
      <c r="B1000" t="s">
        <v>17</v>
      </c>
      <c r="C1000">
        <v>4.5999999999999996</v>
      </c>
      <c r="D1000">
        <v>85.3</v>
      </c>
      <c r="E1000">
        <v>8.1</v>
      </c>
      <c r="F1000" t="s">
        <v>18</v>
      </c>
      <c r="G1000" t="s">
        <v>15</v>
      </c>
      <c r="H1000" t="s">
        <v>15</v>
      </c>
      <c r="I1000" t="s">
        <v>14</v>
      </c>
      <c r="J1000">
        <v>52.2</v>
      </c>
      <c r="K1000">
        <v>82.2</v>
      </c>
      <c r="L1000" t="s">
        <v>20</v>
      </c>
    </row>
    <row r="1001" spans="1:12" x14ac:dyDescent="0.35">
      <c r="A1001">
        <v>1000</v>
      </c>
      <c r="B1001" t="s">
        <v>12</v>
      </c>
      <c r="C1001">
        <v>3.9</v>
      </c>
      <c r="D1001">
        <v>77.400000000000006</v>
      </c>
      <c r="E1001">
        <v>6.1</v>
      </c>
      <c r="F1001" t="s">
        <v>23</v>
      </c>
      <c r="G1001" t="s">
        <v>14</v>
      </c>
      <c r="H1001" t="s">
        <v>15</v>
      </c>
      <c r="I1001" t="s">
        <v>15</v>
      </c>
      <c r="J1001">
        <v>45.4</v>
      </c>
      <c r="K1001">
        <v>70.400000000000006</v>
      </c>
      <c r="L1001" t="s">
        <v>22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FAF41-1F37-4D65-B7C3-E33AEE2B5EB3}">
  <dimension ref="A1:D3"/>
  <sheetViews>
    <sheetView zoomScale="72" workbookViewId="0">
      <selection activeCell="B21" sqref="B21"/>
    </sheetView>
  </sheetViews>
  <sheetFormatPr defaultRowHeight="14.5" x14ac:dyDescent="0.35"/>
  <cols>
    <col min="1" max="1" width="61.36328125" bestFit="1" customWidth="1"/>
    <col min="2" max="2" width="33.26953125" customWidth="1"/>
    <col min="3" max="3" width="53.08984375" customWidth="1"/>
    <col min="4" max="4" width="37.1796875" customWidth="1"/>
  </cols>
  <sheetData>
    <row r="1" spans="1:4" ht="23.5" x14ac:dyDescent="0.55000000000000004">
      <c r="A1" s="20" t="s">
        <v>59</v>
      </c>
      <c r="B1" s="21"/>
      <c r="C1" s="21"/>
      <c r="D1" s="22"/>
    </row>
    <row r="2" spans="1:4" ht="18.5" x14ac:dyDescent="0.35">
      <c r="A2" s="2" t="s">
        <v>67</v>
      </c>
      <c r="B2" s="1" t="s">
        <v>66</v>
      </c>
      <c r="C2" s="2" t="s">
        <v>64</v>
      </c>
      <c r="D2" s="4" t="s">
        <v>65</v>
      </c>
    </row>
    <row r="3" spans="1:4" ht="256" x14ac:dyDescent="0.35">
      <c r="A3" s="3" t="s">
        <v>61</v>
      </c>
      <c r="B3" s="3" t="s">
        <v>60</v>
      </c>
      <c r="C3" s="3" t="s">
        <v>62</v>
      </c>
      <c r="D3" s="5" t="s">
        <v>63</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2DC2-CB83-4083-B9A8-2B467012EB83}">
  <sheetPr codeName="Sheet3"/>
  <dimension ref="A1:AA1001"/>
  <sheetViews>
    <sheetView topLeftCell="A2" zoomScale="57" zoomScaleNormal="10" workbookViewId="0">
      <selection activeCell="C11" sqref="C11"/>
    </sheetView>
  </sheetViews>
  <sheetFormatPr defaultRowHeight="14.5" x14ac:dyDescent="0.35"/>
  <cols>
    <col min="1" max="1" width="12" bestFit="1" customWidth="1"/>
    <col min="2" max="2" width="8.81640625" bestFit="1" customWidth="1"/>
    <col min="3" max="3" width="18" bestFit="1" customWidth="1"/>
    <col min="4" max="4" width="20.08984375" bestFit="1" customWidth="1"/>
    <col min="5" max="5" width="13.1796875" bestFit="1" customWidth="1"/>
    <col min="6" max="6" width="19.54296875" bestFit="1" customWidth="1"/>
    <col min="7" max="7" width="16.453125" bestFit="1" customWidth="1"/>
    <col min="8" max="8" width="24.26953125" bestFit="1" customWidth="1"/>
    <col min="9" max="9" width="14.54296875" bestFit="1" customWidth="1"/>
    <col min="10" max="10" width="15.81640625" bestFit="1" customWidth="1"/>
    <col min="11" max="11" width="17.7265625" bestFit="1" customWidth="1"/>
    <col min="12" max="12" width="12.36328125" bestFit="1" customWidth="1"/>
    <col min="14" max="14" width="20.6328125" bestFit="1" customWidth="1"/>
    <col min="15" max="15" width="19.6328125" bestFit="1" customWidth="1"/>
    <col min="16" max="16" width="25.7265625" bestFit="1" customWidth="1"/>
    <col min="17" max="17" width="23.36328125" bestFit="1" customWidth="1"/>
    <col min="18" max="18" width="21.1796875" bestFit="1" customWidth="1"/>
    <col min="19" max="19" width="20.1796875" bestFit="1" customWidth="1"/>
    <col min="20" max="20" width="15.90625" bestFit="1" customWidth="1"/>
    <col min="21" max="21" width="17.7265625" bestFit="1" customWidth="1"/>
    <col min="22" max="22" width="30.1796875" bestFit="1" customWidth="1"/>
    <col min="23" max="23" width="22.54296875" customWidth="1"/>
    <col min="24" max="24" width="15.6328125" bestFit="1" customWidth="1"/>
    <col min="25" max="25" width="13.6328125" bestFit="1" customWidth="1"/>
    <col min="26" max="26" width="12.6328125" bestFit="1" customWidth="1"/>
    <col min="27" max="27" width="10.90625" bestFit="1" customWidth="1"/>
    <col min="28" max="28" width="12.36328125" bestFit="1" customWidth="1"/>
    <col min="29" max="29" width="19.36328125" bestFit="1" customWidth="1"/>
    <col min="31" max="31" width="10.54296875" bestFit="1" customWidth="1"/>
  </cols>
  <sheetData>
    <row r="1" spans="1:27" x14ac:dyDescent="0.35">
      <c r="A1" t="s">
        <v>0</v>
      </c>
      <c r="B1" t="s">
        <v>1</v>
      </c>
      <c r="C1" t="s">
        <v>2</v>
      </c>
      <c r="D1" t="s">
        <v>3</v>
      </c>
      <c r="E1" t="s">
        <v>4</v>
      </c>
      <c r="F1" t="s">
        <v>5</v>
      </c>
      <c r="G1" t="s">
        <v>6</v>
      </c>
      <c r="H1" t="s">
        <v>7</v>
      </c>
      <c r="I1" t="s">
        <v>8</v>
      </c>
      <c r="J1" t="s">
        <v>9</v>
      </c>
      <c r="K1" t="s">
        <v>10</v>
      </c>
      <c r="L1" t="s">
        <v>11</v>
      </c>
      <c r="N1" s="24" t="s">
        <v>69</v>
      </c>
      <c r="O1" s="24"/>
      <c r="P1" s="24"/>
      <c r="Q1" s="24"/>
      <c r="R1" s="24"/>
      <c r="S1" s="24"/>
      <c r="T1" s="24"/>
    </row>
    <row r="2" spans="1:27" x14ac:dyDescent="0.35">
      <c r="A2">
        <v>1</v>
      </c>
      <c r="B2" t="s">
        <v>12</v>
      </c>
      <c r="C2">
        <v>4</v>
      </c>
      <c r="D2">
        <v>98</v>
      </c>
      <c r="E2">
        <v>6.5</v>
      </c>
      <c r="F2" t="s">
        <v>13</v>
      </c>
      <c r="G2" t="s">
        <v>14</v>
      </c>
      <c r="H2" t="s">
        <v>14</v>
      </c>
      <c r="I2" t="s">
        <v>15</v>
      </c>
      <c r="J2">
        <v>76.900000000000006</v>
      </c>
      <c r="K2">
        <v>100</v>
      </c>
      <c r="L2" t="s">
        <v>16</v>
      </c>
      <c r="N2" s="9" t="s">
        <v>68</v>
      </c>
      <c r="O2" s="9" t="s">
        <v>26</v>
      </c>
      <c r="P2" s="9" t="s">
        <v>27</v>
      </c>
      <c r="Q2" s="9" t="s">
        <v>28</v>
      </c>
      <c r="R2" s="9" t="s">
        <v>29</v>
      </c>
      <c r="S2" s="9"/>
      <c r="T2" s="9" t="s">
        <v>82</v>
      </c>
    </row>
    <row r="3" spans="1:27" x14ac:dyDescent="0.35">
      <c r="A3">
        <v>2</v>
      </c>
      <c r="B3" t="s">
        <v>17</v>
      </c>
      <c r="C3">
        <v>6.3</v>
      </c>
      <c r="D3">
        <v>100</v>
      </c>
      <c r="E3">
        <v>5.7</v>
      </c>
      <c r="F3" t="s">
        <v>18</v>
      </c>
      <c r="G3" t="s">
        <v>14</v>
      </c>
      <c r="H3" t="s">
        <v>14</v>
      </c>
      <c r="I3" t="s">
        <v>14</v>
      </c>
      <c r="J3">
        <v>75.5</v>
      </c>
      <c r="K3">
        <v>100</v>
      </c>
      <c r="L3" t="s">
        <v>16</v>
      </c>
      <c r="N3" s="12">
        <f>AVERAGE(student_performance_dataset__2[final_exam_score])</f>
        <v>83.543500000000094</v>
      </c>
      <c r="O3" s="12">
        <f>MIN(student_performance_dataset__2[final_exam_score])</f>
        <v>46.8</v>
      </c>
      <c r="P3" s="14">
        <f>MAX(student_performance_dataset__2[final_exam_score])</f>
        <v>100</v>
      </c>
      <c r="Q3" s="12">
        <f>MEDIAN(student_performance_dataset__2[final_exam_score])</f>
        <v>83.8</v>
      </c>
      <c r="R3" s="12">
        <f>_xlfn.STDEV.P(student_performance_dataset__2[final_exam_score])</f>
        <v>10.336160687121279</v>
      </c>
      <c r="T3">
        <f>COUNTIF(student_performance_dataset__2[final_exam_score],"100")</f>
        <v>78</v>
      </c>
    </row>
    <row r="4" spans="1:27" x14ac:dyDescent="0.35">
      <c r="A4">
        <v>3</v>
      </c>
      <c r="B4" t="s">
        <v>12</v>
      </c>
      <c r="C4">
        <v>4.9000000000000004</v>
      </c>
      <c r="D4">
        <v>85.3</v>
      </c>
      <c r="E4">
        <v>7.9</v>
      </c>
      <c r="F4" t="s">
        <v>13</v>
      </c>
      <c r="G4" t="s">
        <v>14</v>
      </c>
      <c r="H4" t="s">
        <v>15</v>
      </c>
      <c r="I4" t="s">
        <v>14</v>
      </c>
      <c r="J4">
        <v>88.5</v>
      </c>
      <c r="K4">
        <v>97.3</v>
      </c>
      <c r="L4" t="s">
        <v>16</v>
      </c>
    </row>
    <row r="5" spans="1:27" x14ac:dyDescent="0.35">
      <c r="A5">
        <v>4</v>
      </c>
      <c r="B5" t="s">
        <v>12</v>
      </c>
      <c r="C5">
        <v>2.6</v>
      </c>
      <c r="D5">
        <v>77.5</v>
      </c>
      <c r="E5">
        <v>8</v>
      </c>
      <c r="F5" t="s">
        <v>19</v>
      </c>
      <c r="G5" t="s">
        <v>14</v>
      </c>
      <c r="H5" t="s">
        <v>14</v>
      </c>
      <c r="I5" t="s">
        <v>15</v>
      </c>
      <c r="J5">
        <v>85.1</v>
      </c>
      <c r="K5">
        <v>83.8</v>
      </c>
      <c r="L5" t="s">
        <v>20</v>
      </c>
    </row>
    <row r="6" spans="1:27" x14ac:dyDescent="0.35">
      <c r="A6">
        <v>5</v>
      </c>
      <c r="B6" t="s">
        <v>12</v>
      </c>
      <c r="C6">
        <v>2.2000000000000002</v>
      </c>
      <c r="D6">
        <v>89.6</v>
      </c>
      <c r="E6">
        <v>4.5999999999999996</v>
      </c>
      <c r="F6" t="s">
        <v>13</v>
      </c>
      <c r="G6" t="s">
        <v>14</v>
      </c>
      <c r="H6" t="s">
        <v>15</v>
      </c>
      <c r="I6" t="s">
        <v>14</v>
      </c>
      <c r="J6">
        <v>61.8</v>
      </c>
      <c r="K6">
        <v>68.3</v>
      </c>
      <c r="L6" t="s">
        <v>21</v>
      </c>
      <c r="N6" s="23"/>
      <c r="O6" s="23"/>
      <c r="P6" s="23"/>
      <c r="Q6" s="23"/>
      <c r="R6" s="23"/>
      <c r="S6" s="23"/>
      <c r="T6" s="23"/>
      <c r="U6" s="23"/>
      <c r="V6" s="23"/>
      <c r="W6" s="23"/>
      <c r="X6" s="23"/>
    </row>
    <row r="7" spans="1:27" x14ac:dyDescent="0.35">
      <c r="A7">
        <v>6</v>
      </c>
      <c r="B7" t="s">
        <v>17</v>
      </c>
      <c r="C7">
        <v>4.2</v>
      </c>
      <c r="D7">
        <v>78.2</v>
      </c>
      <c r="E7">
        <v>5.7</v>
      </c>
      <c r="F7" t="s">
        <v>18</v>
      </c>
      <c r="G7" t="s">
        <v>14</v>
      </c>
      <c r="H7" t="s">
        <v>15</v>
      </c>
      <c r="I7" t="s">
        <v>15</v>
      </c>
      <c r="J7">
        <v>79.8</v>
      </c>
      <c r="K7">
        <v>81.599999999999994</v>
      </c>
      <c r="L7" t="s">
        <v>20</v>
      </c>
      <c r="N7" s="9" t="s">
        <v>70</v>
      </c>
      <c r="O7" s="9" t="s">
        <v>71</v>
      </c>
      <c r="P7" s="9" t="s">
        <v>72</v>
      </c>
      <c r="Q7" s="13" t="s">
        <v>73</v>
      </c>
      <c r="R7" s="13" t="s">
        <v>74</v>
      </c>
      <c r="S7" s="13" t="s">
        <v>75</v>
      </c>
      <c r="T7" s="13" t="s">
        <v>76</v>
      </c>
      <c r="U7" s="13" t="s">
        <v>77</v>
      </c>
      <c r="V7" s="13" t="s">
        <v>78</v>
      </c>
      <c r="W7" s="13" t="s">
        <v>79</v>
      </c>
      <c r="X7" s="13" t="s">
        <v>80</v>
      </c>
      <c r="Y7" s="13" t="s">
        <v>35</v>
      </c>
      <c r="Z7" s="13" t="s">
        <v>34</v>
      </c>
      <c r="AA7" s="11" t="s">
        <v>81</v>
      </c>
    </row>
    <row r="8" spans="1:27" x14ac:dyDescent="0.35">
      <c r="A8">
        <v>7</v>
      </c>
      <c r="B8" t="s">
        <v>12</v>
      </c>
      <c r="C8">
        <v>1.5</v>
      </c>
      <c r="D8">
        <v>100</v>
      </c>
      <c r="E8">
        <v>5</v>
      </c>
      <c r="F8" t="s">
        <v>18</v>
      </c>
      <c r="G8" t="s">
        <v>14</v>
      </c>
      <c r="H8" t="s">
        <v>14</v>
      </c>
      <c r="I8" t="s">
        <v>14</v>
      </c>
      <c r="J8">
        <v>58.6</v>
      </c>
      <c r="K8">
        <v>69.599999999999994</v>
      </c>
      <c r="L8" t="s">
        <v>21</v>
      </c>
      <c r="N8" s="12">
        <f>CORREL(student_performance_dataset__2[sleep_hours],student_performance_dataset__2[final_exam_score])</f>
        <v>0.14781134461921075</v>
      </c>
      <c r="O8" s="12">
        <f>CORREL(student_performance_dataset__2[final_exam_score],student_performance_dataset__2[study_time_hours])</f>
        <v>0.56751318810391149</v>
      </c>
      <c r="P8">
        <f xml:space="preserve"> 85.06 - 83.23</f>
        <v>1.8299999999999983</v>
      </c>
      <c r="Q8" s="12">
        <f>CORREL(student_performance_dataset__2[previous_grade],student_performance_dataset__2[final_exam_score])</f>
        <v>0.40632715415561377</v>
      </c>
      <c r="R8" s="12">
        <f>84.6-81.3</f>
        <v>3.2999999999999972</v>
      </c>
      <c r="S8" s="12">
        <f>CORREL(student_performance_dataset__2[attendance_percent],student_performance_dataset__2[final_exam_score])</f>
        <v>0.26187177909198589</v>
      </c>
      <c r="T8" s="15">
        <f>78/1000</f>
        <v>7.8E-2</v>
      </c>
      <c r="U8" s="12">
        <f>AVERAGE(student_performance_dataset__2[study_time_hours])</f>
        <v>3.5707000000000018</v>
      </c>
      <c r="V8" s="12">
        <f>83.7-83.3</f>
        <v>0.40000000000000568</v>
      </c>
      <c r="W8" s="12">
        <v>5.0199999999999996</v>
      </c>
      <c r="X8" s="16">
        <f>ABS(AVERAGEIF(student_performance_dataset__2[gender],"Female",student_performance_dataset__2[final_exam_score])-AVERAGEIF(student_performance_dataset__2[gender],"Male",student_performance_dataset__2[final_exam_score]))</f>
        <v>0.12931172468982766</v>
      </c>
      <c r="Y8" s="12">
        <f>COUNTIF(student_performance_dataset__2[final_grade],"F")</f>
        <v>12</v>
      </c>
      <c r="Z8" s="14">
        <f>COUNT(student_performance_dataset__2[student_id])</f>
        <v>1000</v>
      </c>
      <c r="AA8" s="10">
        <f>Y8/Z8</f>
        <v>1.2E-2</v>
      </c>
    </row>
    <row r="9" spans="1:27" x14ac:dyDescent="0.35">
      <c r="A9">
        <v>8</v>
      </c>
      <c r="B9" t="s">
        <v>12</v>
      </c>
      <c r="C9">
        <v>6.2</v>
      </c>
      <c r="D9">
        <v>86.4</v>
      </c>
      <c r="E9">
        <v>6</v>
      </c>
      <c r="F9" t="s">
        <v>18</v>
      </c>
      <c r="G9" t="s">
        <v>14</v>
      </c>
      <c r="H9" t="s">
        <v>14</v>
      </c>
      <c r="I9" t="s">
        <v>15</v>
      </c>
      <c r="J9">
        <v>78.400000000000006</v>
      </c>
      <c r="K9">
        <v>88</v>
      </c>
      <c r="L9" t="s">
        <v>20</v>
      </c>
    </row>
    <row r="10" spans="1:27" x14ac:dyDescent="0.35">
      <c r="A10">
        <v>9</v>
      </c>
      <c r="B10" t="s">
        <v>12</v>
      </c>
      <c r="C10">
        <v>5.3</v>
      </c>
      <c r="D10">
        <v>81.3</v>
      </c>
      <c r="E10">
        <v>6.7</v>
      </c>
      <c r="F10" t="s">
        <v>13</v>
      </c>
      <c r="G10" t="s">
        <v>14</v>
      </c>
      <c r="H10" t="s">
        <v>15</v>
      </c>
      <c r="I10" t="s">
        <v>15</v>
      </c>
      <c r="J10">
        <v>63.8</v>
      </c>
      <c r="K10">
        <v>84.4</v>
      </c>
      <c r="L10" t="s">
        <v>20</v>
      </c>
    </row>
    <row r="11" spans="1:27" x14ac:dyDescent="0.35">
      <c r="A11">
        <v>10</v>
      </c>
      <c r="B11" t="s">
        <v>17</v>
      </c>
      <c r="C11">
        <v>2.8</v>
      </c>
      <c r="D11">
        <v>86.8</v>
      </c>
      <c r="E11">
        <v>5.0999999999999996</v>
      </c>
      <c r="F11" t="s">
        <v>13</v>
      </c>
      <c r="G11" t="s">
        <v>14</v>
      </c>
      <c r="H11" t="s">
        <v>14</v>
      </c>
      <c r="I11" t="s">
        <v>15</v>
      </c>
      <c r="J11">
        <v>57.7</v>
      </c>
      <c r="K11">
        <v>74.3</v>
      </c>
      <c r="L11" t="s">
        <v>22</v>
      </c>
    </row>
    <row r="12" spans="1:27" x14ac:dyDescent="0.35">
      <c r="A12">
        <v>11</v>
      </c>
      <c r="B12" t="s">
        <v>12</v>
      </c>
      <c r="C12">
        <v>0.9</v>
      </c>
      <c r="D12">
        <v>71.5</v>
      </c>
      <c r="E12">
        <v>5.7</v>
      </c>
      <c r="F12" t="s">
        <v>18</v>
      </c>
      <c r="G12" t="s">
        <v>14</v>
      </c>
      <c r="H12" t="s">
        <v>15</v>
      </c>
      <c r="I12" t="s">
        <v>14</v>
      </c>
      <c r="J12">
        <v>73.400000000000006</v>
      </c>
      <c r="K12">
        <v>68.900000000000006</v>
      </c>
      <c r="L12" t="s">
        <v>21</v>
      </c>
    </row>
    <row r="13" spans="1:27" x14ac:dyDescent="0.35">
      <c r="A13">
        <v>12</v>
      </c>
      <c r="B13" t="s">
        <v>12</v>
      </c>
      <c r="C13">
        <v>5.5</v>
      </c>
      <c r="D13">
        <v>75.3</v>
      </c>
      <c r="E13">
        <v>5.6</v>
      </c>
      <c r="F13" t="s">
        <v>19</v>
      </c>
      <c r="G13" t="s">
        <v>14</v>
      </c>
      <c r="H13" t="s">
        <v>14</v>
      </c>
      <c r="I13" t="s">
        <v>15</v>
      </c>
      <c r="J13">
        <v>37.9</v>
      </c>
      <c r="K13">
        <v>76.7</v>
      </c>
      <c r="L13" t="s">
        <v>22</v>
      </c>
      <c r="N13" s="9" t="s">
        <v>34</v>
      </c>
      <c r="O13" s="9" t="s">
        <v>36</v>
      </c>
      <c r="P13" s="9" t="s">
        <v>83</v>
      </c>
      <c r="Q13" s="11" t="s">
        <v>84</v>
      </c>
    </row>
    <row r="14" spans="1:27" x14ac:dyDescent="0.35">
      <c r="A14">
        <v>13</v>
      </c>
      <c r="B14" t="s">
        <v>12</v>
      </c>
      <c r="C14">
        <v>3.3</v>
      </c>
      <c r="D14">
        <v>97</v>
      </c>
      <c r="E14">
        <v>7</v>
      </c>
      <c r="F14" t="s">
        <v>23</v>
      </c>
      <c r="G14" t="s">
        <v>14</v>
      </c>
      <c r="H14" t="s">
        <v>14</v>
      </c>
      <c r="I14" t="s">
        <v>14</v>
      </c>
      <c r="J14">
        <v>49</v>
      </c>
      <c r="K14">
        <v>82.6</v>
      </c>
      <c r="L14" t="s">
        <v>20</v>
      </c>
      <c r="N14">
        <f>COUNT(student_performance_dataset__2[student_id])</f>
        <v>1000</v>
      </c>
      <c r="O14" s="12">
        <f>AVERAGE(student_performance_dataset__2[final_exam_score])</f>
        <v>83.543500000000094</v>
      </c>
      <c r="P14">
        <f>COUNTIF(student_performance_dataset__2[final_grade],"A")+COUNTIF(student_performance_dataset__2[final_grade],"B")</f>
        <v>638</v>
      </c>
      <c r="Q14" s="10">
        <f>P14/1000</f>
        <v>0.63800000000000001</v>
      </c>
    </row>
    <row r="15" spans="1:27" x14ac:dyDescent="0.35">
      <c r="A15">
        <v>14</v>
      </c>
      <c r="B15" t="s">
        <v>12</v>
      </c>
      <c r="C15">
        <v>5.4</v>
      </c>
      <c r="D15">
        <v>78.400000000000006</v>
      </c>
      <c r="E15">
        <v>6.9</v>
      </c>
      <c r="F15" t="s">
        <v>13</v>
      </c>
      <c r="G15" t="s">
        <v>15</v>
      </c>
      <c r="H15" t="s">
        <v>15</v>
      </c>
      <c r="I15" t="s">
        <v>15</v>
      </c>
      <c r="J15">
        <v>67.900000000000006</v>
      </c>
      <c r="K15">
        <v>93.3</v>
      </c>
      <c r="L15" t="s">
        <v>16</v>
      </c>
    </row>
    <row r="16" spans="1:27" x14ac:dyDescent="0.35">
      <c r="A16">
        <v>15</v>
      </c>
      <c r="B16" t="s">
        <v>17</v>
      </c>
      <c r="C16">
        <v>1.1000000000000001</v>
      </c>
      <c r="D16">
        <v>74.5</v>
      </c>
      <c r="E16">
        <v>5.9</v>
      </c>
      <c r="F16" t="s">
        <v>23</v>
      </c>
      <c r="G16" t="s">
        <v>14</v>
      </c>
      <c r="H16" t="s">
        <v>14</v>
      </c>
      <c r="I16" t="s">
        <v>14</v>
      </c>
      <c r="J16">
        <v>71</v>
      </c>
      <c r="K16">
        <v>73.900000000000006</v>
      </c>
      <c r="L16" t="s">
        <v>22</v>
      </c>
    </row>
    <row r="17" spans="1:12" x14ac:dyDescent="0.35">
      <c r="A17">
        <v>16</v>
      </c>
      <c r="B17" t="s">
        <v>12</v>
      </c>
      <c r="C17">
        <v>2.6</v>
      </c>
      <c r="D17">
        <v>90.4</v>
      </c>
      <c r="E17">
        <v>7</v>
      </c>
      <c r="F17" t="s">
        <v>18</v>
      </c>
      <c r="G17" t="s">
        <v>14</v>
      </c>
      <c r="H17" t="s">
        <v>14</v>
      </c>
      <c r="I17" t="s">
        <v>15</v>
      </c>
      <c r="J17">
        <v>65.599999999999994</v>
      </c>
      <c r="K17">
        <v>84.8</v>
      </c>
      <c r="L17" t="s">
        <v>20</v>
      </c>
    </row>
    <row r="18" spans="1:12" x14ac:dyDescent="0.35">
      <c r="A18">
        <v>17</v>
      </c>
      <c r="B18" t="s">
        <v>17</v>
      </c>
      <c r="C18">
        <v>3.5</v>
      </c>
      <c r="D18">
        <v>96.9</v>
      </c>
      <c r="E18">
        <v>6.1</v>
      </c>
      <c r="F18" t="s">
        <v>13</v>
      </c>
      <c r="G18" t="s">
        <v>14</v>
      </c>
      <c r="H18" t="s">
        <v>14</v>
      </c>
      <c r="I18" t="s">
        <v>15</v>
      </c>
      <c r="J18">
        <v>51</v>
      </c>
      <c r="K18">
        <v>81.5</v>
      </c>
      <c r="L18" t="s">
        <v>20</v>
      </c>
    </row>
    <row r="19" spans="1:12" x14ac:dyDescent="0.35">
      <c r="A19">
        <v>18</v>
      </c>
      <c r="B19" t="s">
        <v>17</v>
      </c>
      <c r="C19">
        <v>3.6</v>
      </c>
      <c r="D19">
        <v>92.2</v>
      </c>
      <c r="E19">
        <v>6.5</v>
      </c>
      <c r="F19" t="s">
        <v>13</v>
      </c>
      <c r="G19" t="s">
        <v>14</v>
      </c>
      <c r="H19" t="s">
        <v>14</v>
      </c>
      <c r="I19" t="s">
        <v>14</v>
      </c>
      <c r="J19">
        <v>60.2</v>
      </c>
      <c r="K19">
        <v>75.5</v>
      </c>
      <c r="L19" t="s">
        <v>22</v>
      </c>
    </row>
    <row r="20" spans="1:12" x14ac:dyDescent="0.35">
      <c r="A20">
        <v>19</v>
      </c>
      <c r="B20" t="s">
        <v>17</v>
      </c>
      <c r="C20">
        <v>2.8</v>
      </c>
      <c r="D20">
        <v>95</v>
      </c>
      <c r="E20">
        <v>8.8000000000000007</v>
      </c>
      <c r="F20" t="s">
        <v>23</v>
      </c>
      <c r="G20" t="s">
        <v>15</v>
      </c>
      <c r="H20" t="s">
        <v>14</v>
      </c>
      <c r="I20" t="s">
        <v>15</v>
      </c>
      <c r="J20">
        <v>74.7</v>
      </c>
      <c r="K20">
        <v>89.7</v>
      </c>
      <c r="L20" t="s">
        <v>20</v>
      </c>
    </row>
    <row r="21" spans="1:12" x14ac:dyDescent="0.35">
      <c r="A21">
        <v>20</v>
      </c>
      <c r="B21" t="s">
        <v>12</v>
      </c>
      <c r="C21">
        <v>4.4000000000000004</v>
      </c>
      <c r="D21">
        <v>77.400000000000006</v>
      </c>
      <c r="E21">
        <v>8.4</v>
      </c>
      <c r="F21" t="s">
        <v>23</v>
      </c>
      <c r="G21" t="s">
        <v>15</v>
      </c>
      <c r="H21" t="s">
        <v>15</v>
      </c>
      <c r="I21" t="s">
        <v>14</v>
      </c>
      <c r="J21">
        <v>77</v>
      </c>
      <c r="K21">
        <v>92.8</v>
      </c>
      <c r="L21" t="s">
        <v>16</v>
      </c>
    </row>
    <row r="22" spans="1:12" x14ac:dyDescent="0.35">
      <c r="A22">
        <v>21</v>
      </c>
      <c r="B22" t="s">
        <v>17</v>
      </c>
      <c r="C22">
        <v>1.9</v>
      </c>
      <c r="D22">
        <v>70.8</v>
      </c>
      <c r="E22">
        <v>5.2</v>
      </c>
      <c r="F22" t="s">
        <v>18</v>
      </c>
      <c r="G22" t="s">
        <v>14</v>
      </c>
      <c r="H22" t="s">
        <v>14</v>
      </c>
      <c r="I22" t="s">
        <v>15</v>
      </c>
      <c r="J22">
        <v>69.8</v>
      </c>
      <c r="K22">
        <v>73.5</v>
      </c>
      <c r="L22" t="s">
        <v>22</v>
      </c>
    </row>
    <row r="23" spans="1:12" x14ac:dyDescent="0.35">
      <c r="A23">
        <v>22</v>
      </c>
      <c r="B23" t="s">
        <v>12</v>
      </c>
      <c r="C23">
        <v>3.3</v>
      </c>
      <c r="D23">
        <v>100</v>
      </c>
      <c r="E23">
        <v>7.8</v>
      </c>
      <c r="F23" t="s">
        <v>19</v>
      </c>
      <c r="G23" t="s">
        <v>14</v>
      </c>
      <c r="H23" t="s">
        <v>14</v>
      </c>
      <c r="I23" t="s">
        <v>15</v>
      </c>
      <c r="J23">
        <v>83.9</v>
      </c>
      <c r="K23">
        <v>100</v>
      </c>
      <c r="L23" t="s">
        <v>16</v>
      </c>
    </row>
    <row r="24" spans="1:12" x14ac:dyDescent="0.35">
      <c r="A24">
        <v>23</v>
      </c>
      <c r="B24" t="s">
        <v>17</v>
      </c>
      <c r="C24">
        <v>3.7</v>
      </c>
      <c r="D24">
        <v>81.8</v>
      </c>
      <c r="E24">
        <v>7.8</v>
      </c>
      <c r="F24" t="s">
        <v>18</v>
      </c>
      <c r="G24" t="s">
        <v>15</v>
      </c>
      <c r="H24" t="s">
        <v>15</v>
      </c>
      <c r="I24" t="s">
        <v>15</v>
      </c>
      <c r="J24">
        <v>74.8</v>
      </c>
      <c r="K24">
        <v>73.400000000000006</v>
      </c>
      <c r="L24" t="s">
        <v>22</v>
      </c>
    </row>
    <row r="25" spans="1:12" x14ac:dyDescent="0.35">
      <c r="A25">
        <v>24</v>
      </c>
      <c r="B25" t="s">
        <v>17</v>
      </c>
      <c r="C25">
        <v>4.3</v>
      </c>
      <c r="D25">
        <v>82.5</v>
      </c>
      <c r="E25">
        <v>5.4</v>
      </c>
      <c r="F25" t="s">
        <v>24</v>
      </c>
      <c r="G25" t="s">
        <v>15</v>
      </c>
      <c r="H25" t="s">
        <v>14</v>
      </c>
      <c r="I25" t="s">
        <v>15</v>
      </c>
      <c r="J25">
        <v>61</v>
      </c>
      <c r="K25">
        <v>71.2</v>
      </c>
      <c r="L25" t="s">
        <v>22</v>
      </c>
    </row>
    <row r="26" spans="1:12" x14ac:dyDescent="0.35">
      <c r="A26">
        <v>25</v>
      </c>
      <c r="B26" t="s">
        <v>17</v>
      </c>
      <c r="C26">
        <v>4.5999999999999996</v>
      </c>
      <c r="D26">
        <v>98.3</v>
      </c>
      <c r="E26">
        <v>7.8</v>
      </c>
      <c r="F26" t="s">
        <v>19</v>
      </c>
      <c r="G26" t="s">
        <v>14</v>
      </c>
      <c r="H26" t="s">
        <v>14</v>
      </c>
      <c r="I26" t="s">
        <v>14</v>
      </c>
      <c r="J26">
        <v>66.599999999999994</v>
      </c>
      <c r="K26">
        <v>97.2</v>
      </c>
      <c r="L26" t="s">
        <v>16</v>
      </c>
    </row>
    <row r="27" spans="1:12" x14ac:dyDescent="0.35">
      <c r="A27">
        <v>26</v>
      </c>
      <c r="B27" t="s">
        <v>17</v>
      </c>
      <c r="C27">
        <v>1.8</v>
      </c>
      <c r="D27">
        <v>90.6</v>
      </c>
      <c r="E27">
        <v>8.6</v>
      </c>
      <c r="F27" t="s">
        <v>18</v>
      </c>
      <c r="G27" t="s">
        <v>14</v>
      </c>
      <c r="H27" t="s">
        <v>15</v>
      </c>
      <c r="I27" t="s">
        <v>15</v>
      </c>
      <c r="J27">
        <v>53.2</v>
      </c>
      <c r="K27">
        <v>76</v>
      </c>
      <c r="L27" t="s">
        <v>22</v>
      </c>
    </row>
    <row r="28" spans="1:12" x14ac:dyDescent="0.35">
      <c r="A28">
        <v>27</v>
      </c>
      <c r="B28" t="s">
        <v>17</v>
      </c>
      <c r="C28">
        <v>1.2</v>
      </c>
      <c r="D28">
        <v>89.6</v>
      </c>
      <c r="E28">
        <v>5.5</v>
      </c>
      <c r="F28" t="s">
        <v>23</v>
      </c>
      <c r="G28" t="s">
        <v>14</v>
      </c>
      <c r="H28" t="s">
        <v>15</v>
      </c>
      <c r="I28" t="s">
        <v>14</v>
      </c>
      <c r="J28">
        <v>68.7</v>
      </c>
      <c r="K28">
        <v>78.7</v>
      </c>
      <c r="L28" t="s">
        <v>22</v>
      </c>
    </row>
    <row r="29" spans="1:12" x14ac:dyDescent="0.35">
      <c r="A29">
        <v>28</v>
      </c>
      <c r="B29" t="s">
        <v>17</v>
      </c>
      <c r="C29">
        <v>5.4</v>
      </c>
      <c r="D29">
        <v>100</v>
      </c>
      <c r="E29">
        <v>5.7</v>
      </c>
      <c r="F29" t="s">
        <v>18</v>
      </c>
      <c r="G29" t="s">
        <v>15</v>
      </c>
      <c r="H29" t="s">
        <v>15</v>
      </c>
      <c r="I29" t="s">
        <v>15</v>
      </c>
      <c r="J29">
        <v>83.3</v>
      </c>
      <c r="K29">
        <v>97.4</v>
      </c>
      <c r="L29" t="s">
        <v>16</v>
      </c>
    </row>
    <row r="30" spans="1:12" x14ac:dyDescent="0.35">
      <c r="A30">
        <v>29</v>
      </c>
      <c r="B30" t="s">
        <v>17</v>
      </c>
      <c r="C30">
        <v>4</v>
      </c>
      <c r="D30">
        <v>78.599999999999994</v>
      </c>
      <c r="E30">
        <v>8</v>
      </c>
      <c r="F30" t="s">
        <v>13</v>
      </c>
      <c r="G30" t="s">
        <v>14</v>
      </c>
      <c r="H30" t="s">
        <v>15</v>
      </c>
      <c r="I30" t="s">
        <v>15</v>
      </c>
      <c r="J30">
        <v>78.2</v>
      </c>
      <c r="K30">
        <v>84.2</v>
      </c>
      <c r="L30" t="s">
        <v>20</v>
      </c>
    </row>
    <row r="31" spans="1:12" x14ac:dyDescent="0.35">
      <c r="A31">
        <v>30</v>
      </c>
      <c r="B31" t="s">
        <v>17</v>
      </c>
      <c r="C31">
        <v>2.4</v>
      </c>
      <c r="D31">
        <v>94.3</v>
      </c>
      <c r="E31">
        <v>7.1</v>
      </c>
      <c r="F31" t="s">
        <v>13</v>
      </c>
      <c r="G31" t="s">
        <v>14</v>
      </c>
      <c r="H31" t="s">
        <v>14</v>
      </c>
      <c r="I31" t="s">
        <v>15</v>
      </c>
      <c r="J31">
        <v>86.8</v>
      </c>
      <c r="K31">
        <v>89.8</v>
      </c>
      <c r="L31" t="s">
        <v>20</v>
      </c>
    </row>
    <row r="32" spans="1:12" x14ac:dyDescent="0.35">
      <c r="A32">
        <v>31</v>
      </c>
      <c r="B32" t="s">
        <v>12</v>
      </c>
      <c r="C32">
        <v>5.8</v>
      </c>
      <c r="D32">
        <v>85.6</v>
      </c>
      <c r="E32">
        <v>7.5</v>
      </c>
      <c r="F32" t="s">
        <v>13</v>
      </c>
      <c r="G32" t="s">
        <v>14</v>
      </c>
      <c r="H32" t="s">
        <v>15</v>
      </c>
      <c r="I32" t="s">
        <v>14</v>
      </c>
      <c r="J32">
        <v>66.400000000000006</v>
      </c>
      <c r="K32">
        <v>82.4</v>
      </c>
      <c r="L32" t="s">
        <v>20</v>
      </c>
    </row>
    <row r="33" spans="1:12" x14ac:dyDescent="0.35">
      <c r="A33">
        <v>32</v>
      </c>
      <c r="B33" t="s">
        <v>12</v>
      </c>
      <c r="C33">
        <v>3.7</v>
      </c>
      <c r="D33">
        <v>87.7</v>
      </c>
      <c r="E33">
        <v>7.2</v>
      </c>
      <c r="F33" t="s">
        <v>19</v>
      </c>
      <c r="G33" t="s">
        <v>14</v>
      </c>
      <c r="H33" t="s">
        <v>14</v>
      </c>
      <c r="I33" t="s">
        <v>15</v>
      </c>
      <c r="J33">
        <v>86.2</v>
      </c>
      <c r="K33">
        <v>87.7</v>
      </c>
      <c r="L33" t="s">
        <v>20</v>
      </c>
    </row>
    <row r="34" spans="1:12" x14ac:dyDescent="0.35">
      <c r="A34">
        <v>33</v>
      </c>
      <c r="B34" t="s">
        <v>17</v>
      </c>
      <c r="C34">
        <v>5.3</v>
      </c>
      <c r="D34">
        <v>100</v>
      </c>
      <c r="E34">
        <v>7.3</v>
      </c>
      <c r="F34" t="s">
        <v>23</v>
      </c>
      <c r="G34" t="s">
        <v>14</v>
      </c>
      <c r="H34" t="s">
        <v>14</v>
      </c>
      <c r="I34" t="s">
        <v>15</v>
      </c>
      <c r="J34">
        <v>67.7</v>
      </c>
      <c r="K34">
        <v>100</v>
      </c>
      <c r="L34" t="s">
        <v>16</v>
      </c>
    </row>
    <row r="35" spans="1:12" x14ac:dyDescent="0.35">
      <c r="A35">
        <v>34</v>
      </c>
      <c r="B35" t="s">
        <v>17</v>
      </c>
      <c r="C35">
        <v>3.6</v>
      </c>
      <c r="D35">
        <v>90.1</v>
      </c>
      <c r="E35">
        <v>5.2</v>
      </c>
      <c r="F35" t="s">
        <v>13</v>
      </c>
      <c r="G35" t="s">
        <v>15</v>
      </c>
      <c r="H35" t="s">
        <v>14</v>
      </c>
      <c r="I35" t="s">
        <v>15</v>
      </c>
      <c r="J35">
        <v>87.7</v>
      </c>
      <c r="K35">
        <v>93.3</v>
      </c>
      <c r="L35" t="s">
        <v>16</v>
      </c>
    </row>
    <row r="36" spans="1:12" x14ac:dyDescent="0.35">
      <c r="A36">
        <v>35</v>
      </c>
      <c r="B36" t="s">
        <v>17</v>
      </c>
      <c r="C36">
        <v>6.6</v>
      </c>
      <c r="D36">
        <v>90.4</v>
      </c>
      <c r="E36">
        <v>8.1</v>
      </c>
      <c r="F36" t="s">
        <v>23</v>
      </c>
      <c r="G36" t="s">
        <v>14</v>
      </c>
      <c r="H36" t="s">
        <v>14</v>
      </c>
      <c r="I36" t="s">
        <v>14</v>
      </c>
      <c r="J36">
        <v>69.7</v>
      </c>
      <c r="K36">
        <v>100</v>
      </c>
      <c r="L36" t="s">
        <v>16</v>
      </c>
    </row>
    <row r="37" spans="1:12" x14ac:dyDescent="0.35">
      <c r="A37">
        <v>36</v>
      </c>
      <c r="B37" t="s">
        <v>12</v>
      </c>
      <c r="C37">
        <v>6.1</v>
      </c>
      <c r="D37">
        <v>95.7</v>
      </c>
      <c r="E37">
        <v>8.1999999999999993</v>
      </c>
      <c r="F37" t="s">
        <v>19</v>
      </c>
      <c r="G37" t="s">
        <v>14</v>
      </c>
      <c r="H37" t="s">
        <v>14</v>
      </c>
      <c r="I37" t="s">
        <v>14</v>
      </c>
      <c r="J37">
        <v>78.5</v>
      </c>
      <c r="K37">
        <v>92.9</v>
      </c>
      <c r="L37" t="s">
        <v>16</v>
      </c>
    </row>
    <row r="38" spans="1:12" x14ac:dyDescent="0.35">
      <c r="A38">
        <v>37</v>
      </c>
      <c r="B38" t="s">
        <v>17</v>
      </c>
      <c r="C38">
        <v>3.1</v>
      </c>
      <c r="D38">
        <v>81.400000000000006</v>
      </c>
      <c r="E38">
        <v>6.5</v>
      </c>
      <c r="F38" t="s">
        <v>18</v>
      </c>
      <c r="G38" t="s">
        <v>14</v>
      </c>
      <c r="H38" t="s">
        <v>15</v>
      </c>
      <c r="I38" t="s">
        <v>14</v>
      </c>
      <c r="J38">
        <v>87.7</v>
      </c>
      <c r="K38">
        <v>83.2</v>
      </c>
      <c r="L38" t="s">
        <v>20</v>
      </c>
    </row>
    <row r="39" spans="1:12" x14ac:dyDescent="0.35">
      <c r="A39">
        <v>38</v>
      </c>
      <c r="B39" t="s">
        <v>12</v>
      </c>
      <c r="C39">
        <v>5</v>
      </c>
      <c r="D39">
        <v>76.599999999999994</v>
      </c>
      <c r="E39">
        <v>6.7</v>
      </c>
      <c r="F39" t="s">
        <v>19</v>
      </c>
      <c r="G39" t="s">
        <v>14</v>
      </c>
      <c r="H39" t="s">
        <v>14</v>
      </c>
      <c r="I39" t="s">
        <v>15</v>
      </c>
      <c r="J39">
        <v>67.7</v>
      </c>
      <c r="K39">
        <v>81.099999999999994</v>
      </c>
      <c r="L39" t="s">
        <v>20</v>
      </c>
    </row>
    <row r="40" spans="1:12" x14ac:dyDescent="0.35">
      <c r="A40">
        <v>39</v>
      </c>
      <c r="B40" t="s">
        <v>12</v>
      </c>
      <c r="C40">
        <v>4.5</v>
      </c>
      <c r="D40">
        <v>74.599999999999994</v>
      </c>
      <c r="E40">
        <v>5</v>
      </c>
      <c r="F40" t="s">
        <v>18</v>
      </c>
      <c r="G40" t="s">
        <v>14</v>
      </c>
      <c r="H40" t="s">
        <v>14</v>
      </c>
      <c r="I40" t="s">
        <v>14</v>
      </c>
      <c r="J40">
        <v>72.599999999999994</v>
      </c>
      <c r="K40">
        <v>89.5</v>
      </c>
      <c r="L40" t="s">
        <v>20</v>
      </c>
    </row>
    <row r="41" spans="1:12" x14ac:dyDescent="0.35">
      <c r="A41">
        <v>40</v>
      </c>
      <c r="B41" t="s">
        <v>12</v>
      </c>
      <c r="C41">
        <v>5.6</v>
      </c>
      <c r="D41">
        <v>65.3</v>
      </c>
      <c r="E41">
        <v>7.4</v>
      </c>
      <c r="F41" t="s">
        <v>23</v>
      </c>
      <c r="G41" t="s">
        <v>14</v>
      </c>
      <c r="H41" t="s">
        <v>14</v>
      </c>
      <c r="I41" t="s">
        <v>15</v>
      </c>
      <c r="J41">
        <v>85.5</v>
      </c>
      <c r="K41">
        <v>91.6</v>
      </c>
      <c r="L41" t="s">
        <v>16</v>
      </c>
    </row>
    <row r="42" spans="1:12" x14ac:dyDescent="0.35">
      <c r="A42">
        <v>41</v>
      </c>
      <c r="B42" t="s">
        <v>12</v>
      </c>
      <c r="C42">
        <v>2.1</v>
      </c>
      <c r="D42">
        <v>100</v>
      </c>
      <c r="E42">
        <v>7.5</v>
      </c>
      <c r="F42" t="s">
        <v>18</v>
      </c>
      <c r="G42" t="s">
        <v>14</v>
      </c>
      <c r="H42" t="s">
        <v>14</v>
      </c>
      <c r="I42" t="s">
        <v>14</v>
      </c>
      <c r="J42">
        <v>68.400000000000006</v>
      </c>
      <c r="K42">
        <v>75.3</v>
      </c>
      <c r="L42" t="s">
        <v>22</v>
      </c>
    </row>
    <row r="43" spans="1:12" x14ac:dyDescent="0.35">
      <c r="A43">
        <v>42</v>
      </c>
      <c r="B43" t="s">
        <v>12</v>
      </c>
      <c r="C43">
        <v>4.5</v>
      </c>
      <c r="D43">
        <v>74</v>
      </c>
      <c r="E43">
        <v>6.7</v>
      </c>
      <c r="F43" t="s">
        <v>18</v>
      </c>
      <c r="G43" t="s">
        <v>14</v>
      </c>
      <c r="H43" t="s">
        <v>15</v>
      </c>
      <c r="I43" t="s">
        <v>15</v>
      </c>
      <c r="J43">
        <v>54.1</v>
      </c>
      <c r="K43">
        <v>79</v>
      </c>
      <c r="L43" t="s">
        <v>22</v>
      </c>
    </row>
    <row r="44" spans="1:12" x14ac:dyDescent="0.35">
      <c r="A44">
        <v>43</v>
      </c>
      <c r="B44" t="s">
        <v>17</v>
      </c>
      <c r="C44">
        <v>5.0999999999999996</v>
      </c>
      <c r="D44">
        <v>82.8</v>
      </c>
      <c r="E44">
        <v>8.1</v>
      </c>
      <c r="F44" t="s">
        <v>13</v>
      </c>
      <c r="G44" t="s">
        <v>14</v>
      </c>
      <c r="H44" t="s">
        <v>14</v>
      </c>
      <c r="I44" t="s">
        <v>15</v>
      </c>
      <c r="J44">
        <v>95.7</v>
      </c>
      <c r="K44">
        <v>100</v>
      </c>
      <c r="L44" t="s">
        <v>16</v>
      </c>
    </row>
    <row r="45" spans="1:12" x14ac:dyDescent="0.35">
      <c r="A45">
        <v>44</v>
      </c>
      <c r="B45" t="s">
        <v>17</v>
      </c>
      <c r="C45">
        <v>0.9</v>
      </c>
      <c r="D45">
        <v>82.2</v>
      </c>
      <c r="E45">
        <v>6.4</v>
      </c>
      <c r="F45" t="s">
        <v>13</v>
      </c>
      <c r="G45" t="s">
        <v>14</v>
      </c>
      <c r="H45" t="s">
        <v>14</v>
      </c>
      <c r="I45" t="s">
        <v>15</v>
      </c>
      <c r="J45">
        <v>64.400000000000006</v>
      </c>
      <c r="K45">
        <v>79.2</v>
      </c>
      <c r="L45" t="s">
        <v>22</v>
      </c>
    </row>
    <row r="46" spans="1:12" x14ac:dyDescent="0.35">
      <c r="A46">
        <v>45</v>
      </c>
      <c r="B46" t="s">
        <v>17</v>
      </c>
      <c r="C46">
        <v>1.7</v>
      </c>
      <c r="D46">
        <v>88.1</v>
      </c>
      <c r="E46">
        <v>7.5</v>
      </c>
      <c r="F46" t="s">
        <v>13</v>
      </c>
      <c r="G46" t="s">
        <v>15</v>
      </c>
      <c r="H46" t="s">
        <v>14</v>
      </c>
      <c r="I46" t="s">
        <v>15</v>
      </c>
      <c r="J46">
        <v>71.900000000000006</v>
      </c>
      <c r="K46">
        <v>70.8</v>
      </c>
      <c r="L46" t="s">
        <v>22</v>
      </c>
    </row>
    <row r="47" spans="1:12" x14ac:dyDescent="0.35">
      <c r="A47">
        <v>46</v>
      </c>
      <c r="B47" t="s">
        <v>17</v>
      </c>
      <c r="C47">
        <v>0.5</v>
      </c>
      <c r="D47">
        <v>93.2</v>
      </c>
      <c r="E47">
        <v>5.6</v>
      </c>
      <c r="F47" t="s">
        <v>18</v>
      </c>
      <c r="G47" t="s">
        <v>15</v>
      </c>
      <c r="H47" t="s">
        <v>15</v>
      </c>
      <c r="I47" t="s">
        <v>14</v>
      </c>
      <c r="J47">
        <v>83.9</v>
      </c>
      <c r="K47">
        <v>61.8</v>
      </c>
      <c r="L47" t="s">
        <v>21</v>
      </c>
    </row>
    <row r="48" spans="1:12" x14ac:dyDescent="0.35">
      <c r="A48">
        <v>47</v>
      </c>
      <c r="B48" t="s">
        <v>17</v>
      </c>
      <c r="C48">
        <v>3.1</v>
      </c>
      <c r="D48">
        <v>93.6</v>
      </c>
      <c r="E48">
        <v>6.8</v>
      </c>
      <c r="F48" t="s">
        <v>13</v>
      </c>
      <c r="G48" t="s">
        <v>14</v>
      </c>
      <c r="H48" t="s">
        <v>14</v>
      </c>
      <c r="I48" t="s">
        <v>14</v>
      </c>
      <c r="J48">
        <v>62.7</v>
      </c>
      <c r="K48">
        <v>68</v>
      </c>
      <c r="L48" t="s">
        <v>21</v>
      </c>
    </row>
    <row r="49" spans="1:12" x14ac:dyDescent="0.35">
      <c r="A49">
        <v>48</v>
      </c>
      <c r="B49" t="s">
        <v>12</v>
      </c>
      <c r="C49">
        <v>4.5999999999999996</v>
      </c>
      <c r="D49">
        <v>79.2</v>
      </c>
      <c r="E49">
        <v>6.6</v>
      </c>
      <c r="F49" t="s">
        <v>19</v>
      </c>
      <c r="G49" t="s">
        <v>14</v>
      </c>
      <c r="H49" t="s">
        <v>14</v>
      </c>
      <c r="I49" t="s">
        <v>14</v>
      </c>
      <c r="J49">
        <v>57.9</v>
      </c>
      <c r="K49">
        <v>80.3</v>
      </c>
      <c r="L49" t="s">
        <v>20</v>
      </c>
    </row>
    <row r="50" spans="1:12" x14ac:dyDescent="0.35">
      <c r="A50">
        <v>49</v>
      </c>
      <c r="B50" t="s">
        <v>17</v>
      </c>
      <c r="C50">
        <v>5.8</v>
      </c>
      <c r="D50">
        <v>83.3</v>
      </c>
      <c r="E50">
        <v>7.1</v>
      </c>
      <c r="F50" t="s">
        <v>13</v>
      </c>
      <c r="G50" t="s">
        <v>15</v>
      </c>
      <c r="H50" t="s">
        <v>14</v>
      </c>
      <c r="I50" t="s">
        <v>15</v>
      </c>
      <c r="J50">
        <v>73</v>
      </c>
      <c r="K50">
        <v>88.6</v>
      </c>
      <c r="L50" t="s">
        <v>20</v>
      </c>
    </row>
    <row r="51" spans="1:12" x14ac:dyDescent="0.35">
      <c r="A51">
        <v>50</v>
      </c>
      <c r="B51" t="s">
        <v>17</v>
      </c>
      <c r="C51">
        <v>3.6</v>
      </c>
      <c r="D51">
        <v>87.8</v>
      </c>
      <c r="E51">
        <v>6.4</v>
      </c>
      <c r="F51" t="s">
        <v>18</v>
      </c>
      <c r="G51" t="s">
        <v>14</v>
      </c>
      <c r="H51" t="s">
        <v>14</v>
      </c>
      <c r="I51" t="s">
        <v>15</v>
      </c>
      <c r="J51">
        <v>48.5</v>
      </c>
      <c r="K51">
        <v>69.400000000000006</v>
      </c>
      <c r="L51" t="s">
        <v>21</v>
      </c>
    </row>
    <row r="52" spans="1:12" x14ac:dyDescent="0.35">
      <c r="A52">
        <v>51</v>
      </c>
      <c r="B52" t="s">
        <v>12</v>
      </c>
      <c r="C52">
        <v>5.9</v>
      </c>
      <c r="D52">
        <v>82.5</v>
      </c>
      <c r="E52">
        <v>6.6</v>
      </c>
      <c r="F52" t="s">
        <v>13</v>
      </c>
      <c r="G52" t="s">
        <v>14</v>
      </c>
      <c r="H52" t="s">
        <v>14</v>
      </c>
      <c r="I52" t="s">
        <v>15</v>
      </c>
      <c r="J52">
        <v>66.5</v>
      </c>
      <c r="K52">
        <v>100</v>
      </c>
      <c r="L52" t="s">
        <v>16</v>
      </c>
    </row>
    <row r="53" spans="1:12" x14ac:dyDescent="0.35">
      <c r="A53">
        <v>52</v>
      </c>
      <c r="B53" t="s">
        <v>17</v>
      </c>
      <c r="C53">
        <v>1.4</v>
      </c>
      <c r="D53">
        <v>100</v>
      </c>
      <c r="E53">
        <v>7.8</v>
      </c>
      <c r="F53" t="s">
        <v>18</v>
      </c>
      <c r="G53" t="s">
        <v>15</v>
      </c>
      <c r="H53" t="s">
        <v>15</v>
      </c>
      <c r="I53" t="s">
        <v>15</v>
      </c>
      <c r="J53">
        <v>72.900000000000006</v>
      </c>
      <c r="K53">
        <v>81.8</v>
      </c>
      <c r="L53" t="s">
        <v>20</v>
      </c>
    </row>
    <row r="54" spans="1:12" x14ac:dyDescent="0.35">
      <c r="A54">
        <v>53</v>
      </c>
      <c r="B54" t="s">
        <v>12</v>
      </c>
      <c r="C54">
        <v>0.9</v>
      </c>
      <c r="D54">
        <v>89.9</v>
      </c>
      <c r="E54">
        <v>6.3</v>
      </c>
      <c r="F54" t="s">
        <v>23</v>
      </c>
      <c r="G54" t="s">
        <v>14</v>
      </c>
      <c r="H54" t="s">
        <v>15</v>
      </c>
      <c r="I54" t="s">
        <v>15</v>
      </c>
      <c r="J54">
        <v>66.8</v>
      </c>
      <c r="K54">
        <v>72.599999999999994</v>
      </c>
      <c r="L54" t="s">
        <v>22</v>
      </c>
    </row>
    <row r="55" spans="1:12" x14ac:dyDescent="0.35">
      <c r="A55">
        <v>54</v>
      </c>
      <c r="B55" t="s">
        <v>17</v>
      </c>
      <c r="C55">
        <v>3.4</v>
      </c>
      <c r="D55">
        <v>92.3</v>
      </c>
      <c r="E55">
        <v>4.9000000000000004</v>
      </c>
      <c r="F55" t="s">
        <v>23</v>
      </c>
      <c r="G55" t="s">
        <v>14</v>
      </c>
      <c r="H55" t="s">
        <v>15</v>
      </c>
      <c r="I55" t="s">
        <v>15</v>
      </c>
      <c r="J55">
        <v>51.5</v>
      </c>
      <c r="K55">
        <v>85.3</v>
      </c>
      <c r="L55" t="s">
        <v>20</v>
      </c>
    </row>
    <row r="56" spans="1:12" x14ac:dyDescent="0.35">
      <c r="A56">
        <v>55</v>
      </c>
      <c r="B56" t="s">
        <v>12</v>
      </c>
      <c r="C56">
        <v>4.0999999999999996</v>
      </c>
      <c r="D56">
        <v>91.6</v>
      </c>
      <c r="E56">
        <v>8.9</v>
      </c>
      <c r="F56" t="s">
        <v>13</v>
      </c>
      <c r="G56" t="s">
        <v>15</v>
      </c>
      <c r="H56" t="s">
        <v>14</v>
      </c>
      <c r="I56" t="s">
        <v>15</v>
      </c>
      <c r="J56">
        <v>89.1</v>
      </c>
      <c r="K56">
        <v>99.8</v>
      </c>
      <c r="L56" t="s">
        <v>16</v>
      </c>
    </row>
    <row r="57" spans="1:12" x14ac:dyDescent="0.35">
      <c r="A57">
        <v>56</v>
      </c>
      <c r="B57" t="s">
        <v>17</v>
      </c>
      <c r="C57">
        <v>3.5</v>
      </c>
      <c r="D57">
        <v>96.7</v>
      </c>
      <c r="E57">
        <v>8.5</v>
      </c>
      <c r="F57" t="s">
        <v>13</v>
      </c>
      <c r="G57" t="s">
        <v>14</v>
      </c>
      <c r="H57" t="s">
        <v>14</v>
      </c>
      <c r="I57" t="s">
        <v>14</v>
      </c>
      <c r="J57">
        <v>71.2</v>
      </c>
      <c r="K57">
        <v>84.3</v>
      </c>
      <c r="L57" t="s">
        <v>20</v>
      </c>
    </row>
    <row r="58" spans="1:12" x14ac:dyDescent="0.35">
      <c r="A58">
        <v>57</v>
      </c>
      <c r="B58" t="s">
        <v>17</v>
      </c>
      <c r="C58">
        <v>0.5</v>
      </c>
      <c r="D58">
        <v>86.8</v>
      </c>
      <c r="E58">
        <v>5.2</v>
      </c>
      <c r="F58" t="s">
        <v>23</v>
      </c>
      <c r="G58" t="s">
        <v>14</v>
      </c>
      <c r="H58" t="s">
        <v>14</v>
      </c>
      <c r="I58" t="s">
        <v>15</v>
      </c>
      <c r="J58">
        <v>87.2</v>
      </c>
      <c r="K58">
        <v>71.5</v>
      </c>
      <c r="L58" t="s">
        <v>22</v>
      </c>
    </row>
    <row r="59" spans="1:12" x14ac:dyDescent="0.35">
      <c r="A59">
        <v>58</v>
      </c>
      <c r="B59" t="s">
        <v>12</v>
      </c>
      <c r="C59">
        <v>3.4</v>
      </c>
      <c r="D59">
        <v>72</v>
      </c>
      <c r="E59">
        <v>7.6</v>
      </c>
      <c r="F59" t="s">
        <v>13</v>
      </c>
      <c r="G59" t="s">
        <v>14</v>
      </c>
      <c r="H59" t="s">
        <v>15</v>
      </c>
      <c r="I59" t="s">
        <v>15</v>
      </c>
      <c r="J59">
        <v>66.900000000000006</v>
      </c>
      <c r="K59">
        <v>84.3</v>
      </c>
      <c r="L59" t="s">
        <v>20</v>
      </c>
    </row>
    <row r="60" spans="1:12" x14ac:dyDescent="0.35">
      <c r="A60">
        <v>59</v>
      </c>
      <c r="B60" t="s">
        <v>12</v>
      </c>
      <c r="C60">
        <v>1.5</v>
      </c>
      <c r="D60">
        <v>89</v>
      </c>
      <c r="E60">
        <v>6.2</v>
      </c>
      <c r="F60" t="s">
        <v>23</v>
      </c>
      <c r="G60" t="s">
        <v>14</v>
      </c>
      <c r="H60" t="s">
        <v>15</v>
      </c>
      <c r="I60" t="s">
        <v>15</v>
      </c>
      <c r="J60">
        <v>59.4</v>
      </c>
      <c r="K60">
        <v>74.5</v>
      </c>
      <c r="L60" t="s">
        <v>22</v>
      </c>
    </row>
    <row r="61" spans="1:12" x14ac:dyDescent="0.35">
      <c r="A61">
        <v>60</v>
      </c>
      <c r="B61" t="s">
        <v>12</v>
      </c>
      <c r="C61">
        <v>4.5</v>
      </c>
      <c r="D61">
        <v>78.5</v>
      </c>
      <c r="E61">
        <v>7.1</v>
      </c>
      <c r="F61" t="s">
        <v>13</v>
      </c>
      <c r="G61" t="s">
        <v>14</v>
      </c>
      <c r="H61" t="s">
        <v>15</v>
      </c>
      <c r="I61" t="s">
        <v>15</v>
      </c>
      <c r="J61">
        <v>73.2</v>
      </c>
      <c r="K61">
        <v>89.5</v>
      </c>
      <c r="L61" t="s">
        <v>20</v>
      </c>
    </row>
    <row r="62" spans="1:12" x14ac:dyDescent="0.35">
      <c r="A62">
        <v>61</v>
      </c>
      <c r="B62" t="s">
        <v>12</v>
      </c>
      <c r="C62">
        <v>4</v>
      </c>
      <c r="D62">
        <v>79.7</v>
      </c>
      <c r="E62">
        <v>7.2</v>
      </c>
      <c r="F62" t="s">
        <v>23</v>
      </c>
      <c r="G62" t="s">
        <v>14</v>
      </c>
      <c r="H62" t="s">
        <v>14</v>
      </c>
      <c r="I62" t="s">
        <v>15</v>
      </c>
      <c r="J62">
        <v>67.400000000000006</v>
      </c>
      <c r="K62">
        <v>80.400000000000006</v>
      </c>
      <c r="L62" t="s">
        <v>20</v>
      </c>
    </row>
    <row r="63" spans="1:12" x14ac:dyDescent="0.35">
      <c r="A63">
        <v>62</v>
      </c>
      <c r="B63" t="s">
        <v>12</v>
      </c>
      <c r="C63">
        <v>2.1</v>
      </c>
      <c r="D63">
        <v>90.9</v>
      </c>
      <c r="E63">
        <v>6.5</v>
      </c>
      <c r="F63" t="s">
        <v>13</v>
      </c>
      <c r="G63" t="s">
        <v>15</v>
      </c>
      <c r="H63" t="s">
        <v>14</v>
      </c>
      <c r="I63" t="s">
        <v>14</v>
      </c>
      <c r="J63">
        <v>55.9</v>
      </c>
      <c r="K63">
        <v>71.099999999999994</v>
      </c>
      <c r="L63" t="s">
        <v>22</v>
      </c>
    </row>
    <row r="64" spans="1:12" x14ac:dyDescent="0.35">
      <c r="A64">
        <v>63</v>
      </c>
      <c r="B64" t="s">
        <v>12</v>
      </c>
      <c r="C64">
        <v>2.7</v>
      </c>
      <c r="D64">
        <v>97.4</v>
      </c>
      <c r="E64">
        <v>5.9</v>
      </c>
      <c r="F64" t="s">
        <v>13</v>
      </c>
      <c r="G64" t="s">
        <v>14</v>
      </c>
      <c r="H64" t="s">
        <v>14</v>
      </c>
      <c r="I64" t="s">
        <v>15</v>
      </c>
      <c r="J64">
        <v>87.6</v>
      </c>
      <c r="K64">
        <v>87.8</v>
      </c>
      <c r="L64" t="s">
        <v>20</v>
      </c>
    </row>
    <row r="65" spans="1:12" x14ac:dyDescent="0.35">
      <c r="A65">
        <v>64</v>
      </c>
      <c r="B65" t="s">
        <v>12</v>
      </c>
      <c r="C65">
        <v>1.9</v>
      </c>
      <c r="D65">
        <v>85.2</v>
      </c>
      <c r="E65">
        <v>6</v>
      </c>
      <c r="F65" t="s">
        <v>19</v>
      </c>
      <c r="G65" t="s">
        <v>14</v>
      </c>
      <c r="H65" t="s">
        <v>15</v>
      </c>
      <c r="I65" t="s">
        <v>15</v>
      </c>
      <c r="J65">
        <v>62.5</v>
      </c>
      <c r="K65">
        <v>73</v>
      </c>
      <c r="L65" t="s">
        <v>22</v>
      </c>
    </row>
    <row r="66" spans="1:12" x14ac:dyDescent="0.35">
      <c r="A66">
        <v>65</v>
      </c>
      <c r="B66" t="s">
        <v>12</v>
      </c>
      <c r="C66">
        <v>3.4</v>
      </c>
      <c r="D66">
        <v>88.1</v>
      </c>
      <c r="E66">
        <v>5.7</v>
      </c>
      <c r="F66" t="s">
        <v>13</v>
      </c>
      <c r="G66" t="s">
        <v>14</v>
      </c>
      <c r="H66" t="s">
        <v>15</v>
      </c>
      <c r="I66" t="s">
        <v>14</v>
      </c>
      <c r="J66">
        <v>47.9</v>
      </c>
      <c r="K66">
        <v>80.8</v>
      </c>
      <c r="L66" t="s">
        <v>20</v>
      </c>
    </row>
    <row r="67" spans="1:12" x14ac:dyDescent="0.35">
      <c r="A67">
        <v>66</v>
      </c>
      <c r="B67" t="s">
        <v>17</v>
      </c>
      <c r="C67">
        <v>4.9000000000000004</v>
      </c>
      <c r="D67">
        <v>100</v>
      </c>
      <c r="E67">
        <v>5.8</v>
      </c>
      <c r="F67" t="s">
        <v>13</v>
      </c>
      <c r="G67" t="s">
        <v>14</v>
      </c>
      <c r="H67" t="s">
        <v>15</v>
      </c>
      <c r="I67" t="s">
        <v>15</v>
      </c>
      <c r="J67">
        <v>85.9</v>
      </c>
      <c r="K67">
        <v>97.4</v>
      </c>
      <c r="L67" t="s">
        <v>16</v>
      </c>
    </row>
    <row r="68" spans="1:12" x14ac:dyDescent="0.35">
      <c r="A68">
        <v>67</v>
      </c>
      <c r="B68" t="s">
        <v>17</v>
      </c>
      <c r="C68">
        <v>2</v>
      </c>
      <c r="D68">
        <v>87.4</v>
      </c>
      <c r="E68">
        <v>6.7</v>
      </c>
      <c r="F68" t="s">
        <v>18</v>
      </c>
      <c r="G68" t="s">
        <v>14</v>
      </c>
      <c r="H68" t="s">
        <v>14</v>
      </c>
      <c r="I68" t="s">
        <v>15</v>
      </c>
      <c r="J68">
        <v>63.9</v>
      </c>
      <c r="K68">
        <v>67.8</v>
      </c>
      <c r="L68" t="s">
        <v>21</v>
      </c>
    </row>
    <row r="69" spans="1:12" x14ac:dyDescent="0.35">
      <c r="A69">
        <v>68</v>
      </c>
      <c r="B69" t="s">
        <v>12</v>
      </c>
      <c r="C69">
        <v>4.3</v>
      </c>
      <c r="D69">
        <v>100</v>
      </c>
      <c r="E69">
        <v>5.9</v>
      </c>
      <c r="F69" t="s">
        <v>13</v>
      </c>
      <c r="G69" t="s">
        <v>15</v>
      </c>
      <c r="H69" t="s">
        <v>14</v>
      </c>
      <c r="I69" t="s">
        <v>15</v>
      </c>
      <c r="J69">
        <v>62.7</v>
      </c>
      <c r="K69">
        <v>79.2</v>
      </c>
      <c r="L69" t="s">
        <v>22</v>
      </c>
    </row>
    <row r="70" spans="1:12" x14ac:dyDescent="0.35">
      <c r="A70">
        <v>69</v>
      </c>
      <c r="B70" t="s">
        <v>17</v>
      </c>
      <c r="C70">
        <v>2.7</v>
      </c>
      <c r="D70">
        <v>90.7</v>
      </c>
      <c r="E70">
        <v>7.6</v>
      </c>
      <c r="F70" t="s">
        <v>13</v>
      </c>
      <c r="G70" t="s">
        <v>15</v>
      </c>
      <c r="H70" t="s">
        <v>15</v>
      </c>
      <c r="I70" t="s">
        <v>14</v>
      </c>
      <c r="J70">
        <v>48.8</v>
      </c>
      <c r="K70">
        <v>73.5</v>
      </c>
      <c r="L70" t="s">
        <v>22</v>
      </c>
    </row>
    <row r="71" spans="1:12" x14ac:dyDescent="0.35">
      <c r="A71">
        <v>70</v>
      </c>
      <c r="B71" t="s">
        <v>17</v>
      </c>
      <c r="C71">
        <v>2.2999999999999998</v>
      </c>
      <c r="D71">
        <v>67.400000000000006</v>
      </c>
      <c r="E71">
        <v>8.6</v>
      </c>
      <c r="F71" t="s">
        <v>18</v>
      </c>
      <c r="G71" t="s">
        <v>14</v>
      </c>
      <c r="H71" t="s">
        <v>15</v>
      </c>
      <c r="I71" t="s">
        <v>15</v>
      </c>
      <c r="J71">
        <v>90.9</v>
      </c>
      <c r="K71">
        <v>85.1</v>
      </c>
      <c r="L71" t="s">
        <v>20</v>
      </c>
    </row>
    <row r="72" spans="1:12" x14ac:dyDescent="0.35">
      <c r="A72">
        <v>71</v>
      </c>
      <c r="B72" t="s">
        <v>17</v>
      </c>
      <c r="C72">
        <v>3.3</v>
      </c>
      <c r="D72">
        <v>92.5</v>
      </c>
      <c r="E72">
        <v>6.1</v>
      </c>
      <c r="F72" t="s">
        <v>18</v>
      </c>
      <c r="G72" t="s">
        <v>14</v>
      </c>
      <c r="H72" t="s">
        <v>14</v>
      </c>
      <c r="I72" t="s">
        <v>15</v>
      </c>
      <c r="J72">
        <v>54.5</v>
      </c>
      <c r="K72">
        <v>79.599999999999994</v>
      </c>
      <c r="L72" t="s">
        <v>22</v>
      </c>
    </row>
    <row r="73" spans="1:12" x14ac:dyDescent="0.35">
      <c r="A73">
        <v>72</v>
      </c>
      <c r="B73" t="s">
        <v>17</v>
      </c>
      <c r="C73">
        <v>1.9</v>
      </c>
      <c r="D73">
        <v>88.8</v>
      </c>
      <c r="E73">
        <v>7.1</v>
      </c>
      <c r="F73" t="s">
        <v>13</v>
      </c>
      <c r="G73" t="s">
        <v>14</v>
      </c>
      <c r="H73" t="s">
        <v>14</v>
      </c>
      <c r="I73" t="s">
        <v>15</v>
      </c>
      <c r="J73">
        <v>70.7</v>
      </c>
      <c r="K73">
        <v>77.400000000000006</v>
      </c>
      <c r="L73" t="s">
        <v>22</v>
      </c>
    </row>
    <row r="74" spans="1:12" x14ac:dyDescent="0.35">
      <c r="A74">
        <v>73</v>
      </c>
      <c r="B74" t="s">
        <v>12</v>
      </c>
      <c r="C74">
        <v>2.7</v>
      </c>
      <c r="D74">
        <v>97.9</v>
      </c>
      <c r="E74">
        <v>7.4</v>
      </c>
      <c r="F74" t="s">
        <v>23</v>
      </c>
      <c r="G74" t="s">
        <v>14</v>
      </c>
      <c r="H74" t="s">
        <v>14</v>
      </c>
      <c r="I74" t="s">
        <v>15</v>
      </c>
      <c r="J74">
        <v>81</v>
      </c>
      <c r="K74">
        <v>94.6</v>
      </c>
      <c r="L74" t="s">
        <v>16</v>
      </c>
    </row>
    <row r="75" spans="1:12" x14ac:dyDescent="0.35">
      <c r="A75">
        <v>74</v>
      </c>
      <c r="B75" t="s">
        <v>17</v>
      </c>
      <c r="C75">
        <v>1.7</v>
      </c>
      <c r="D75">
        <v>91.7</v>
      </c>
      <c r="E75">
        <v>7.4</v>
      </c>
      <c r="F75" t="s">
        <v>13</v>
      </c>
      <c r="G75" t="s">
        <v>14</v>
      </c>
      <c r="H75" t="s">
        <v>14</v>
      </c>
      <c r="I75" t="s">
        <v>15</v>
      </c>
      <c r="J75">
        <v>75.099999999999994</v>
      </c>
      <c r="K75">
        <v>77.599999999999994</v>
      </c>
      <c r="L75" t="s">
        <v>22</v>
      </c>
    </row>
    <row r="76" spans="1:12" x14ac:dyDescent="0.35">
      <c r="A76">
        <v>75</v>
      </c>
      <c r="B76" t="s">
        <v>12</v>
      </c>
      <c r="C76">
        <v>6.4</v>
      </c>
      <c r="D76">
        <v>83.6</v>
      </c>
      <c r="E76">
        <v>6.9</v>
      </c>
      <c r="F76" t="s">
        <v>18</v>
      </c>
      <c r="G76" t="s">
        <v>14</v>
      </c>
      <c r="H76" t="s">
        <v>14</v>
      </c>
      <c r="I76" t="s">
        <v>15</v>
      </c>
      <c r="J76">
        <v>69.3</v>
      </c>
      <c r="K76">
        <v>99.9</v>
      </c>
      <c r="L76" t="s">
        <v>16</v>
      </c>
    </row>
    <row r="77" spans="1:12" x14ac:dyDescent="0.35">
      <c r="A77">
        <v>76</v>
      </c>
      <c r="B77" t="s">
        <v>17</v>
      </c>
      <c r="C77">
        <v>3.6</v>
      </c>
      <c r="D77">
        <v>72.8</v>
      </c>
      <c r="E77">
        <v>7.7</v>
      </c>
      <c r="F77" t="s">
        <v>23</v>
      </c>
      <c r="G77" t="s">
        <v>15</v>
      </c>
      <c r="H77" t="s">
        <v>15</v>
      </c>
      <c r="I77" t="s">
        <v>15</v>
      </c>
      <c r="J77">
        <v>49.6</v>
      </c>
      <c r="K77">
        <v>64.400000000000006</v>
      </c>
      <c r="L77" t="s">
        <v>21</v>
      </c>
    </row>
    <row r="78" spans="1:12" x14ac:dyDescent="0.35">
      <c r="A78">
        <v>77</v>
      </c>
      <c r="B78" t="s">
        <v>17</v>
      </c>
      <c r="C78">
        <v>2.5</v>
      </c>
      <c r="D78">
        <v>82.9</v>
      </c>
      <c r="E78">
        <v>7.4</v>
      </c>
      <c r="F78" t="s">
        <v>18</v>
      </c>
      <c r="G78" t="s">
        <v>14</v>
      </c>
      <c r="H78" t="s">
        <v>14</v>
      </c>
      <c r="I78" t="s">
        <v>15</v>
      </c>
      <c r="J78">
        <v>60.3</v>
      </c>
      <c r="K78">
        <v>71.900000000000006</v>
      </c>
      <c r="L78" t="s">
        <v>22</v>
      </c>
    </row>
    <row r="79" spans="1:12" x14ac:dyDescent="0.35">
      <c r="A79">
        <v>78</v>
      </c>
      <c r="B79" t="s">
        <v>17</v>
      </c>
      <c r="C79">
        <v>3.8</v>
      </c>
      <c r="D79">
        <v>76.5</v>
      </c>
      <c r="E79">
        <v>5.3</v>
      </c>
      <c r="F79" t="s">
        <v>13</v>
      </c>
      <c r="G79" t="s">
        <v>14</v>
      </c>
      <c r="H79" t="s">
        <v>14</v>
      </c>
      <c r="I79" t="s">
        <v>15</v>
      </c>
      <c r="J79">
        <v>72.3</v>
      </c>
      <c r="K79">
        <v>79.3</v>
      </c>
      <c r="L79" t="s">
        <v>22</v>
      </c>
    </row>
    <row r="80" spans="1:12" x14ac:dyDescent="0.35">
      <c r="A80">
        <v>79</v>
      </c>
      <c r="B80" t="s">
        <v>12</v>
      </c>
      <c r="C80">
        <v>3.3</v>
      </c>
      <c r="D80">
        <v>79.2</v>
      </c>
      <c r="E80">
        <v>7.8</v>
      </c>
      <c r="F80" t="s">
        <v>18</v>
      </c>
      <c r="G80" t="s">
        <v>14</v>
      </c>
      <c r="H80" t="s">
        <v>14</v>
      </c>
      <c r="I80" t="s">
        <v>14</v>
      </c>
      <c r="J80">
        <v>60.6</v>
      </c>
      <c r="K80">
        <v>74.900000000000006</v>
      </c>
      <c r="L80" t="s">
        <v>22</v>
      </c>
    </row>
    <row r="81" spans="1:12" x14ac:dyDescent="0.35">
      <c r="A81">
        <v>80</v>
      </c>
      <c r="B81" t="s">
        <v>17</v>
      </c>
      <c r="C81">
        <v>3.2</v>
      </c>
      <c r="D81">
        <v>90.9</v>
      </c>
      <c r="E81">
        <v>7.9</v>
      </c>
      <c r="F81" t="s">
        <v>18</v>
      </c>
      <c r="G81" t="s">
        <v>14</v>
      </c>
      <c r="H81" t="s">
        <v>15</v>
      </c>
      <c r="I81" t="s">
        <v>15</v>
      </c>
      <c r="J81">
        <v>72.400000000000006</v>
      </c>
      <c r="K81">
        <v>87.4</v>
      </c>
      <c r="L81" t="s">
        <v>20</v>
      </c>
    </row>
    <row r="82" spans="1:12" x14ac:dyDescent="0.35">
      <c r="A82">
        <v>81</v>
      </c>
      <c r="B82" t="s">
        <v>12</v>
      </c>
      <c r="C82">
        <v>4.4000000000000004</v>
      </c>
      <c r="D82">
        <v>100</v>
      </c>
      <c r="E82">
        <v>5.9</v>
      </c>
      <c r="F82" t="s">
        <v>18</v>
      </c>
      <c r="G82" t="s">
        <v>14</v>
      </c>
      <c r="H82" t="s">
        <v>15</v>
      </c>
      <c r="I82" t="s">
        <v>15</v>
      </c>
      <c r="J82">
        <v>78.2</v>
      </c>
      <c r="K82">
        <v>97.6</v>
      </c>
      <c r="L82" t="s">
        <v>16</v>
      </c>
    </row>
    <row r="83" spans="1:12" x14ac:dyDescent="0.35">
      <c r="A83">
        <v>82</v>
      </c>
      <c r="B83" t="s">
        <v>17</v>
      </c>
      <c r="C83">
        <v>4.5999999999999996</v>
      </c>
      <c r="D83">
        <v>88.9</v>
      </c>
      <c r="E83">
        <v>6.8</v>
      </c>
      <c r="F83" t="s">
        <v>13</v>
      </c>
      <c r="G83" t="s">
        <v>14</v>
      </c>
      <c r="H83" t="s">
        <v>14</v>
      </c>
      <c r="I83" t="s">
        <v>15</v>
      </c>
      <c r="J83">
        <v>81.599999999999994</v>
      </c>
      <c r="K83">
        <v>74.5</v>
      </c>
      <c r="L83" t="s">
        <v>22</v>
      </c>
    </row>
    <row r="84" spans="1:12" x14ac:dyDescent="0.35">
      <c r="A84">
        <v>83</v>
      </c>
      <c r="B84" t="s">
        <v>12</v>
      </c>
      <c r="C84">
        <v>2.7</v>
      </c>
      <c r="D84">
        <v>73</v>
      </c>
      <c r="E84">
        <v>7.6</v>
      </c>
      <c r="F84" t="s">
        <v>18</v>
      </c>
      <c r="G84" t="s">
        <v>14</v>
      </c>
      <c r="H84" t="s">
        <v>15</v>
      </c>
      <c r="I84" t="s">
        <v>14</v>
      </c>
      <c r="J84">
        <v>55.3</v>
      </c>
      <c r="K84">
        <v>64.099999999999994</v>
      </c>
      <c r="L84" t="s">
        <v>21</v>
      </c>
    </row>
    <row r="85" spans="1:12" x14ac:dyDescent="0.35">
      <c r="A85">
        <v>84</v>
      </c>
      <c r="B85" t="s">
        <v>17</v>
      </c>
      <c r="C85">
        <v>2.6</v>
      </c>
      <c r="D85">
        <v>89.4</v>
      </c>
      <c r="E85">
        <v>6.5</v>
      </c>
      <c r="F85" t="s">
        <v>13</v>
      </c>
      <c r="G85" t="s">
        <v>14</v>
      </c>
      <c r="H85" t="s">
        <v>15</v>
      </c>
      <c r="I85" t="s">
        <v>15</v>
      </c>
      <c r="J85">
        <v>96.4</v>
      </c>
      <c r="K85">
        <v>90</v>
      </c>
      <c r="L85" t="s">
        <v>16</v>
      </c>
    </row>
    <row r="86" spans="1:12" x14ac:dyDescent="0.35">
      <c r="A86">
        <v>85</v>
      </c>
      <c r="B86" t="s">
        <v>12</v>
      </c>
      <c r="C86">
        <v>3.1</v>
      </c>
      <c r="D86">
        <v>97</v>
      </c>
      <c r="E86">
        <v>8.1</v>
      </c>
      <c r="F86" t="s">
        <v>13</v>
      </c>
      <c r="G86" t="s">
        <v>14</v>
      </c>
      <c r="H86" t="s">
        <v>14</v>
      </c>
      <c r="I86" t="s">
        <v>14</v>
      </c>
      <c r="J86">
        <v>79.2</v>
      </c>
      <c r="K86">
        <v>99.3</v>
      </c>
      <c r="L86" t="s">
        <v>16</v>
      </c>
    </row>
    <row r="87" spans="1:12" x14ac:dyDescent="0.35">
      <c r="A87">
        <v>86</v>
      </c>
      <c r="B87" t="s">
        <v>12</v>
      </c>
      <c r="C87">
        <v>0.5</v>
      </c>
      <c r="D87">
        <v>78.900000000000006</v>
      </c>
      <c r="E87">
        <v>9.6</v>
      </c>
      <c r="F87" t="s">
        <v>13</v>
      </c>
      <c r="G87" t="s">
        <v>14</v>
      </c>
      <c r="H87" t="s">
        <v>14</v>
      </c>
      <c r="I87" t="s">
        <v>14</v>
      </c>
      <c r="J87">
        <v>70</v>
      </c>
      <c r="K87">
        <v>63.9</v>
      </c>
      <c r="L87" t="s">
        <v>21</v>
      </c>
    </row>
    <row r="88" spans="1:12" x14ac:dyDescent="0.35">
      <c r="A88">
        <v>87</v>
      </c>
      <c r="B88" t="s">
        <v>17</v>
      </c>
      <c r="C88">
        <v>1.2</v>
      </c>
      <c r="D88">
        <v>83.7</v>
      </c>
      <c r="E88">
        <v>5.9</v>
      </c>
      <c r="F88" t="s">
        <v>13</v>
      </c>
      <c r="G88" t="s">
        <v>14</v>
      </c>
      <c r="H88" t="s">
        <v>15</v>
      </c>
      <c r="I88" t="s">
        <v>15</v>
      </c>
      <c r="J88">
        <v>83.1</v>
      </c>
      <c r="K88">
        <v>79</v>
      </c>
      <c r="L88" t="s">
        <v>22</v>
      </c>
    </row>
    <row r="89" spans="1:12" x14ac:dyDescent="0.35">
      <c r="A89">
        <v>88</v>
      </c>
      <c r="B89" t="s">
        <v>12</v>
      </c>
      <c r="C89">
        <v>5.6</v>
      </c>
      <c r="D89">
        <v>85.1</v>
      </c>
      <c r="E89">
        <v>5.0999999999999996</v>
      </c>
      <c r="F89" t="s">
        <v>23</v>
      </c>
      <c r="G89" t="s">
        <v>14</v>
      </c>
      <c r="H89" t="s">
        <v>15</v>
      </c>
      <c r="I89" t="s">
        <v>15</v>
      </c>
      <c r="J89">
        <v>98.4</v>
      </c>
      <c r="K89">
        <v>100</v>
      </c>
      <c r="L89" t="s">
        <v>16</v>
      </c>
    </row>
    <row r="90" spans="1:12" x14ac:dyDescent="0.35">
      <c r="A90">
        <v>89</v>
      </c>
      <c r="B90" t="s">
        <v>17</v>
      </c>
      <c r="C90">
        <v>6</v>
      </c>
      <c r="D90">
        <v>77.2</v>
      </c>
      <c r="E90">
        <v>7.2</v>
      </c>
      <c r="F90" t="s">
        <v>18</v>
      </c>
      <c r="G90" t="s">
        <v>14</v>
      </c>
      <c r="H90" t="s">
        <v>15</v>
      </c>
      <c r="I90" t="s">
        <v>15</v>
      </c>
      <c r="J90">
        <v>52.7</v>
      </c>
      <c r="K90">
        <v>78.900000000000006</v>
      </c>
      <c r="L90" t="s">
        <v>22</v>
      </c>
    </row>
    <row r="91" spans="1:12" x14ac:dyDescent="0.35">
      <c r="A91">
        <v>90</v>
      </c>
      <c r="B91" t="s">
        <v>17</v>
      </c>
      <c r="C91">
        <v>3.1</v>
      </c>
      <c r="D91">
        <v>91.5</v>
      </c>
      <c r="E91">
        <v>7.7</v>
      </c>
      <c r="F91" t="s">
        <v>13</v>
      </c>
      <c r="G91" t="s">
        <v>14</v>
      </c>
      <c r="H91" t="s">
        <v>15</v>
      </c>
      <c r="I91" t="s">
        <v>14</v>
      </c>
      <c r="J91">
        <v>67.3</v>
      </c>
      <c r="K91">
        <v>84.5</v>
      </c>
      <c r="L91" t="s">
        <v>20</v>
      </c>
    </row>
    <row r="92" spans="1:12" x14ac:dyDescent="0.35">
      <c r="A92">
        <v>91</v>
      </c>
      <c r="B92" t="s">
        <v>17</v>
      </c>
      <c r="C92">
        <v>4.4000000000000004</v>
      </c>
      <c r="D92">
        <v>83.8</v>
      </c>
      <c r="E92">
        <v>6.5</v>
      </c>
      <c r="F92" t="s">
        <v>18</v>
      </c>
      <c r="G92" t="s">
        <v>14</v>
      </c>
      <c r="H92" t="s">
        <v>15</v>
      </c>
      <c r="I92" t="s">
        <v>15</v>
      </c>
      <c r="J92">
        <v>41.5</v>
      </c>
      <c r="K92">
        <v>71.7</v>
      </c>
      <c r="L92" t="s">
        <v>22</v>
      </c>
    </row>
    <row r="93" spans="1:12" x14ac:dyDescent="0.35">
      <c r="A93">
        <v>92</v>
      </c>
      <c r="B93" t="s">
        <v>17</v>
      </c>
      <c r="C93">
        <v>4</v>
      </c>
      <c r="D93">
        <v>89.2</v>
      </c>
      <c r="E93">
        <v>8.5</v>
      </c>
      <c r="F93" t="s">
        <v>18</v>
      </c>
      <c r="G93" t="s">
        <v>14</v>
      </c>
      <c r="H93" t="s">
        <v>14</v>
      </c>
      <c r="I93" t="s">
        <v>14</v>
      </c>
      <c r="J93">
        <v>72.3</v>
      </c>
      <c r="K93">
        <v>86.3</v>
      </c>
      <c r="L93" t="s">
        <v>20</v>
      </c>
    </row>
    <row r="94" spans="1:12" x14ac:dyDescent="0.35">
      <c r="A94">
        <v>93</v>
      </c>
      <c r="B94" t="s">
        <v>17</v>
      </c>
      <c r="C94">
        <v>8.1</v>
      </c>
      <c r="D94">
        <v>76.099999999999994</v>
      </c>
      <c r="E94">
        <v>5.2</v>
      </c>
      <c r="F94" t="s">
        <v>13</v>
      </c>
      <c r="G94" t="s">
        <v>14</v>
      </c>
      <c r="H94" t="s">
        <v>14</v>
      </c>
      <c r="I94" t="s">
        <v>15</v>
      </c>
      <c r="J94">
        <v>74.400000000000006</v>
      </c>
      <c r="K94">
        <v>98.3</v>
      </c>
      <c r="L94" t="s">
        <v>16</v>
      </c>
    </row>
    <row r="95" spans="1:12" x14ac:dyDescent="0.35">
      <c r="A95">
        <v>94</v>
      </c>
      <c r="B95" t="s">
        <v>17</v>
      </c>
      <c r="C95">
        <v>5.2</v>
      </c>
      <c r="D95">
        <v>80.599999999999994</v>
      </c>
      <c r="E95">
        <v>7.6</v>
      </c>
      <c r="F95" t="s">
        <v>13</v>
      </c>
      <c r="G95" t="s">
        <v>14</v>
      </c>
      <c r="H95" t="s">
        <v>14</v>
      </c>
      <c r="I95" t="s">
        <v>15</v>
      </c>
      <c r="J95">
        <v>69.5</v>
      </c>
      <c r="K95">
        <v>88.1</v>
      </c>
      <c r="L95" t="s">
        <v>20</v>
      </c>
    </row>
    <row r="96" spans="1:12" x14ac:dyDescent="0.35">
      <c r="A96">
        <v>95</v>
      </c>
      <c r="B96" t="s">
        <v>17</v>
      </c>
      <c r="C96">
        <v>3.3</v>
      </c>
      <c r="D96">
        <v>92.2</v>
      </c>
      <c r="E96">
        <v>6.1</v>
      </c>
      <c r="F96" t="s">
        <v>24</v>
      </c>
      <c r="G96" t="s">
        <v>14</v>
      </c>
      <c r="H96" t="s">
        <v>14</v>
      </c>
      <c r="I96" t="s">
        <v>15</v>
      </c>
      <c r="J96">
        <v>62.1</v>
      </c>
      <c r="K96">
        <v>99.6</v>
      </c>
      <c r="L96" t="s">
        <v>16</v>
      </c>
    </row>
    <row r="97" spans="1:12" x14ac:dyDescent="0.35">
      <c r="A97">
        <v>96</v>
      </c>
      <c r="B97" t="s">
        <v>17</v>
      </c>
      <c r="C97">
        <v>2.1</v>
      </c>
      <c r="D97">
        <v>81.3</v>
      </c>
      <c r="E97">
        <v>8.9</v>
      </c>
      <c r="F97" t="s">
        <v>13</v>
      </c>
      <c r="G97" t="s">
        <v>14</v>
      </c>
      <c r="H97" t="s">
        <v>15</v>
      </c>
      <c r="I97" t="s">
        <v>15</v>
      </c>
      <c r="J97">
        <v>45.4</v>
      </c>
      <c r="K97">
        <v>74.8</v>
      </c>
      <c r="L97" t="s">
        <v>22</v>
      </c>
    </row>
    <row r="98" spans="1:12" x14ac:dyDescent="0.35">
      <c r="A98">
        <v>97</v>
      </c>
      <c r="B98" t="s">
        <v>17</v>
      </c>
      <c r="C98">
        <v>1.1000000000000001</v>
      </c>
      <c r="D98">
        <v>100</v>
      </c>
      <c r="E98">
        <v>9.1999999999999993</v>
      </c>
      <c r="F98" t="s">
        <v>19</v>
      </c>
      <c r="G98" t="s">
        <v>14</v>
      </c>
      <c r="H98" t="s">
        <v>15</v>
      </c>
      <c r="I98" t="s">
        <v>14</v>
      </c>
      <c r="J98">
        <v>74.5</v>
      </c>
      <c r="K98">
        <v>87.4</v>
      </c>
      <c r="L98" t="s">
        <v>20</v>
      </c>
    </row>
    <row r="99" spans="1:12" x14ac:dyDescent="0.35">
      <c r="A99">
        <v>98</v>
      </c>
      <c r="B99" t="s">
        <v>17</v>
      </c>
      <c r="C99">
        <v>3.8</v>
      </c>
      <c r="D99">
        <v>81</v>
      </c>
      <c r="E99">
        <v>5.9</v>
      </c>
      <c r="F99" t="s">
        <v>18</v>
      </c>
      <c r="G99" t="s">
        <v>15</v>
      </c>
      <c r="H99" t="s">
        <v>15</v>
      </c>
      <c r="I99" t="s">
        <v>15</v>
      </c>
      <c r="J99">
        <v>87.5</v>
      </c>
      <c r="K99">
        <v>88.5</v>
      </c>
      <c r="L99" t="s">
        <v>20</v>
      </c>
    </row>
    <row r="100" spans="1:12" x14ac:dyDescent="0.35">
      <c r="A100">
        <v>99</v>
      </c>
      <c r="B100" t="s">
        <v>17</v>
      </c>
      <c r="C100">
        <v>2.4</v>
      </c>
      <c r="D100">
        <v>87.2</v>
      </c>
      <c r="E100">
        <v>6.1</v>
      </c>
      <c r="F100" t="s">
        <v>18</v>
      </c>
      <c r="G100" t="s">
        <v>14</v>
      </c>
      <c r="H100" t="s">
        <v>14</v>
      </c>
      <c r="I100" t="s">
        <v>14</v>
      </c>
      <c r="J100">
        <v>62.9</v>
      </c>
      <c r="K100">
        <v>65.2</v>
      </c>
      <c r="L100" t="s">
        <v>21</v>
      </c>
    </row>
    <row r="101" spans="1:12" x14ac:dyDescent="0.35">
      <c r="A101">
        <v>100</v>
      </c>
      <c r="B101" t="s">
        <v>12</v>
      </c>
      <c r="C101">
        <v>1.4</v>
      </c>
      <c r="D101">
        <v>94.3</v>
      </c>
      <c r="E101">
        <v>7.8</v>
      </c>
      <c r="F101" t="s">
        <v>18</v>
      </c>
      <c r="G101" t="s">
        <v>15</v>
      </c>
      <c r="H101" t="s">
        <v>15</v>
      </c>
      <c r="I101" t="s">
        <v>15</v>
      </c>
      <c r="J101">
        <v>75.3</v>
      </c>
      <c r="K101">
        <v>79.2</v>
      </c>
      <c r="L101" t="s">
        <v>22</v>
      </c>
    </row>
    <row r="102" spans="1:12" x14ac:dyDescent="0.35">
      <c r="A102">
        <v>101</v>
      </c>
      <c r="B102" t="s">
        <v>12</v>
      </c>
      <c r="C102">
        <v>2.5</v>
      </c>
      <c r="D102">
        <v>70.8</v>
      </c>
      <c r="E102">
        <v>6.3</v>
      </c>
      <c r="F102" t="s">
        <v>18</v>
      </c>
      <c r="G102" t="s">
        <v>14</v>
      </c>
      <c r="H102" t="s">
        <v>14</v>
      </c>
      <c r="I102" t="s">
        <v>15</v>
      </c>
      <c r="J102">
        <v>51.2</v>
      </c>
      <c r="K102">
        <v>74.5</v>
      </c>
      <c r="L102" t="s">
        <v>22</v>
      </c>
    </row>
    <row r="103" spans="1:12" x14ac:dyDescent="0.35">
      <c r="A103">
        <v>102</v>
      </c>
      <c r="B103" t="s">
        <v>17</v>
      </c>
      <c r="C103">
        <v>1.9</v>
      </c>
      <c r="D103">
        <v>67.400000000000006</v>
      </c>
      <c r="E103">
        <v>6.7</v>
      </c>
      <c r="F103" t="s">
        <v>13</v>
      </c>
      <c r="G103" t="s">
        <v>14</v>
      </c>
      <c r="H103" t="s">
        <v>14</v>
      </c>
      <c r="I103" t="s">
        <v>14</v>
      </c>
      <c r="J103">
        <v>75.5</v>
      </c>
      <c r="K103">
        <v>66.3</v>
      </c>
      <c r="L103" t="s">
        <v>21</v>
      </c>
    </row>
    <row r="104" spans="1:12" x14ac:dyDescent="0.35">
      <c r="A104">
        <v>103</v>
      </c>
      <c r="B104" t="s">
        <v>17</v>
      </c>
      <c r="C104">
        <v>6</v>
      </c>
      <c r="D104">
        <v>69.7</v>
      </c>
      <c r="E104">
        <v>6.8</v>
      </c>
      <c r="F104" t="s">
        <v>13</v>
      </c>
      <c r="G104" t="s">
        <v>15</v>
      </c>
      <c r="H104" t="s">
        <v>15</v>
      </c>
      <c r="I104" t="s">
        <v>15</v>
      </c>
      <c r="J104">
        <v>65.3</v>
      </c>
      <c r="K104">
        <v>89.5</v>
      </c>
      <c r="L104" t="s">
        <v>20</v>
      </c>
    </row>
    <row r="105" spans="1:12" x14ac:dyDescent="0.35">
      <c r="A105">
        <v>104</v>
      </c>
      <c r="B105" t="s">
        <v>17</v>
      </c>
      <c r="C105">
        <v>4.8</v>
      </c>
      <c r="D105">
        <v>97.6</v>
      </c>
      <c r="E105">
        <v>4.5</v>
      </c>
      <c r="F105" t="s">
        <v>18</v>
      </c>
      <c r="G105" t="s">
        <v>14</v>
      </c>
      <c r="H105" t="s">
        <v>15</v>
      </c>
      <c r="I105" t="s">
        <v>15</v>
      </c>
      <c r="J105">
        <v>60.9</v>
      </c>
      <c r="K105">
        <v>92.7</v>
      </c>
      <c r="L105" t="s">
        <v>16</v>
      </c>
    </row>
    <row r="106" spans="1:12" x14ac:dyDescent="0.35">
      <c r="A106">
        <v>105</v>
      </c>
      <c r="B106" t="s">
        <v>17</v>
      </c>
      <c r="C106">
        <v>3.5</v>
      </c>
      <c r="D106">
        <v>79.5</v>
      </c>
      <c r="E106">
        <v>6.8</v>
      </c>
      <c r="F106" t="s">
        <v>19</v>
      </c>
      <c r="G106" t="s">
        <v>14</v>
      </c>
      <c r="H106" t="s">
        <v>15</v>
      </c>
      <c r="I106" t="s">
        <v>14</v>
      </c>
      <c r="J106">
        <v>60.9</v>
      </c>
      <c r="K106">
        <v>87.2</v>
      </c>
      <c r="L106" t="s">
        <v>20</v>
      </c>
    </row>
    <row r="107" spans="1:12" x14ac:dyDescent="0.35">
      <c r="A107">
        <v>106</v>
      </c>
      <c r="B107" t="s">
        <v>17</v>
      </c>
      <c r="C107">
        <v>5.7</v>
      </c>
      <c r="D107">
        <v>100</v>
      </c>
      <c r="E107">
        <v>6</v>
      </c>
      <c r="F107" t="s">
        <v>23</v>
      </c>
      <c r="G107" t="s">
        <v>14</v>
      </c>
      <c r="H107" t="s">
        <v>14</v>
      </c>
      <c r="I107" t="s">
        <v>14</v>
      </c>
      <c r="J107">
        <v>65.3</v>
      </c>
      <c r="K107">
        <v>92.5</v>
      </c>
      <c r="L107" t="s">
        <v>16</v>
      </c>
    </row>
    <row r="108" spans="1:12" x14ac:dyDescent="0.35">
      <c r="A108">
        <v>107</v>
      </c>
      <c r="B108" t="s">
        <v>17</v>
      </c>
      <c r="C108">
        <v>3.6</v>
      </c>
      <c r="D108">
        <v>79.400000000000006</v>
      </c>
      <c r="E108">
        <v>6.2</v>
      </c>
      <c r="F108" t="s">
        <v>18</v>
      </c>
      <c r="G108" t="s">
        <v>14</v>
      </c>
      <c r="H108" t="s">
        <v>14</v>
      </c>
      <c r="I108" t="s">
        <v>14</v>
      </c>
      <c r="J108">
        <v>74.599999999999994</v>
      </c>
      <c r="K108">
        <v>75.7</v>
      </c>
      <c r="L108" t="s">
        <v>22</v>
      </c>
    </row>
    <row r="109" spans="1:12" x14ac:dyDescent="0.35">
      <c r="A109">
        <v>108</v>
      </c>
      <c r="B109" t="s">
        <v>17</v>
      </c>
      <c r="C109">
        <v>2.2000000000000002</v>
      </c>
      <c r="D109">
        <v>86.8</v>
      </c>
      <c r="E109">
        <v>8.5</v>
      </c>
      <c r="F109" t="s">
        <v>18</v>
      </c>
      <c r="G109" t="s">
        <v>14</v>
      </c>
      <c r="H109" t="s">
        <v>14</v>
      </c>
      <c r="I109" t="s">
        <v>15</v>
      </c>
      <c r="J109">
        <v>54.3</v>
      </c>
      <c r="K109">
        <v>74</v>
      </c>
      <c r="L109" t="s">
        <v>22</v>
      </c>
    </row>
    <row r="110" spans="1:12" x14ac:dyDescent="0.35">
      <c r="A110">
        <v>109</v>
      </c>
      <c r="B110" t="s">
        <v>17</v>
      </c>
      <c r="C110">
        <v>5.8</v>
      </c>
      <c r="D110">
        <v>100</v>
      </c>
      <c r="E110">
        <v>5.3</v>
      </c>
      <c r="F110" t="s">
        <v>18</v>
      </c>
      <c r="G110" t="s">
        <v>14</v>
      </c>
      <c r="H110" t="s">
        <v>14</v>
      </c>
      <c r="I110" t="s">
        <v>15</v>
      </c>
      <c r="J110">
        <v>65.2</v>
      </c>
      <c r="K110">
        <v>100</v>
      </c>
      <c r="L110" t="s">
        <v>16</v>
      </c>
    </row>
    <row r="111" spans="1:12" x14ac:dyDescent="0.35">
      <c r="A111">
        <v>110</v>
      </c>
      <c r="B111" t="s">
        <v>12</v>
      </c>
      <c r="C111">
        <v>4.3</v>
      </c>
      <c r="D111">
        <v>100</v>
      </c>
      <c r="E111">
        <v>7.8</v>
      </c>
      <c r="F111" t="s">
        <v>18</v>
      </c>
      <c r="G111" t="s">
        <v>15</v>
      </c>
      <c r="H111" t="s">
        <v>15</v>
      </c>
      <c r="I111" t="s">
        <v>14</v>
      </c>
      <c r="J111">
        <v>69.5</v>
      </c>
      <c r="K111">
        <v>75.5</v>
      </c>
      <c r="L111" t="s">
        <v>22</v>
      </c>
    </row>
    <row r="112" spans="1:12" x14ac:dyDescent="0.35">
      <c r="A112">
        <v>111</v>
      </c>
      <c r="B112" t="s">
        <v>17</v>
      </c>
      <c r="C112">
        <v>1.9</v>
      </c>
      <c r="D112">
        <v>100</v>
      </c>
      <c r="E112">
        <v>6.5</v>
      </c>
      <c r="F112" t="s">
        <v>18</v>
      </c>
      <c r="G112" t="s">
        <v>14</v>
      </c>
      <c r="H112" t="s">
        <v>15</v>
      </c>
      <c r="I112" t="s">
        <v>14</v>
      </c>
      <c r="J112">
        <v>56.8</v>
      </c>
      <c r="K112">
        <v>61.7</v>
      </c>
      <c r="L112" t="s">
        <v>21</v>
      </c>
    </row>
    <row r="113" spans="1:12" x14ac:dyDescent="0.35">
      <c r="A113">
        <v>112</v>
      </c>
      <c r="B113" t="s">
        <v>12</v>
      </c>
      <c r="C113">
        <v>3.2</v>
      </c>
      <c r="D113">
        <v>97.1</v>
      </c>
      <c r="E113">
        <v>6.5</v>
      </c>
      <c r="F113" t="s">
        <v>13</v>
      </c>
      <c r="G113" t="s">
        <v>15</v>
      </c>
      <c r="H113" t="s">
        <v>15</v>
      </c>
      <c r="I113" t="s">
        <v>15</v>
      </c>
      <c r="J113">
        <v>91.6</v>
      </c>
      <c r="K113">
        <v>91.4</v>
      </c>
      <c r="L113" t="s">
        <v>16</v>
      </c>
    </row>
    <row r="114" spans="1:12" x14ac:dyDescent="0.35">
      <c r="A114">
        <v>113</v>
      </c>
      <c r="B114" t="s">
        <v>17</v>
      </c>
      <c r="C114">
        <v>2.2000000000000002</v>
      </c>
      <c r="D114">
        <v>95.2</v>
      </c>
      <c r="E114">
        <v>7.7</v>
      </c>
      <c r="F114" t="s">
        <v>18</v>
      </c>
      <c r="G114" t="s">
        <v>15</v>
      </c>
      <c r="H114" t="s">
        <v>14</v>
      </c>
      <c r="I114" t="s">
        <v>15</v>
      </c>
      <c r="J114">
        <v>59.8</v>
      </c>
      <c r="K114">
        <v>72.7</v>
      </c>
      <c r="L114" t="s">
        <v>22</v>
      </c>
    </row>
    <row r="115" spans="1:12" x14ac:dyDescent="0.35">
      <c r="A115">
        <v>114</v>
      </c>
      <c r="B115" t="s">
        <v>17</v>
      </c>
      <c r="C115">
        <v>1.4</v>
      </c>
      <c r="D115">
        <v>90.9</v>
      </c>
      <c r="E115">
        <v>7.2</v>
      </c>
      <c r="F115" t="s">
        <v>13</v>
      </c>
      <c r="G115" t="s">
        <v>14</v>
      </c>
      <c r="H115" t="s">
        <v>15</v>
      </c>
      <c r="I115" t="s">
        <v>15</v>
      </c>
      <c r="J115">
        <v>62</v>
      </c>
      <c r="K115">
        <v>74.599999999999994</v>
      </c>
      <c r="L115" t="s">
        <v>22</v>
      </c>
    </row>
    <row r="116" spans="1:12" x14ac:dyDescent="0.35">
      <c r="A116">
        <v>115</v>
      </c>
      <c r="B116" t="s">
        <v>12</v>
      </c>
      <c r="C116">
        <v>4.9000000000000004</v>
      </c>
      <c r="D116">
        <v>92.8</v>
      </c>
      <c r="E116">
        <v>7.5</v>
      </c>
      <c r="F116" t="s">
        <v>19</v>
      </c>
      <c r="G116" t="s">
        <v>14</v>
      </c>
      <c r="H116" t="s">
        <v>14</v>
      </c>
      <c r="I116" t="s">
        <v>15</v>
      </c>
      <c r="J116">
        <v>58.3</v>
      </c>
      <c r="K116">
        <v>96.5</v>
      </c>
      <c r="L116" t="s">
        <v>16</v>
      </c>
    </row>
    <row r="117" spans="1:12" x14ac:dyDescent="0.35">
      <c r="A117">
        <v>116</v>
      </c>
      <c r="B117" t="s">
        <v>17</v>
      </c>
      <c r="C117">
        <v>6.4</v>
      </c>
      <c r="D117">
        <v>79.5</v>
      </c>
      <c r="E117">
        <v>8</v>
      </c>
      <c r="F117" t="s">
        <v>23</v>
      </c>
      <c r="G117" t="s">
        <v>15</v>
      </c>
      <c r="H117" t="s">
        <v>15</v>
      </c>
      <c r="I117" t="s">
        <v>14</v>
      </c>
      <c r="J117">
        <v>91.6</v>
      </c>
      <c r="K117">
        <v>94.5</v>
      </c>
      <c r="L117" t="s">
        <v>16</v>
      </c>
    </row>
    <row r="118" spans="1:12" x14ac:dyDescent="0.35">
      <c r="A118">
        <v>117</v>
      </c>
      <c r="B118" t="s">
        <v>12</v>
      </c>
      <c r="C118">
        <v>1.4</v>
      </c>
      <c r="D118">
        <v>76.8</v>
      </c>
      <c r="E118">
        <v>6.4</v>
      </c>
      <c r="F118" t="s">
        <v>19</v>
      </c>
      <c r="G118" t="s">
        <v>15</v>
      </c>
      <c r="H118" t="s">
        <v>14</v>
      </c>
      <c r="I118" t="s">
        <v>15</v>
      </c>
      <c r="J118">
        <v>76.599999999999994</v>
      </c>
      <c r="K118">
        <v>59.3</v>
      </c>
      <c r="L118" t="s">
        <v>25</v>
      </c>
    </row>
    <row r="119" spans="1:12" x14ac:dyDescent="0.35">
      <c r="A119">
        <v>118</v>
      </c>
      <c r="B119" t="s">
        <v>17</v>
      </c>
      <c r="C119">
        <v>4.3</v>
      </c>
      <c r="D119">
        <v>85</v>
      </c>
      <c r="E119">
        <v>6.1</v>
      </c>
      <c r="F119" t="s">
        <v>18</v>
      </c>
      <c r="G119" t="s">
        <v>14</v>
      </c>
      <c r="H119" t="s">
        <v>14</v>
      </c>
      <c r="I119" t="s">
        <v>15</v>
      </c>
      <c r="J119">
        <v>58.8</v>
      </c>
      <c r="K119">
        <v>96.2</v>
      </c>
      <c r="L119" t="s">
        <v>16</v>
      </c>
    </row>
    <row r="120" spans="1:12" x14ac:dyDescent="0.35">
      <c r="A120">
        <v>119</v>
      </c>
      <c r="B120" t="s">
        <v>17</v>
      </c>
      <c r="C120">
        <v>2.5</v>
      </c>
      <c r="D120">
        <v>83.3</v>
      </c>
      <c r="E120">
        <v>5.5</v>
      </c>
      <c r="F120" t="s">
        <v>13</v>
      </c>
      <c r="G120" t="s">
        <v>14</v>
      </c>
      <c r="H120" t="s">
        <v>14</v>
      </c>
      <c r="I120" t="s">
        <v>14</v>
      </c>
      <c r="J120">
        <v>83.3</v>
      </c>
      <c r="K120">
        <v>75.3</v>
      </c>
      <c r="L120" t="s">
        <v>22</v>
      </c>
    </row>
    <row r="121" spans="1:12" x14ac:dyDescent="0.35">
      <c r="A121">
        <v>120</v>
      </c>
      <c r="B121" t="s">
        <v>12</v>
      </c>
      <c r="C121">
        <v>2.8</v>
      </c>
      <c r="D121">
        <v>80.5</v>
      </c>
      <c r="E121">
        <v>5.8</v>
      </c>
      <c r="F121" t="s">
        <v>13</v>
      </c>
      <c r="G121" t="s">
        <v>14</v>
      </c>
      <c r="H121" t="s">
        <v>15</v>
      </c>
      <c r="I121" t="s">
        <v>15</v>
      </c>
      <c r="J121">
        <v>72.400000000000006</v>
      </c>
      <c r="K121">
        <v>73.3</v>
      </c>
      <c r="L121" t="s">
        <v>22</v>
      </c>
    </row>
    <row r="122" spans="1:12" x14ac:dyDescent="0.35">
      <c r="A122">
        <v>121</v>
      </c>
      <c r="B122" t="s">
        <v>17</v>
      </c>
      <c r="C122">
        <v>2.6</v>
      </c>
      <c r="D122">
        <v>92</v>
      </c>
      <c r="E122">
        <v>10</v>
      </c>
      <c r="F122" t="s">
        <v>18</v>
      </c>
      <c r="G122" t="s">
        <v>14</v>
      </c>
      <c r="H122" t="s">
        <v>14</v>
      </c>
      <c r="I122" t="s">
        <v>15</v>
      </c>
      <c r="J122">
        <v>73.099999999999994</v>
      </c>
      <c r="K122">
        <v>95.8</v>
      </c>
      <c r="L122" t="s">
        <v>16</v>
      </c>
    </row>
    <row r="123" spans="1:12" x14ac:dyDescent="0.35">
      <c r="A123">
        <v>122</v>
      </c>
      <c r="B123" t="s">
        <v>12</v>
      </c>
      <c r="C123">
        <v>2.2000000000000002</v>
      </c>
      <c r="D123">
        <v>94.6</v>
      </c>
      <c r="E123">
        <v>8.3000000000000007</v>
      </c>
      <c r="F123" t="s">
        <v>18</v>
      </c>
      <c r="G123" t="s">
        <v>14</v>
      </c>
      <c r="H123" t="s">
        <v>14</v>
      </c>
      <c r="I123" t="s">
        <v>15</v>
      </c>
      <c r="J123">
        <v>65.900000000000006</v>
      </c>
      <c r="K123">
        <v>81</v>
      </c>
      <c r="L123" t="s">
        <v>20</v>
      </c>
    </row>
    <row r="124" spans="1:12" x14ac:dyDescent="0.35">
      <c r="A124">
        <v>123</v>
      </c>
      <c r="B124" t="s">
        <v>17</v>
      </c>
      <c r="C124">
        <v>3.6</v>
      </c>
      <c r="D124">
        <v>85.9</v>
      </c>
      <c r="E124">
        <v>5.2</v>
      </c>
      <c r="F124" t="s">
        <v>23</v>
      </c>
      <c r="G124" t="s">
        <v>14</v>
      </c>
      <c r="H124" t="s">
        <v>15</v>
      </c>
      <c r="I124" t="s">
        <v>14</v>
      </c>
      <c r="J124">
        <v>61</v>
      </c>
      <c r="K124">
        <v>76.5</v>
      </c>
      <c r="L124" t="s">
        <v>22</v>
      </c>
    </row>
    <row r="125" spans="1:12" x14ac:dyDescent="0.35">
      <c r="A125">
        <v>124</v>
      </c>
      <c r="B125" t="s">
        <v>12</v>
      </c>
      <c r="C125">
        <v>2.2999999999999998</v>
      </c>
      <c r="D125">
        <v>99.8</v>
      </c>
      <c r="E125">
        <v>5.2</v>
      </c>
      <c r="F125" t="s">
        <v>13</v>
      </c>
      <c r="G125" t="s">
        <v>14</v>
      </c>
      <c r="H125" t="s">
        <v>14</v>
      </c>
      <c r="I125" t="s">
        <v>15</v>
      </c>
      <c r="J125">
        <v>74.099999999999994</v>
      </c>
      <c r="K125">
        <v>88.1</v>
      </c>
      <c r="L125" t="s">
        <v>20</v>
      </c>
    </row>
    <row r="126" spans="1:12" x14ac:dyDescent="0.35">
      <c r="A126">
        <v>125</v>
      </c>
      <c r="B126" t="s">
        <v>12</v>
      </c>
      <c r="C126">
        <v>3.9</v>
      </c>
      <c r="D126">
        <v>73.599999999999994</v>
      </c>
      <c r="E126">
        <v>7.4</v>
      </c>
      <c r="F126" t="s">
        <v>13</v>
      </c>
      <c r="G126" t="s">
        <v>14</v>
      </c>
      <c r="H126" t="s">
        <v>14</v>
      </c>
      <c r="I126" t="s">
        <v>15</v>
      </c>
      <c r="J126">
        <v>63.5</v>
      </c>
      <c r="K126">
        <v>88.1</v>
      </c>
      <c r="L126" t="s">
        <v>20</v>
      </c>
    </row>
    <row r="127" spans="1:12" x14ac:dyDescent="0.35">
      <c r="A127">
        <v>126</v>
      </c>
      <c r="B127" t="s">
        <v>17</v>
      </c>
      <c r="C127">
        <v>3.4</v>
      </c>
      <c r="D127">
        <v>83.1</v>
      </c>
      <c r="E127">
        <v>7.5</v>
      </c>
      <c r="F127" t="s">
        <v>13</v>
      </c>
      <c r="G127" t="s">
        <v>14</v>
      </c>
      <c r="H127" t="s">
        <v>14</v>
      </c>
      <c r="I127" t="s">
        <v>15</v>
      </c>
      <c r="J127">
        <v>91.8</v>
      </c>
      <c r="K127">
        <v>92.1</v>
      </c>
      <c r="L127" t="s">
        <v>16</v>
      </c>
    </row>
    <row r="128" spans="1:12" x14ac:dyDescent="0.35">
      <c r="A128">
        <v>127</v>
      </c>
      <c r="B128" t="s">
        <v>17</v>
      </c>
      <c r="C128">
        <v>3.1</v>
      </c>
      <c r="D128">
        <v>77.8</v>
      </c>
      <c r="E128">
        <v>7.5</v>
      </c>
      <c r="F128" t="s">
        <v>13</v>
      </c>
      <c r="G128" t="s">
        <v>14</v>
      </c>
      <c r="H128" t="s">
        <v>14</v>
      </c>
      <c r="I128" t="s">
        <v>15</v>
      </c>
      <c r="J128">
        <v>54.8</v>
      </c>
      <c r="K128">
        <v>85.2</v>
      </c>
      <c r="L128" t="s">
        <v>20</v>
      </c>
    </row>
    <row r="129" spans="1:12" x14ac:dyDescent="0.35">
      <c r="A129">
        <v>128</v>
      </c>
      <c r="B129" t="s">
        <v>12</v>
      </c>
      <c r="C129">
        <v>2.1</v>
      </c>
      <c r="D129">
        <v>66.3</v>
      </c>
      <c r="E129">
        <v>6.5</v>
      </c>
      <c r="F129" t="s">
        <v>18</v>
      </c>
      <c r="G129" t="s">
        <v>14</v>
      </c>
      <c r="H129" t="s">
        <v>15</v>
      </c>
      <c r="I129" t="s">
        <v>14</v>
      </c>
      <c r="J129">
        <v>88.4</v>
      </c>
      <c r="K129">
        <v>63</v>
      </c>
      <c r="L129" t="s">
        <v>21</v>
      </c>
    </row>
    <row r="130" spans="1:12" x14ac:dyDescent="0.35">
      <c r="A130">
        <v>129</v>
      </c>
      <c r="B130" t="s">
        <v>17</v>
      </c>
      <c r="C130">
        <v>2.6</v>
      </c>
      <c r="D130">
        <v>84.2</v>
      </c>
      <c r="E130">
        <v>6.6</v>
      </c>
      <c r="F130" t="s">
        <v>18</v>
      </c>
      <c r="G130" t="s">
        <v>14</v>
      </c>
      <c r="H130" t="s">
        <v>15</v>
      </c>
      <c r="I130" t="s">
        <v>14</v>
      </c>
      <c r="J130">
        <v>68.7</v>
      </c>
      <c r="K130">
        <v>81.099999999999994</v>
      </c>
      <c r="L130" t="s">
        <v>20</v>
      </c>
    </row>
    <row r="131" spans="1:12" x14ac:dyDescent="0.35">
      <c r="A131">
        <v>130</v>
      </c>
      <c r="B131" t="s">
        <v>17</v>
      </c>
      <c r="C131">
        <v>4.5999999999999996</v>
      </c>
      <c r="D131">
        <v>83.8</v>
      </c>
      <c r="E131">
        <v>7.2</v>
      </c>
      <c r="F131" t="s">
        <v>18</v>
      </c>
      <c r="G131" t="s">
        <v>14</v>
      </c>
      <c r="H131" t="s">
        <v>14</v>
      </c>
      <c r="I131" t="s">
        <v>15</v>
      </c>
      <c r="J131">
        <v>73.599999999999994</v>
      </c>
      <c r="K131">
        <v>87.1</v>
      </c>
      <c r="L131" t="s">
        <v>20</v>
      </c>
    </row>
    <row r="132" spans="1:12" x14ac:dyDescent="0.35">
      <c r="A132">
        <v>131</v>
      </c>
      <c r="B132" t="s">
        <v>17</v>
      </c>
      <c r="C132">
        <v>4.3</v>
      </c>
      <c r="D132">
        <v>100</v>
      </c>
      <c r="E132">
        <v>6.9</v>
      </c>
      <c r="F132" t="s">
        <v>18</v>
      </c>
      <c r="G132" t="s">
        <v>14</v>
      </c>
      <c r="H132" t="s">
        <v>15</v>
      </c>
      <c r="I132" t="s">
        <v>14</v>
      </c>
      <c r="J132">
        <v>80</v>
      </c>
      <c r="K132">
        <v>100</v>
      </c>
      <c r="L132" t="s">
        <v>16</v>
      </c>
    </row>
    <row r="133" spans="1:12" x14ac:dyDescent="0.35">
      <c r="A133">
        <v>132</v>
      </c>
      <c r="B133" t="s">
        <v>12</v>
      </c>
      <c r="C133">
        <v>2</v>
      </c>
      <c r="D133">
        <v>91.3</v>
      </c>
      <c r="E133">
        <v>4.0999999999999996</v>
      </c>
      <c r="F133" t="s">
        <v>19</v>
      </c>
      <c r="G133" t="s">
        <v>14</v>
      </c>
      <c r="H133" t="s">
        <v>14</v>
      </c>
      <c r="I133" t="s">
        <v>15</v>
      </c>
      <c r="J133">
        <v>62.4</v>
      </c>
      <c r="K133">
        <v>75.7</v>
      </c>
      <c r="L133" t="s">
        <v>22</v>
      </c>
    </row>
    <row r="134" spans="1:12" x14ac:dyDescent="0.35">
      <c r="A134">
        <v>133</v>
      </c>
      <c r="B134" t="s">
        <v>12</v>
      </c>
      <c r="C134">
        <v>3.6</v>
      </c>
      <c r="D134">
        <v>74.8</v>
      </c>
      <c r="E134">
        <v>6.5</v>
      </c>
      <c r="F134" t="s">
        <v>13</v>
      </c>
      <c r="G134" t="s">
        <v>15</v>
      </c>
      <c r="H134" t="s">
        <v>14</v>
      </c>
      <c r="I134" t="s">
        <v>15</v>
      </c>
      <c r="J134">
        <v>80.400000000000006</v>
      </c>
      <c r="K134">
        <v>77.3</v>
      </c>
      <c r="L134" t="s">
        <v>22</v>
      </c>
    </row>
    <row r="135" spans="1:12" x14ac:dyDescent="0.35">
      <c r="A135">
        <v>134</v>
      </c>
      <c r="B135" t="s">
        <v>12</v>
      </c>
      <c r="C135">
        <v>4.5999999999999996</v>
      </c>
      <c r="D135">
        <v>100</v>
      </c>
      <c r="E135">
        <v>5.8</v>
      </c>
      <c r="F135" t="s">
        <v>23</v>
      </c>
      <c r="G135" t="s">
        <v>14</v>
      </c>
      <c r="H135" t="s">
        <v>14</v>
      </c>
      <c r="I135" t="s">
        <v>15</v>
      </c>
      <c r="J135">
        <v>37.5</v>
      </c>
      <c r="K135">
        <v>85.6</v>
      </c>
      <c r="L135" t="s">
        <v>20</v>
      </c>
    </row>
    <row r="136" spans="1:12" x14ac:dyDescent="0.35">
      <c r="A136">
        <v>135</v>
      </c>
      <c r="B136" t="s">
        <v>12</v>
      </c>
      <c r="C136">
        <v>1</v>
      </c>
      <c r="D136">
        <v>97.2</v>
      </c>
      <c r="E136">
        <v>7</v>
      </c>
      <c r="F136" t="s">
        <v>18</v>
      </c>
      <c r="G136" t="s">
        <v>14</v>
      </c>
      <c r="H136" t="s">
        <v>14</v>
      </c>
      <c r="I136" t="s">
        <v>15</v>
      </c>
      <c r="J136">
        <v>61.4</v>
      </c>
      <c r="K136">
        <v>80.8</v>
      </c>
      <c r="L136" t="s">
        <v>20</v>
      </c>
    </row>
    <row r="137" spans="1:12" x14ac:dyDescent="0.35">
      <c r="A137">
        <v>136</v>
      </c>
      <c r="B137" t="s">
        <v>12</v>
      </c>
      <c r="C137">
        <v>4.3</v>
      </c>
      <c r="D137">
        <v>90.8</v>
      </c>
      <c r="E137">
        <v>10</v>
      </c>
      <c r="F137" t="s">
        <v>13</v>
      </c>
      <c r="G137" t="s">
        <v>14</v>
      </c>
      <c r="H137" t="s">
        <v>14</v>
      </c>
      <c r="I137" t="s">
        <v>15</v>
      </c>
      <c r="J137">
        <v>58.9</v>
      </c>
      <c r="K137">
        <v>94.5</v>
      </c>
      <c r="L137" t="s">
        <v>16</v>
      </c>
    </row>
    <row r="138" spans="1:12" x14ac:dyDescent="0.35">
      <c r="A138">
        <v>137</v>
      </c>
      <c r="B138" t="s">
        <v>12</v>
      </c>
      <c r="C138">
        <v>2.5</v>
      </c>
      <c r="D138">
        <v>82.7</v>
      </c>
      <c r="E138">
        <v>7.2</v>
      </c>
      <c r="F138" t="s">
        <v>18</v>
      </c>
      <c r="G138" t="s">
        <v>15</v>
      </c>
      <c r="H138" t="s">
        <v>15</v>
      </c>
      <c r="I138" t="s">
        <v>14</v>
      </c>
      <c r="J138">
        <v>55</v>
      </c>
      <c r="K138">
        <v>59.7</v>
      </c>
      <c r="L138" t="s">
        <v>25</v>
      </c>
    </row>
    <row r="139" spans="1:12" x14ac:dyDescent="0.35">
      <c r="A139">
        <v>138</v>
      </c>
      <c r="B139" t="s">
        <v>12</v>
      </c>
      <c r="C139">
        <v>4.4000000000000004</v>
      </c>
      <c r="D139">
        <v>75.400000000000006</v>
      </c>
      <c r="E139">
        <v>6.4</v>
      </c>
      <c r="F139" t="s">
        <v>18</v>
      </c>
      <c r="G139" t="s">
        <v>14</v>
      </c>
      <c r="H139" t="s">
        <v>15</v>
      </c>
      <c r="I139" t="s">
        <v>15</v>
      </c>
      <c r="J139">
        <v>67.400000000000006</v>
      </c>
      <c r="K139">
        <v>80.900000000000006</v>
      </c>
      <c r="L139" t="s">
        <v>20</v>
      </c>
    </row>
    <row r="140" spans="1:12" x14ac:dyDescent="0.35">
      <c r="A140">
        <v>139</v>
      </c>
      <c r="B140" t="s">
        <v>12</v>
      </c>
      <c r="C140">
        <v>2.4</v>
      </c>
      <c r="D140">
        <v>81.3</v>
      </c>
      <c r="E140">
        <v>7.9</v>
      </c>
      <c r="F140" t="s">
        <v>18</v>
      </c>
      <c r="G140" t="s">
        <v>14</v>
      </c>
      <c r="H140" t="s">
        <v>14</v>
      </c>
      <c r="I140" t="s">
        <v>15</v>
      </c>
      <c r="J140">
        <v>74.599999999999994</v>
      </c>
      <c r="K140">
        <v>82.6</v>
      </c>
      <c r="L140" t="s">
        <v>20</v>
      </c>
    </row>
    <row r="141" spans="1:12" x14ac:dyDescent="0.35">
      <c r="A141">
        <v>140</v>
      </c>
      <c r="B141" t="s">
        <v>12</v>
      </c>
      <c r="C141">
        <v>0.8</v>
      </c>
      <c r="D141">
        <v>95.9</v>
      </c>
      <c r="E141">
        <v>7.4</v>
      </c>
      <c r="F141" t="s">
        <v>23</v>
      </c>
      <c r="G141" t="s">
        <v>14</v>
      </c>
      <c r="H141" t="s">
        <v>15</v>
      </c>
      <c r="I141" t="s">
        <v>15</v>
      </c>
      <c r="J141">
        <v>78.400000000000006</v>
      </c>
      <c r="K141">
        <v>80.2</v>
      </c>
      <c r="L141" t="s">
        <v>20</v>
      </c>
    </row>
    <row r="142" spans="1:12" x14ac:dyDescent="0.35">
      <c r="A142">
        <v>141</v>
      </c>
      <c r="B142" t="s">
        <v>17</v>
      </c>
      <c r="C142">
        <v>1.1000000000000001</v>
      </c>
      <c r="D142">
        <v>100</v>
      </c>
      <c r="E142">
        <v>7.3</v>
      </c>
      <c r="F142" t="s">
        <v>23</v>
      </c>
      <c r="G142" t="s">
        <v>14</v>
      </c>
      <c r="H142" t="s">
        <v>15</v>
      </c>
      <c r="I142" t="s">
        <v>14</v>
      </c>
      <c r="J142">
        <v>72.900000000000006</v>
      </c>
      <c r="K142">
        <v>82.4</v>
      </c>
      <c r="L142" t="s">
        <v>20</v>
      </c>
    </row>
    <row r="143" spans="1:12" x14ac:dyDescent="0.35">
      <c r="A143">
        <v>142</v>
      </c>
      <c r="B143" t="s">
        <v>12</v>
      </c>
      <c r="C143">
        <v>3.6</v>
      </c>
      <c r="D143">
        <v>100</v>
      </c>
      <c r="E143">
        <v>7.5</v>
      </c>
      <c r="F143" t="s">
        <v>13</v>
      </c>
      <c r="G143" t="s">
        <v>14</v>
      </c>
      <c r="H143" t="s">
        <v>15</v>
      </c>
      <c r="I143" t="s">
        <v>15</v>
      </c>
      <c r="J143">
        <v>62</v>
      </c>
      <c r="K143">
        <v>75.900000000000006</v>
      </c>
      <c r="L143" t="s">
        <v>22</v>
      </c>
    </row>
    <row r="144" spans="1:12" x14ac:dyDescent="0.35">
      <c r="A144">
        <v>143</v>
      </c>
      <c r="B144" t="s">
        <v>17</v>
      </c>
      <c r="C144">
        <v>3.9</v>
      </c>
      <c r="D144">
        <v>80.099999999999994</v>
      </c>
      <c r="E144">
        <v>9.3000000000000007</v>
      </c>
      <c r="F144" t="s">
        <v>13</v>
      </c>
      <c r="G144" t="s">
        <v>14</v>
      </c>
      <c r="H144" t="s">
        <v>15</v>
      </c>
      <c r="I144" t="s">
        <v>14</v>
      </c>
      <c r="J144">
        <v>74.400000000000006</v>
      </c>
      <c r="K144">
        <v>88.5</v>
      </c>
      <c r="L144" t="s">
        <v>20</v>
      </c>
    </row>
    <row r="145" spans="1:12" x14ac:dyDescent="0.35">
      <c r="A145">
        <v>144</v>
      </c>
      <c r="B145" t="s">
        <v>17</v>
      </c>
      <c r="C145">
        <v>2.1</v>
      </c>
      <c r="D145">
        <v>73.8</v>
      </c>
      <c r="E145">
        <v>5.4</v>
      </c>
      <c r="F145" t="s">
        <v>19</v>
      </c>
      <c r="G145" t="s">
        <v>14</v>
      </c>
      <c r="H145" t="s">
        <v>14</v>
      </c>
      <c r="I145" t="s">
        <v>14</v>
      </c>
      <c r="J145">
        <v>71.5</v>
      </c>
      <c r="K145">
        <v>69.599999999999994</v>
      </c>
      <c r="L145" t="s">
        <v>21</v>
      </c>
    </row>
    <row r="146" spans="1:12" x14ac:dyDescent="0.35">
      <c r="A146">
        <v>145</v>
      </c>
      <c r="B146" t="s">
        <v>17</v>
      </c>
      <c r="C146">
        <v>4.5</v>
      </c>
      <c r="D146">
        <v>86.4</v>
      </c>
      <c r="E146">
        <v>7.4</v>
      </c>
      <c r="F146" t="s">
        <v>18</v>
      </c>
      <c r="G146" t="s">
        <v>14</v>
      </c>
      <c r="H146" t="s">
        <v>15</v>
      </c>
      <c r="I146" t="s">
        <v>14</v>
      </c>
      <c r="J146">
        <v>81.2</v>
      </c>
      <c r="K146">
        <v>86.8</v>
      </c>
      <c r="L146" t="s">
        <v>20</v>
      </c>
    </row>
    <row r="147" spans="1:12" x14ac:dyDescent="0.35">
      <c r="A147">
        <v>146</v>
      </c>
      <c r="B147" t="s">
        <v>12</v>
      </c>
      <c r="C147">
        <v>1</v>
      </c>
      <c r="D147">
        <v>67.3</v>
      </c>
      <c r="E147">
        <v>5.7</v>
      </c>
      <c r="F147" t="s">
        <v>18</v>
      </c>
      <c r="G147" t="s">
        <v>14</v>
      </c>
      <c r="H147" t="s">
        <v>15</v>
      </c>
      <c r="I147" t="s">
        <v>15</v>
      </c>
      <c r="J147">
        <v>79.3</v>
      </c>
      <c r="K147">
        <v>65.2</v>
      </c>
      <c r="L147" t="s">
        <v>21</v>
      </c>
    </row>
    <row r="148" spans="1:12" x14ac:dyDescent="0.35">
      <c r="A148">
        <v>147</v>
      </c>
      <c r="B148" t="s">
        <v>12</v>
      </c>
      <c r="C148">
        <v>3.4</v>
      </c>
      <c r="D148">
        <v>88.2</v>
      </c>
      <c r="E148">
        <v>7.5</v>
      </c>
      <c r="F148" t="s">
        <v>18</v>
      </c>
      <c r="G148" t="s">
        <v>14</v>
      </c>
      <c r="H148" t="s">
        <v>15</v>
      </c>
      <c r="I148" t="s">
        <v>14</v>
      </c>
      <c r="J148">
        <v>70.400000000000006</v>
      </c>
      <c r="K148">
        <v>82</v>
      </c>
      <c r="L148" t="s">
        <v>20</v>
      </c>
    </row>
    <row r="149" spans="1:12" x14ac:dyDescent="0.35">
      <c r="A149">
        <v>148</v>
      </c>
      <c r="B149" t="s">
        <v>12</v>
      </c>
      <c r="C149">
        <v>1.7</v>
      </c>
      <c r="D149">
        <v>83.5</v>
      </c>
      <c r="E149">
        <v>5.7</v>
      </c>
      <c r="F149" t="s">
        <v>23</v>
      </c>
      <c r="G149" t="s">
        <v>14</v>
      </c>
      <c r="H149" t="s">
        <v>14</v>
      </c>
      <c r="I149" t="s">
        <v>14</v>
      </c>
      <c r="J149">
        <v>59.2</v>
      </c>
      <c r="K149">
        <v>46.8</v>
      </c>
      <c r="L149" t="s">
        <v>25</v>
      </c>
    </row>
    <row r="150" spans="1:12" x14ac:dyDescent="0.35">
      <c r="A150">
        <v>149</v>
      </c>
      <c r="B150" t="s">
        <v>12</v>
      </c>
      <c r="C150">
        <v>2.5</v>
      </c>
      <c r="D150">
        <v>80.3</v>
      </c>
      <c r="E150">
        <v>6.3</v>
      </c>
      <c r="F150" t="s">
        <v>19</v>
      </c>
      <c r="G150" t="s">
        <v>14</v>
      </c>
      <c r="H150" t="s">
        <v>14</v>
      </c>
      <c r="I150" t="s">
        <v>14</v>
      </c>
      <c r="J150">
        <v>62.2</v>
      </c>
      <c r="K150">
        <v>68.599999999999994</v>
      </c>
      <c r="L150" t="s">
        <v>21</v>
      </c>
    </row>
    <row r="151" spans="1:12" x14ac:dyDescent="0.35">
      <c r="A151">
        <v>150</v>
      </c>
      <c r="B151" t="s">
        <v>17</v>
      </c>
      <c r="C151">
        <v>3.6</v>
      </c>
      <c r="D151">
        <v>69.099999999999994</v>
      </c>
      <c r="E151">
        <v>6.4</v>
      </c>
      <c r="F151" t="s">
        <v>18</v>
      </c>
      <c r="G151" t="s">
        <v>14</v>
      </c>
      <c r="H151" t="s">
        <v>14</v>
      </c>
      <c r="I151" t="s">
        <v>14</v>
      </c>
      <c r="J151">
        <v>63.4</v>
      </c>
      <c r="K151">
        <v>69.2</v>
      </c>
      <c r="L151" t="s">
        <v>21</v>
      </c>
    </row>
    <row r="152" spans="1:12" x14ac:dyDescent="0.35">
      <c r="A152">
        <v>151</v>
      </c>
      <c r="B152" t="s">
        <v>12</v>
      </c>
      <c r="C152">
        <v>2.2000000000000002</v>
      </c>
      <c r="D152">
        <v>90.1</v>
      </c>
      <c r="E152">
        <v>8</v>
      </c>
      <c r="F152" t="s">
        <v>24</v>
      </c>
      <c r="G152" t="s">
        <v>14</v>
      </c>
      <c r="H152" t="s">
        <v>14</v>
      </c>
      <c r="I152" t="s">
        <v>15</v>
      </c>
      <c r="J152">
        <v>66.2</v>
      </c>
      <c r="K152">
        <v>84.7</v>
      </c>
      <c r="L152" t="s">
        <v>20</v>
      </c>
    </row>
    <row r="153" spans="1:12" x14ac:dyDescent="0.35">
      <c r="A153">
        <v>152</v>
      </c>
      <c r="B153" t="s">
        <v>12</v>
      </c>
      <c r="C153">
        <v>2.9</v>
      </c>
      <c r="D153">
        <v>79.7</v>
      </c>
      <c r="E153">
        <v>7.9</v>
      </c>
      <c r="F153" t="s">
        <v>23</v>
      </c>
      <c r="G153" t="s">
        <v>14</v>
      </c>
      <c r="H153" t="s">
        <v>14</v>
      </c>
      <c r="I153" t="s">
        <v>14</v>
      </c>
      <c r="J153">
        <v>73.2</v>
      </c>
      <c r="K153">
        <v>75.900000000000006</v>
      </c>
      <c r="L153" t="s">
        <v>22</v>
      </c>
    </row>
    <row r="154" spans="1:12" x14ac:dyDescent="0.35">
      <c r="A154">
        <v>153</v>
      </c>
      <c r="B154" t="s">
        <v>12</v>
      </c>
      <c r="C154">
        <v>5</v>
      </c>
      <c r="D154">
        <v>73.3</v>
      </c>
      <c r="E154">
        <v>5.3</v>
      </c>
      <c r="F154" t="s">
        <v>18</v>
      </c>
      <c r="G154" t="s">
        <v>14</v>
      </c>
      <c r="H154" t="s">
        <v>15</v>
      </c>
      <c r="I154" t="s">
        <v>14</v>
      </c>
      <c r="J154">
        <v>78.599999999999994</v>
      </c>
      <c r="K154">
        <v>84.7</v>
      </c>
      <c r="L154" t="s">
        <v>20</v>
      </c>
    </row>
    <row r="155" spans="1:12" x14ac:dyDescent="0.35">
      <c r="A155">
        <v>154</v>
      </c>
      <c r="B155" t="s">
        <v>12</v>
      </c>
      <c r="C155">
        <v>2.6</v>
      </c>
      <c r="D155">
        <v>56.3</v>
      </c>
      <c r="E155">
        <v>6.9</v>
      </c>
      <c r="F155" t="s">
        <v>13</v>
      </c>
      <c r="G155" t="s">
        <v>15</v>
      </c>
      <c r="H155" t="s">
        <v>14</v>
      </c>
      <c r="I155" t="s">
        <v>15</v>
      </c>
      <c r="J155">
        <v>69.400000000000006</v>
      </c>
      <c r="K155">
        <v>75.7</v>
      </c>
      <c r="L155" t="s">
        <v>22</v>
      </c>
    </row>
    <row r="156" spans="1:12" x14ac:dyDescent="0.35">
      <c r="A156">
        <v>155</v>
      </c>
      <c r="B156" t="s">
        <v>12</v>
      </c>
      <c r="C156">
        <v>4.8</v>
      </c>
      <c r="D156">
        <v>84.7</v>
      </c>
      <c r="E156">
        <v>5.9</v>
      </c>
      <c r="F156" t="s">
        <v>13</v>
      </c>
      <c r="G156" t="s">
        <v>14</v>
      </c>
      <c r="H156" t="s">
        <v>15</v>
      </c>
      <c r="I156" t="s">
        <v>15</v>
      </c>
      <c r="J156">
        <v>70.2</v>
      </c>
      <c r="K156">
        <v>95.4</v>
      </c>
      <c r="L156" t="s">
        <v>16</v>
      </c>
    </row>
    <row r="157" spans="1:12" x14ac:dyDescent="0.35">
      <c r="A157">
        <v>156</v>
      </c>
      <c r="B157" t="s">
        <v>17</v>
      </c>
      <c r="C157">
        <v>1.8</v>
      </c>
      <c r="D157">
        <v>100</v>
      </c>
      <c r="E157">
        <v>5.3</v>
      </c>
      <c r="F157" t="s">
        <v>19</v>
      </c>
      <c r="G157" t="s">
        <v>14</v>
      </c>
      <c r="H157" t="s">
        <v>14</v>
      </c>
      <c r="I157" t="s">
        <v>15</v>
      </c>
      <c r="J157">
        <v>71.7</v>
      </c>
      <c r="K157">
        <v>87.6</v>
      </c>
      <c r="L157" t="s">
        <v>20</v>
      </c>
    </row>
    <row r="158" spans="1:12" x14ac:dyDescent="0.35">
      <c r="A158">
        <v>157</v>
      </c>
      <c r="B158" t="s">
        <v>12</v>
      </c>
      <c r="C158">
        <v>4.3</v>
      </c>
      <c r="D158">
        <v>100</v>
      </c>
      <c r="E158">
        <v>6.5</v>
      </c>
      <c r="F158" t="s">
        <v>18</v>
      </c>
      <c r="G158" t="s">
        <v>14</v>
      </c>
      <c r="H158" t="s">
        <v>15</v>
      </c>
      <c r="I158" t="s">
        <v>15</v>
      </c>
      <c r="J158">
        <v>63.8</v>
      </c>
      <c r="K158">
        <v>87.7</v>
      </c>
      <c r="L158" t="s">
        <v>20</v>
      </c>
    </row>
    <row r="159" spans="1:12" x14ac:dyDescent="0.35">
      <c r="A159">
        <v>158</v>
      </c>
      <c r="B159" t="s">
        <v>17</v>
      </c>
      <c r="C159">
        <v>5.7</v>
      </c>
      <c r="D159">
        <v>80.400000000000006</v>
      </c>
      <c r="E159">
        <v>6.4</v>
      </c>
      <c r="F159" t="s">
        <v>23</v>
      </c>
      <c r="G159" t="s">
        <v>14</v>
      </c>
      <c r="H159" t="s">
        <v>14</v>
      </c>
      <c r="I159" t="s">
        <v>14</v>
      </c>
      <c r="J159">
        <v>58.9</v>
      </c>
      <c r="K159">
        <v>89.3</v>
      </c>
      <c r="L159" t="s">
        <v>20</v>
      </c>
    </row>
    <row r="160" spans="1:12" x14ac:dyDescent="0.35">
      <c r="A160">
        <v>159</v>
      </c>
      <c r="B160" t="s">
        <v>12</v>
      </c>
      <c r="C160">
        <v>0.5</v>
      </c>
      <c r="D160">
        <v>79</v>
      </c>
      <c r="E160">
        <v>9.6999999999999993</v>
      </c>
      <c r="F160" t="s">
        <v>18</v>
      </c>
      <c r="G160" t="s">
        <v>14</v>
      </c>
      <c r="H160" t="s">
        <v>14</v>
      </c>
      <c r="I160" t="s">
        <v>15</v>
      </c>
      <c r="J160">
        <v>48.9</v>
      </c>
      <c r="K160">
        <v>63.7</v>
      </c>
      <c r="L160" t="s">
        <v>21</v>
      </c>
    </row>
    <row r="161" spans="1:12" x14ac:dyDescent="0.35">
      <c r="A161">
        <v>160</v>
      </c>
      <c r="B161" t="s">
        <v>17</v>
      </c>
      <c r="C161">
        <v>2.2999999999999998</v>
      </c>
      <c r="D161">
        <v>89.7</v>
      </c>
      <c r="E161">
        <v>7.3</v>
      </c>
      <c r="F161" t="s">
        <v>23</v>
      </c>
      <c r="G161" t="s">
        <v>14</v>
      </c>
      <c r="H161" t="s">
        <v>15</v>
      </c>
      <c r="I161" t="s">
        <v>14</v>
      </c>
      <c r="J161">
        <v>61.7</v>
      </c>
      <c r="K161">
        <v>74</v>
      </c>
      <c r="L161" t="s">
        <v>22</v>
      </c>
    </row>
    <row r="162" spans="1:12" x14ac:dyDescent="0.35">
      <c r="A162">
        <v>161</v>
      </c>
      <c r="B162" t="s">
        <v>12</v>
      </c>
      <c r="C162">
        <v>4.4000000000000004</v>
      </c>
      <c r="D162">
        <v>75</v>
      </c>
      <c r="E162">
        <v>5.0999999999999996</v>
      </c>
      <c r="F162" t="s">
        <v>13</v>
      </c>
      <c r="G162" t="s">
        <v>14</v>
      </c>
      <c r="H162" t="s">
        <v>15</v>
      </c>
      <c r="I162" t="s">
        <v>15</v>
      </c>
      <c r="J162">
        <v>75.7</v>
      </c>
      <c r="K162">
        <v>87.9</v>
      </c>
      <c r="L162" t="s">
        <v>20</v>
      </c>
    </row>
    <row r="163" spans="1:12" x14ac:dyDescent="0.35">
      <c r="A163">
        <v>162</v>
      </c>
      <c r="B163" t="s">
        <v>12</v>
      </c>
      <c r="C163">
        <v>3.2</v>
      </c>
      <c r="D163">
        <v>88</v>
      </c>
      <c r="E163">
        <v>6.1</v>
      </c>
      <c r="F163" t="s">
        <v>13</v>
      </c>
      <c r="G163" t="s">
        <v>14</v>
      </c>
      <c r="H163" t="s">
        <v>15</v>
      </c>
      <c r="I163" t="s">
        <v>15</v>
      </c>
      <c r="J163">
        <v>61.6</v>
      </c>
      <c r="K163">
        <v>76.599999999999994</v>
      </c>
      <c r="L163" t="s">
        <v>22</v>
      </c>
    </row>
    <row r="164" spans="1:12" x14ac:dyDescent="0.35">
      <c r="A164">
        <v>163</v>
      </c>
      <c r="B164" t="s">
        <v>17</v>
      </c>
      <c r="C164">
        <v>4.0999999999999996</v>
      </c>
      <c r="D164">
        <v>92.7</v>
      </c>
      <c r="E164">
        <v>8</v>
      </c>
      <c r="F164" t="s">
        <v>23</v>
      </c>
      <c r="G164" t="s">
        <v>14</v>
      </c>
      <c r="H164" t="s">
        <v>14</v>
      </c>
      <c r="I164" t="s">
        <v>14</v>
      </c>
      <c r="J164">
        <v>67.099999999999994</v>
      </c>
      <c r="K164">
        <v>97.3</v>
      </c>
      <c r="L164" t="s">
        <v>16</v>
      </c>
    </row>
    <row r="165" spans="1:12" x14ac:dyDescent="0.35">
      <c r="A165">
        <v>164</v>
      </c>
      <c r="B165" t="s">
        <v>17</v>
      </c>
      <c r="C165">
        <v>2.6</v>
      </c>
      <c r="D165">
        <v>97.3</v>
      </c>
      <c r="E165">
        <v>9.3000000000000007</v>
      </c>
      <c r="F165" t="s">
        <v>23</v>
      </c>
      <c r="G165" t="s">
        <v>14</v>
      </c>
      <c r="H165" t="s">
        <v>14</v>
      </c>
      <c r="I165" t="s">
        <v>15</v>
      </c>
      <c r="J165">
        <v>75.599999999999994</v>
      </c>
      <c r="K165">
        <v>90.2</v>
      </c>
      <c r="L165" t="s">
        <v>16</v>
      </c>
    </row>
    <row r="166" spans="1:12" x14ac:dyDescent="0.35">
      <c r="A166">
        <v>165</v>
      </c>
      <c r="B166" t="s">
        <v>17</v>
      </c>
      <c r="C166">
        <v>3.6</v>
      </c>
      <c r="D166">
        <v>84</v>
      </c>
      <c r="E166">
        <v>4.9000000000000004</v>
      </c>
      <c r="F166" t="s">
        <v>24</v>
      </c>
      <c r="G166" t="s">
        <v>14</v>
      </c>
      <c r="H166" t="s">
        <v>15</v>
      </c>
      <c r="I166" t="s">
        <v>15</v>
      </c>
      <c r="J166">
        <v>76.2</v>
      </c>
      <c r="K166">
        <v>88.7</v>
      </c>
      <c r="L166" t="s">
        <v>20</v>
      </c>
    </row>
    <row r="167" spans="1:12" x14ac:dyDescent="0.35">
      <c r="A167">
        <v>166</v>
      </c>
      <c r="B167" t="s">
        <v>12</v>
      </c>
      <c r="C167">
        <v>3.3</v>
      </c>
      <c r="D167">
        <v>83</v>
      </c>
      <c r="E167">
        <v>4.5</v>
      </c>
      <c r="F167" t="s">
        <v>18</v>
      </c>
      <c r="G167" t="s">
        <v>14</v>
      </c>
      <c r="H167" t="s">
        <v>14</v>
      </c>
      <c r="I167" t="s">
        <v>15</v>
      </c>
      <c r="J167">
        <v>57</v>
      </c>
      <c r="K167">
        <v>84.8</v>
      </c>
      <c r="L167" t="s">
        <v>20</v>
      </c>
    </row>
    <row r="168" spans="1:12" x14ac:dyDescent="0.35">
      <c r="A168">
        <v>167</v>
      </c>
      <c r="B168" t="s">
        <v>17</v>
      </c>
      <c r="C168">
        <v>5.3</v>
      </c>
      <c r="D168">
        <v>76.2</v>
      </c>
      <c r="E168">
        <v>9</v>
      </c>
      <c r="F168" t="s">
        <v>23</v>
      </c>
      <c r="G168" t="s">
        <v>14</v>
      </c>
      <c r="H168" t="s">
        <v>15</v>
      </c>
      <c r="I168" t="s">
        <v>15</v>
      </c>
      <c r="J168">
        <v>82</v>
      </c>
      <c r="K168">
        <v>100</v>
      </c>
      <c r="L168" t="s">
        <v>16</v>
      </c>
    </row>
    <row r="169" spans="1:12" x14ac:dyDescent="0.35">
      <c r="A169">
        <v>168</v>
      </c>
      <c r="B169" t="s">
        <v>12</v>
      </c>
      <c r="C169">
        <v>3.9</v>
      </c>
      <c r="D169">
        <v>76.7</v>
      </c>
      <c r="E169">
        <v>7.3</v>
      </c>
      <c r="F169" t="s">
        <v>18</v>
      </c>
      <c r="G169" t="s">
        <v>14</v>
      </c>
      <c r="H169" t="s">
        <v>14</v>
      </c>
      <c r="I169" t="s">
        <v>15</v>
      </c>
      <c r="J169">
        <v>83.5</v>
      </c>
      <c r="K169">
        <v>82.1</v>
      </c>
      <c r="L169" t="s">
        <v>20</v>
      </c>
    </row>
    <row r="170" spans="1:12" x14ac:dyDescent="0.35">
      <c r="A170">
        <v>169</v>
      </c>
      <c r="B170" t="s">
        <v>12</v>
      </c>
      <c r="C170">
        <v>4</v>
      </c>
      <c r="D170">
        <v>82.7</v>
      </c>
      <c r="E170">
        <v>5.8</v>
      </c>
      <c r="F170" t="s">
        <v>13</v>
      </c>
      <c r="G170" t="s">
        <v>15</v>
      </c>
      <c r="H170" t="s">
        <v>14</v>
      </c>
      <c r="I170" t="s">
        <v>14</v>
      </c>
      <c r="J170">
        <v>56.4</v>
      </c>
      <c r="K170">
        <v>75.099999999999994</v>
      </c>
      <c r="L170" t="s">
        <v>22</v>
      </c>
    </row>
    <row r="171" spans="1:12" x14ac:dyDescent="0.35">
      <c r="A171">
        <v>170</v>
      </c>
      <c r="B171" t="s">
        <v>17</v>
      </c>
      <c r="C171">
        <v>2.9</v>
      </c>
      <c r="D171">
        <v>88.7</v>
      </c>
      <c r="E171">
        <v>7.4</v>
      </c>
      <c r="F171" t="s">
        <v>13</v>
      </c>
      <c r="G171" t="s">
        <v>15</v>
      </c>
      <c r="H171" t="s">
        <v>14</v>
      </c>
      <c r="I171" t="s">
        <v>14</v>
      </c>
      <c r="J171">
        <v>60.1</v>
      </c>
      <c r="K171">
        <v>78.099999999999994</v>
      </c>
      <c r="L171" t="s">
        <v>22</v>
      </c>
    </row>
    <row r="172" spans="1:12" x14ac:dyDescent="0.35">
      <c r="A172">
        <v>171</v>
      </c>
      <c r="B172" t="s">
        <v>17</v>
      </c>
      <c r="C172">
        <v>2.8</v>
      </c>
      <c r="D172">
        <v>94.1</v>
      </c>
      <c r="E172">
        <v>3.6</v>
      </c>
      <c r="F172" t="s">
        <v>13</v>
      </c>
      <c r="G172" t="s">
        <v>14</v>
      </c>
      <c r="H172" t="s">
        <v>14</v>
      </c>
      <c r="I172" t="s">
        <v>15</v>
      </c>
      <c r="J172">
        <v>84.3</v>
      </c>
      <c r="K172">
        <v>92.9</v>
      </c>
      <c r="L172" t="s">
        <v>16</v>
      </c>
    </row>
    <row r="173" spans="1:12" x14ac:dyDescent="0.35">
      <c r="A173">
        <v>172</v>
      </c>
      <c r="B173" t="s">
        <v>12</v>
      </c>
      <c r="C173">
        <v>2.9</v>
      </c>
      <c r="D173">
        <v>77</v>
      </c>
      <c r="E173">
        <v>6.8</v>
      </c>
      <c r="F173" t="s">
        <v>13</v>
      </c>
      <c r="G173" t="s">
        <v>14</v>
      </c>
      <c r="H173" t="s">
        <v>15</v>
      </c>
      <c r="I173" t="s">
        <v>15</v>
      </c>
      <c r="J173">
        <v>68.2</v>
      </c>
      <c r="K173">
        <v>71.8</v>
      </c>
      <c r="L173" t="s">
        <v>22</v>
      </c>
    </row>
    <row r="174" spans="1:12" x14ac:dyDescent="0.35">
      <c r="A174">
        <v>173</v>
      </c>
      <c r="B174" t="s">
        <v>12</v>
      </c>
      <c r="C174">
        <v>4.0999999999999996</v>
      </c>
      <c r="D174">
        <v>99.9</v>
      </c>
      <c r="E174">
        <v>7.2</v>
      </c>
      <c r="F174" t="s">
        <v>19</v>
      </c>
      <c r="G174" t="s">
        <v>14</v>
      </c>
      <c r="H174" t="s">
        <v>15</v>
      </c>
      <c r="I174" t="s">
        <v>15</v>
      </c>
      <c r="J174">
        <v>43.4</v>
      </c>
      <c r="K174">
        <v>78.5</v>
      </c>
      <c r="L174" t="s">
        <v>22</v>
      </c>
    </row>
    <row r="175" spans="1:12" x14ac:dyDescent="0.35">
      <c r="A175">
        <v>174</v>
      </c>
      <c r="B175" t="s">
        <v>17</v>
      </c>
      <c r="C175">
        <v>2.9</v>
      </c>
      <c r="D175">
        <v>82.3</v>
      </c>
      <c r="E175">
        <v>7.9</v>
      </c>
      <c r="F175" t="s">
        <v>18</v>
      </c>
      <c r="G175" t="s">
        <v>14</v>
      </c>
      <c r="H175" t="s">
        <v>14</v>
      </c>
      <c r="I175" t="s">
        <v>15</v>
      </c>
      <c r="J175">
        <v>53.2</v>
      </c>
      <c r="K175">
        <v>82.6</v>
      </c>
      <c r="L175" t="s">
        <v>20</v>
      </c>
    </row>
    <row r="176" spans="1:12" x14ac:dyDescent="0.35">
      <c r="A176">
        <v>175</v>
      </c>
      <c r="B176" t="s">
        <v>17</v>
      </c>
      <c r="C176">
        <v>3.9</v>
      </c>
      <c r="D176">
        <v>84.8</v>
      </c>
      <c r="E176">
        <v>5.6</v>
      </c>
      <c r="F176" t="s">
        <v>23</v>
      </c>
      <c r="G176" t="s">
        <v>14</v>
      </c>
      <c r="H176" t="s">
        <v>15</v>
      </c>
      <c r="I176" t="s">
        <v>15</v>
      </c>
      <c r="J176">
        <v>67</v>
      </c>
      <c r="K176">
        <v>79.2</v>
      </c>
      <c r="L176" t="s">
        <v>22</v>
      </c>
    </row>
    <row r="177" spans="1:12" x14ac:dyDescent="0.35">
      <c r="A177">
        <v>176</v>
      </c>
      <c r="B177" t="s">
        <v>17</v>
      </c>
      <c r="C177">
        <v>6.6</v>
      </c>
      <c r="D177">
        <v>77.5</v>
      </c>
      <c r="E177">
        <v>6.9</v>
      </c>
      <c r="F177" t="s">
        <v>13</v>
      </c>
      <c r="G177" t="s">
        <v>14</v>
      </c>
      <c r="H177" t="s">
        <v>14</v>
      </c>
      <c r="I177" t="s">
        <v>15</v>
      </c>
      <c r="J177">
        <v>56</v>
      </c>
      <c r="K177">
        <v>89.7</v>
      </c>
      <c r="L177" t="s">
        <v>20</v>
      </c>
    </row>
    <row r="178" spans="1:12" x14ac:dyDescent="0.35">
      <c r="A178">
        <v>177</v>
      </c>
      <c r="B178" t="s">
        <v>12</v>
      </c>
      <c r="C178">
        <v>4.8</v>
      </c>
      <c r="D178">
        <v>60.8</v>
      </c>
      <c r="E178">
        <v>5.7</v>
      </c>
      <c r="F178" t="s">
        <v>18</v>
      </c>
      <c r="G178" t="s">
        <v>14</v>
      </c>
      <c r="H178" t="s">
        <v>14</v>
      </c>
      <c r="I178" t="s">
        <v>15</v>
      </c>
      <c r="J178">
        <v>65</v>
      </c>
      <c r="K178">
        <v>89.2</v>
      </c>
      <c r="L178" t="s">
        <v>20</v>
      </c>
    </row>
    <row r="179" spans="1:12" x14ac:dyDescent="0.35">
      <c r="A179">
        <v>178</v>
      </c>
      <c r="B179" t="s">
        <v>12</v>
      </c>
      <c r="C179">
        <v>3</v>
      </c>
      <c r="D179">
        <v>93.8</v>
      </c>
      <c r="E179">
        <v>7.1</v>
      </c>
      <c r="F179" t="s">
        <v>18</v>
      </c>
      <c r="G179" t="s">
        <v>15</v>
      </c>
      <c r="H179" t="s">
        <v>14</v>
      </c>
      <c r="I179" t="s">
        <v>15</v>
      </c>
      <c r="J179">
        <v>70.400000000000006</v>
      </c>
      <c r="K179">
        <v>81.7</v>
      </c>
      <c r="L179" t="s">
        <v>20</v>
      </c>
    </row>
    <row r="180" spans="1:12" x14ac:dyDescent="0.35">
      <c r="A180">
        <v>179</v>
      </c>
      <c r="B180" t="s">
        <v>12</v>
      </c>
      <c r="C180">
        <v>5.3</v>
      </c>
      <c r="D180">
        <v>92.4</v>
      </c>
      <c r="E180">
        <v>5.7</v>
      </c>
      <c r="F180" t="s">
        <v>19</v>
      </c>
      <c r="G180" t="s">
        <v>14</v>
      </c>
      <c r="H180" t="s">
        <v>15</v>
      </c>
      <c r="I180" t="s">
        <v>15</v>
      </c>
      <c r="J180">
        <v>87.5</v>
      </c>
      <c r="K180">
        <v>96.7</v>
      </c>
      <c r="L180" t="s">
        <v>16</v>
      </c>
    </row>
    <row r="181" spans="1:12" x14ac:dyDescent="0.35">
      <c r="A181">
        <v>180</v>
      </c>
      <c r="B181" t="s">
        <v>12</v>
      </c>
      <c r="C181">
        <v>2.9</v>
      </c>
      <c r="D181">
        <v>82.2</v>
      </c>
      <c r="E181">
        <v>6.3</v>
      </c>
      <c r="F181" t="s">
        <v>24</v>
      </c>
      <c r="G181" t="s">
        <v>14</v>
      </c>
      <c r="H181" t="s">
        <v>15</v>
      </c>
      <c r="I181" t="s">
        <v>15</v>
      </c>
      <c r="J181">
        <v>66.5</v>
      </c>
      <c r="K181">
        <v>73.7</v>
      </c>
      <c r="L181" t="s">
        <v>22</v>
      </c>
    </row>
    <row r="182" spans="1:12" x14ac:dyDescent="0.35">
      <c r="A182">
        <v>181</v>
      </c>
      <c r="B182" t="s">
        <v>12</v>
      </c>
      <c r="C182">
        <v>0.5</v>
      </c>
      <c r="D182">
        <v>85.7</v>
      </c>
      <c r="E182">
        <v>5.6</v>
      </c>
      <c r="F182" t="s">
        <v>19</v>
      </c>
      <c r="G182" t="s">
        <v>14</v>
      </c>
      <c r="H182" t="s">
        <v>15</v>
      </c>
      <c r="I182" t="s">
        <v>15</v>
      </c>
      <c r="J182">
        <v>82.9</v>
      </c>
      <c r="K182">
        <v>77.099999999999994</v>
      </c>
      <c r="L182" t="s">
        <v>22</v>
      </c>
    </row>
    <row r="183" spans="1:12" x14ac:dyDescent="0.35">
      <c r="A183">
        <v>182</v>
      </c>
      <c r="B183" t="s">
        <v>12</v>
      </c>
      <c r="C183">
        <v>2</v>
      </c>
      <c r="D183">
        <v>90.2</v>
      </c>
      <c r="E183">
        <v>7.6</v>
      </c>
      <c r="F183" t="s">
        <v>19</v>
      </c>
      <c r="G183" t="s">
        <v>14</v>
      </c>
      <c r="H183" t="s">
        <v>15</v>
      </c>
      <c r="I183" t="s">
        <v>14</v>
      </c>
      <c r="J183">
        <v>87.1</v>
      </c>
      <c r="K183">
        <v>76.5</v>
      </c>
      <c r="L183" t="s">
        <v>22</v>
      </c>
    </row>
    <row r="184" spans="1:12" x14ac:dyDescent="0.35">
      <c r="A184">
        <v>183</v>
      </c>
      <c r="B184" t="s">
        <v>17</v>
      </c>
      <c r="C184">
        <v>0.7</v>
      </c>
      <c r="D184">
        <v>69.400000000000006</v>
      </c>
      <c r="E184">
        <v>7.8</v>
      </c>
      <c r="F184" t="s">
        <v>18</v>
      </c>
      <c r="G184" t="s">
        <v>14</v>
      </c>
      <c r="H184" t="s">
        <v>15</v>
      </c>
      <c r="I184" t="s">
        <v>15</v>
      </c>
      <c r="J184">
        <v>87.2</v>
      </c>
      <c r="K184">
        <v>73.2</v>
      </c>
      <c r="L184" t="s">
        <v>22</v>
      </c>
    </row>
    <row r="185" spans="1:12" x14ac:dyDescent="0.35">
      <c r="A185">
        <v>184</v>
      </c>
      <c r="B185" t="s">
        <v>12</v>
      </c>
      <c r="C185">
        <v>3</v>
      </c>
      <c r="D185">
        <v>79.7</v>
      </c>
      <c r="E185">
        <v>6.5</v>
      </c>
      <c r="F185" t="s">
        <v>13</v>
      </c>
      <c r="G185" t="s">
        <v>14</v>
      </c>
      <c r="H185" t="s">
        <v>15</v>
      </c>
      <c r="I185" t="s">
        <v>15</v>
      </c>
      <c r="J185">
        <v>73.400000000000006</v>
      </c>
      <c r="K185">
        <v>83.6</v>
      </c>
      <c r="L185" t="s">
        <v>20</v>
      </c>
    </row>
    <row r="186" spans="1:12" x14ac:dyDescent="0.35">
      <c r="A186">
        <v>185</v>
      </c>
      <c r="B186" t="s">
        <v>12</v>
      </c>
      <c r="C186">
        <v>3.5</v>
      </c>
      <c r="D186">
        <v>92.9</v>
      </c>
      <c r="E186">
        <v>6.8</v>
      </c>
      <c r="F186" t="s">
        <v>23</v>
      </c>
      <c r="G186" t="s">
        <v>14</v>
      </c>
      <c r="H186" t="s">
        <v>15</v>
      </c>
      <c r="I186" t="s">
        <v>15</v>
      </c>
      <c r="J186">
        <v>46.4</v>
      </c>
      <c r="K186">
        <v>85.8</v>
      </c>
      <c r="L186" t="s">
        <v>20</v>
      </c>
    </row>
    <row r="187" spans="1:12" x14ac:dyDescent="0.35">
      <c r="A187">
        <v>186</v>
      </c>
      <c r="B187" t="s">
        <v>12</v>
      </c>
      <c r="C187">
        <v>6</v>
      </c>
      <c r="D187">
        <v>72.5</v>
      </c>
      <c r="E187">
        <v>5.0999999999999996</v>
      </c>
      <c r="F187" t="s">
        <v>13</v>
      </c>
      <c r="G187" t="s">
        <v>14</v>
      </c>
      <c r="H187" t="s">
        <v>15</v>
      </c>
      <c r="I187" t="s">
        <v>15</v>
      </c>
      <c r="J187">
        <v>75.5</v>
      </c>
      <c r="K187">
        <v>95.7</v>
      </c>
      <c r="L187" t="s">
        <v>16</v>
      </c>
    </row>
    <row r="188" spans="1:12" x14ac:dyDescent="0.35">
      <c r="A188">
        <v>187</v>
      </c>
      <c r="B188" t="s">
        <v>17</v>
      </c>
      <c r="C188">
        <v>4</v>
      </c>
      <c r="D188">
        <v>87.9</v>
      </c>
      <c r="E188">
        <v>6.4</v>
      </c>
      <c r="F188" t="s">
        <v>13</v>
      </c>
      <c r="G188" t="s">
        <v>14</v>
      </c>
      <c r="H188" t="s">
        <v>14</v>
      </c>
      <c r="I188" t="s">
        <v>15</v>
      </c>
      <c r="J188">
        <v>82.6</v>
      </c>
      <c r="K188">
        <v>89.2</v>
      </c>
      <c r="L188" t="s">
        <v>20</v>
      </c>
    </row>
    <row r="189" spans="1:12" x14ac:dyDescent="0.35">
      <c r="A189">
        <v>188</v>
      </c>
      <c r="B189" t="s">
        <v>12</v>
      </c>
      <c r="C189">
        <v>3.2</v>
      </c>
      <c r="D189">
        <v>71.400000000000006</v>
      </c>
      <c r="E189">
        <v>6.7</v>
      </c>
      <c r="F189" t="s">
        <v>13</v>
      </c>
      <c r="G189" t="s">
        <v>14</v>
      </c>
      <c r="H189" t="s">
        <v>14</v>
      </c>
      <c r="I189" t="s">
        <v>14</v>
      </c>
      <c r="J189">
        <v>69</v>
      </c>
      <c r="K189">
        <v>83.1</v>
      </c>
      <c r="L189" t="s">
        <v>20</v>
      </c>
    </row>
    <row r="190" spans="1:12" x14ac:dyDescent="0.35">
      <c r="A190">
        <v>189</v>
      </c>
      <c r="B190" t="s">
        <v>12</v>
      </c>
      <c r="C190">
        <v>4.7</v>
      </c>
      <c r="D190">
        <v>89.7</v>
      </c>
      <c r="E190">
        <v>9.9</v>
      </c>
      <c r="F190" t="s">
        <v>13</v>
      </c>
      <c r="G190" t="s">
        <v>14</v>
      </c>
      <c r="H190" t="s">
        <v>14</v>
      </c>
      <c r="I190" t="s">
        <v>15</v>
      </c>
      <c r="J190">
        <v>90.9</v>
      </c>
      <c r="K190">
        <v>100</v>
      </c>
      <c r="L190" t="s">
        <v>16</v>
      </c>
    </row>
    <row r="191" spans="1:12" x14ac:dyDescent="0.35">
      <c r="A191">
        <v>190</v>
      </c>
      <c r="B191" t="s">
        <v>17</v>
      </c>
      <c r="C191">
        <v>0.5</v>
      </c>
      <c r="D191">
        <v>84.6</v>
      </c>
      <c r="E191">
        <v>5.5</v>
      </c>
      <c r="F191" t="s">
        <v>13</v>
      </c>
      <c r="G191" t="s">
        <v>14</v>
      </c>
      <c r="H191" t="s">
        <v>14</v>
      </c>
      <c r="I191" t="s">
        <v>15</v>
      </c>
      <c r="J191">
        <v>80.3</v>
      </c>
      <c r="K191">
        <v>67.2</v>
      </c>
      <c r="L191" t="s">
        <v>21</v>
      </c>
    </row>
    <row r="192" spans="1:12" x14ac:dyDescent="0.35">
      <c r="A192">
        <v>191</v>
      </c>
      <c r="B192" t="s">
        <v>12</v>
      </c>
      <c r="C192">
        <v>3.9</v>
      </c>
      <c r="D192">
        <v>68.8</v>
      </c>
      <c r="E192">
        <v>8.6</v>
      </c>
      <c r="F192" t="s">
        <v>18</v>
      </c>
      <c r="G192" t="s">
        <v>14</v>
      </c>
      <c r="H192" t="s">
        <v>15</v>
      </c>
      <c r="I192" t="s">
        <v>15</v>
      </c>
      <c r="J192">
        <v>76.8</v>
      </c>
      <c r="K192">
        <v>84.6</v>
      </c>
      <c r="L192" t="s">
        <v>20</v>
      </c>
    </row>
    <row r="193" spans="1:12" x14ac:dyDescent="0.35">
      <c r="A193">
        <v>192</v>
      </c>
      <c r="B193" t="s">
        <v>12</v>
      </c>
      <c r="C193">
        <v>4.7</v>
      </c>
      <c r="D193">
        <v>96.6</v>
      </c>
      <c r="E193">
        <v>8</v>
      </c>
      <c r="F193" t="s">
        <v>13</v>
      </c>
      <c r="G193" t="s">
        <v>14</v>
      </c>
      <c r="H193" t="s">
        <v>14</v>
      </c>
      <c r="I193" t="s">
        <v>14</v>
      </c>
      <c r="J193">
        <v>83</v>
      </c>
      <c r="K193">
        <v>100</v>
      </c>
      <c r="L193" t="s">
        <v>16</v>
      </c>
    </row>
    <row r="194" spans="1:12" x14ac:dyDescent="0.35">
      <c r="A194">
        <v>193</v>
      </c>
      <c r="B194" t="s">
        <v>12</v>
      </c>
      <c r="C194">
        <v>1.3</v>
      </c>
      <c r="D194">
        <v>77.7</v>
      </c>
      <c r="E194">
        <v>7.1</v>
      </c>
      <c r="F194" t="s">
        <v>13</v>
      </c>
      <c r="G194" t="s">
        <v>14</v>
      </c>
      <c r="H194" t="s">
        <v>15</v>
      </c>
      <c r="I194" t="s">
        <v>15</v>
      </c>
      <c r="J194">
        <v>74</v>
      </c>
      <c r="K194">
        <v>75.2</v>
      </c>
      <c r="L194" t="s">
        <v>22</v>
      </c>
    </row>
    <row r="195" spans="1:12" x14ac:dyDescent="0.35">
      <c r="A195">
        <v>194</v>
      </c>
      <c r="B195" t="s">
        <v>12</v>
      </c>
      <c r="C195">
        <v>5.2</v>
      </c>
      <c r="D195">
        <v>76.900000000000006</v>
      </c>
      <c r="E195">
        <v>8.9</v>
      </c>
      <c r="F195" t="s">
        <v>13</v>
      </c>
      <c r="G195" t="s">
        <v>14</v>
      </c>
      <c r="H195" t="s">
        <v>14</v>
      </c>
      <c r="I195" t="s">
        <v>15</v>
      </c>
      <c r="J195">
        <v>40.1</v>
      </c>
      <c r="K195">
        <v>81.099999999999994</v>
      </c>
      <c r="L195" t="s">
        <v>20</v>
      </c>
    </row>
    <row r="196" spans="1:12" x14ac:dyDescent="0.35">
      <c r="A196">
        <v>195</v>
      </c>
      <c r="B196" t="s">
        <v>12</v>
      </c>
      <c r="C196">
        <v>4</v>
      </c>
      <c r="D196">
        <v>87</v>
      </c>
      <c r="E196">
        <v>7.2</v>
      </c>
      <c r="F196" t="s">
        <v>18</v>
      </c>
      <c r="G196" t="s">
        <v>14</v>
      </c>
      <c r="H196" t="s">
        <v>14</v>
      </c>
      <c r="I196" t="s">
        <v>15</v>
      </c>
      <c r="J196">
        <v>64</v>
      </c>
      <c r="K196">
        <v>96.5</v>
      </c>
      <c r="L196" t="s">
        <v>16</v>
      </c>
    </row>
    <row r="197" spans="1:12" x14ac:dyDescent="0.35">
      <c r="A197">
        <v>196</v>
      </c>
      <c r="B197" t="s">
        <v>17</v>
      </c>
      <c r="C197">
        <v>2.9</v>
      </c>
      <c r="D197">
        <v>96.5</v>
      </c>
      <c r="E197">
        <v>7.3</v>
      </c>
      <c r="F197" t="s">
        <v>23</v>
      </c>
      <c r="G197" t="s">
        <v>15</v>
      </c>
      <c r="H197" t="s">
        <v>14</v>
      </c>
      <c r="I197" t="s">
        <v>15</v>
      </c>
      <c r="J197">
        <v>84.4</v>
      </c>
      <c r="K197">
        <v>79.8</v>
      </c>
      <c r="L197" t="s">
        <v>22</v>
      </c>
    </row>
    <row r="198" spans="1:12" x14ac:dyDescent="0.35">
      <c r="A198">
        <v>197</v>
      </c>
      <c r="B198" t="s">
        <v>17</v>
      </c>
      <c r="C198">
        <v>4.4000000000000004</v>
      </c>
      <c r="D198">
        <v>74.8</v>
      </c>
      <c r="E198">
        <v>6.7</v>
      </c>
      <c r="F198" t="s">
        <v>18</v>
      </c>
      <c r="G198" t="s">
        <v>14</v>
      </c>
      <c r="H198" t="s">
        <v>15</v>
      </c>
      <c r="I198" t="s">
        <v>15</v>
      </c>
      <c r="J198">
        <v>60.3</v>
      </c>
      <c r="K198">
        <v>73.400000000000006</v>
      </c>
      <c r="L198" t="s">
        <v>22</v>
      </c>
    </row>
    <row r="199" spans="1:12" x14ac:dyDescent="0.35">
      <c r="A199">
        <v>198</v>
      </c>
      <c r="B199" t="s">
        <v>17</v>
      </c>
      <c r="C199">
        <v>6.9</v>
      </c>
      <c r="D199">
        <v>85.6</v>
      </c>
      <c r="E199">
        <v>8.3000000000000007</v>
      </c>
      <c r="F199" t="s">
        <v>13</v>
      </c>
      <c r="G199" t="s">
        <v>14</v>
      </c>
      <c r="H199" t="s">
        <v>14</v>
      </c>
      <c r="I199" t="s">
        <v>15</v>
      </c>
      <c r="J199">
        <v>67.3</v>
      </c>
      <c r="K199">
        <v>92.2</v>
      </c>
      <c r="L199" t="s">
        <v>16</v>
      </c>
    </row>
    <row r="200" spans="1:12" x14ac:dyDescent="0.35">
      <c r="A200">
        <v>199</v>
      </c>
      <c r="B200" t="s">
        <v>12</v>
      </c>
      <c r="C200">
        <v>3.8</v>
      </c>
      <c r="D200">
        <v>89.3</v>
      </c>
      <c r="E200">
        <v>8.1</v>
      </c>
      <c r="F200" t="s">
        <v>23</v>
      </c>
      <c r="G200" t="s">
        <v>14</v>
      </c>
      <c r="H200" t="s">
        <v>14</v>
      </c>
      <c r="I200" t="s">
        <v>15</v>
      </c>
      <c r="J200">
        <v>57.5</v>
      </c>
      <c r="K200">
        <v>87.3</v>
      </c>
      <c r="L200" t="s">
        <v>20</v>
      </c>
    </row>
    <row r="201" spans="1:12" x14ac:dyDescent="0.35">
      <c r="A201">
        <v>200</v>
      </c>
      <c r="B201" t="s">
        <v>12</v>
      </c>
      <c r="C201">
        <v>3.9</v>
      </c>
      <c r="D201">
        <v>91.9</v>
      </c>
      <c r="E201">
        <v>6</v>
      </c>
      <c r="F201" t="s">
        <v>13</v>
      </c>
      <c r="G201" t="s">
        <v>15</v>
      </c>
      <c r="H201" t="s">
        <v>15</v>
      </c>
      <c r="I201" t="s">
        <v>15</v>
      </c>
      <c r="J201">
        <v>91.4</v>
      </c>
      <c r="K201">
        <v>92.5</v>
      </c>
      <c r="L201" t="s">
        <v>16</v>
      </c>
    </row>
    <row r="202" spans="1:12" x14ac:dyDescent="0.35">
      <c r="A202">
        <v>201</v>
      </c>
      <c r="B202" t="s">
        <v>12</v>
      </c>
      <c r="C202">
        <v>2.8</v>
      </c>
      <c r="D202">
        <v>86.8</v>
      </c>
      <c r="E202">
        <v>5.2</v>
      </c>
      <c r="F202" t="s">
        <v>18</v>
      </c>
      <c r="G202" t="s">
        <v>14</v>
      </c>
      <c r="H202" t="s">
        <v>15</v>
      </c>
      <c r="I202" t="s">
        <v>14</v>
      </c>
      <c r="J202">
        <v>90.2</v>
      </c>
      <c r="K202">
        <v>94.6</v>
      </c>
      <c r="L202" t="s">
        <v>16</v>
      </c>
    </row>
    <row r="203" spans="1:12" x14ac:dyDescent="0.35">
      <c r="A203">
        <v>202</v>
      </c>
      <c r="B203" t="s">
        <v>17</v>
      </c>
      <c r="C203">
        <v>2.2000000000000002</v>
      </c>
      <c r="D203">
        <v>81.3</v>
      </c>
      <c r="E203">
        <v>6.6</v>
      </c>
      <c r="F203" t="s">
        <v>23</v>
      </c>
      <c r="G203" t="s">
        <v>14</v>
      </c>
      <c r="H203" t="s">
        <v>14</v>
      </c>
      <c r="I203" t="s">
        <v>15</v>
      </c>
      <c r="J203">
        <v>59.4</v>
      </c>
      <c r="K203">
        <v>75.5</v>
      </c>
      <c r="L203" t="s">
        <v>22</v>
      </c>
    </row>
    <row r="204" spans="1:12" x14ac:dyDescent="0.35">
      <c r="A204">
        <v>203</v>
      </c>
      <c r="B204" t="s">
        <v>12</v>
      </c>
      <c r="C204">
        <v>4.7</v>
      </c>
      <c r="D204">
        <v>76.7</v>
      </c>
      <c r="E204">
        <v>5.8</v>
      </c>
      <c r="F204" t="s">
        <v>13</v>
      </c>
      <c r="G204" t="s">
        <v>14</v>
      </c>
      <c r="H204" t="s">
        <v>14</v>
      </c>
      <c r="I204" t="s">
        <v>15</v>
      </c>
      <c r="J204">
        <v>71.8</v>
      </c>
      <c r="K204">
        <v>85.3</v>
      </c>
      <c r="L204" t="s">
        <v>20</v>
      </c>
    </row>
    <row r="205" spans="1:12" x14ac:dyDescent="0.35">
      <c r="A205">
        <v>204</v>
      </c>
      <c r="B205" t="s">
        <v>12</v>
      </c>
      <c r="C205">
        <v>2.2000000000000002</v>
      </c>
      <c r="D205">
        <v>85.9</v>
      </c>
      <c r="E205">
        <v>6.7</v>
      </c>
      <c r="F205" t="s">
        <v>23</v>
      </c>
      <c r="G205" t="s">
        <v>14</v>
      </c>
      <c r="H205" t="s">
        <v>14</v>
      </c>
      <c r="I205" t="s">
        <v>15</v>
      </c>
      <c r="J205">
        <v>61.8</v>
      </c>
      <c r="K205">
        <v>76.7</v>
      </c>
      <c r="L205" t="s">
        <v>22</v>
      </c>
    </row>
    <row r="206" spans="1:12" x14ac:dyDescent="0.35">
      <c r="A206">
        <v>205</v>
      </c>
      <c r="B206" t="s">
        <v>17</v>
      </c>
      <c r="C206">
        <v>3.6</v>
      </c>
      <c r="D206">
        <v>74.3</v>
      </c>
      <c r="E206">
        <v>8.3000000000000007</v>
      </c>
      <c r="F206" t="s">
        <v>23</v>
      </c>
      <c r="G206" t="s">
        <v>14</v>
      </c>
      <c r="H206" t="s">
        <v>15</v>
      </c>
      <c r="I206" t="s">
        <v>15</v>
      </c>
      <c r="J206">
        <v>77.400000000000006</v>
      </c>
      <c r="K206">
        <v>86.8</v>
      </c>
      <c r="L206" t="s">
        <v>20</v>
      </c>
    </row>
    <row r="207" spans="1:12" x14ac:dyDescent="0.35">
      <c r="A207">
        <v>206</v>
      </c>
      <c r="B207" t="s">
        <v>12</v>
      </c>
      <c r="C207">
        <v>2.8</v>
      </c>
      <c r="D207">
        <v>55.8</v>
      </c>
      <c r="E207">
        <v>6.3</v>
      </c>
      <c r="F207" t="s">
        <v>13</v>
      </c>
      <c r="G207" t="s">
        <v>14</v>
      </c>
      <c r="H207" t="s">
        <v>14</v>
      </c>
      <c r="I207" t="s">
        <v>14</v>
      </c>
      <c r="J207">
        <v>76.099999999999994</v>
      </c>
      <c r="K207">
        <v>61.1</v>
      </c>
      <c r="L207" t="s">
        <v>21</v>
      </c>
    </row>
    <row r="208" spans="1:12" x14ac:dyDescent="0.35">
      <c r="A208">
        <v>207</v>
      </c>
      <c r="B208" t="s">
        <v>17</v>
      </c>
      <c r="C208">
        <v>4.2</v>
      </c>
      <c r="D208">
        <v>89.4</v>
      </c>
      <c r="E208">
        <v>6.7</v>
      </c>
      <c r="F208" t="s">
        <v>13</v>
      </c>
      <c r="G208" t="s">
        <v>14</v>
      </c>
      <c r="H208" t="s">
        <v>14</v>
      </c>
      <c r="I208" t="s">
        <v>14</v>
      </c>
      <c r="J208">
        <v>79.7</v>
      </c>
      <c r="K208">
        <v>100</v>
      </c>
      <c r="L208" t="s">
        <v>16</v>
      </c>
    </row>
    <row r="209" spans="1:12" x14ac:dyDescent="0.35">
      <c r="A209">
        <v>208</v>
      </c>
      <c r="B209" t="s">
        <v>17</v>
      </c>
      <c r="C209">
        <v>4</v>
      </c>
      <c r="D209">
        <v>94</v>
      </c>
      <c r="E209">
        <v>6.9</v>
      </c>
      <c r="F209" t="s">
        <v>18</v>
      </c>
      <c r="G209" t="s">
        <v>15</v>
      </c>
      <c r="H209" t="s">
        <v>14</v>
      </c>
      <c r="I209" t="s">
        <v>15</v>
      </c>
      <c r="J209">
        <v>74</v>
      </c>
      <c r="K209">
        <v>90.9</v>
      </c>
      <c r="L209" t="s">
        <v>16</v>
      </c>
    </row>
    <row r="210" spans="1:12" x14ac:dyDescent="0.35">
      <c r="A210">
        <v>209</v>
      </c>
      <c r="B210" t="s">
        <v>17</v>
      </c>
      <c r="C210">
        <v>5.0999999999999996</v>
      </c>
      <c r="D210">
        <v>61.4</v>
      </c>
      <c r="E210">
        <v>7.8</v>
      </c>
      <c r="F210" t="s">
        <v>18</v>
      </c>
      <c r="G210" t="s">
        <v>14</v>
      </c>
      <c r="H210" t="s">
        <v>14</v>
      </c>
      <c r="I210" t="s">
        <v>14</v>
      </c>
      <c r="J210">
        <v>100</v>
      </c>
      <c r="K210">
        <v>96.1</v>
      </c>
      <c r="L210" t="s">
        <v>16</v>
      </c>
    </row>
    <row r="211" spans="1:12" x14ac:dyDescent="0.35">
      <c r="A211">
        <v>210</v>
      </c>
      <c r="B211" t="s">
        <v>12</v>
      </c>
      <c r="C211">
        <v>2.7</v>
      </c>
      <c r="D211">
        <v>74.900000000000006</v>
      </c>
      <c r="E211">
        <v>4.0999999999999996</v>
      </c>
      <c r="F211" t="s">
        <v>13</v>
      </c>
      <c r="G211" t="s">
        <v>14</v>
      </c>
      <c r="H211" t="s">
        <v>15</v>
      </c>
      <c r="I211" t="s">
        <v>15</v>
      </c>
      <c r="J211">
        <v>57.7</v>
      </c>
      <c r="K211">
        <v>73.099999999999994</v>
      </c>
      <c r="L211" t="s">
        <v>22</v>
      </c>
    </row>
    <row r="212" spans="1:12" x14ac:dyDescent="0.35">
      <c r="A212">
        <v>211</v>
      </c>
      <c r="B212" t="s">
        <v>12</v>
      </c>
      <c r="C212">
        <v>3.1</v>
      </c>
      <c r="D212">
        <v>91.2</v>
      </c>
      <c r="E212">
        <v>6.1</v>
      </c>
      <c r="F212" t="s">
        <v>13</v>
      </c>
      <c r="G212" t="s">
        <v>14</v>
      </c>
      <c r="H212" t="s">
        <v>14</v>
      </c>
      <c r="I212" t="s">
        <v>15</v>
      </c>
      <c r="J212">
        <v>49.5</v>
      </c>
      <c r="K212">
        <v>81.2</v>
      </c>
      <c r="L212" t="s">
        <v>20</v>
      </c>
    </row>
    <row r="213" spans="1:12" x14ac:dyDescent="0.35">
      <c r="A213">
        <v>212</v>
      </c>
      <c r="B213" t="s">
        <v>12</v>
      </c>
      <c r="C213">
        <v>2</v>
      </c>
      <c r="D213">
        <v>100</v>
      </c>
      <c r="E213">
        <v>7.1</v>
      </c>
      <c r="F213" t="s">
        <v>13</v>
      </c>
      <c r="G213" t="s">
        <v>14</v>
      </c>
      <c r="H213" t="s">
        <v>14</v>
      </c>
      <c r="I213" t="s">
        <v>15</v>
      </c>
      <c r="J213">
        <v>65.3</v>
      </c>
      <c r="K213">
        <v>81.8</v>
      </c>
      <c r="L213" t="s">
        <v>20</v>
      </c>
    </row>
    <row r="214" spans="1:12" x14ac:dyDescent="0.35">
      <c r="A214">
        <v>213</v>
      </c>
      <c r="B214" t="s">
        <v>12</v>
      </c>
      <c r="C214">
        <v>2.8</v>
      </c>
      <c r="D214">
        <v>85.2</v>
      </c>
      <c r="E214">
        <v>8.1999999999999993</v>
      </c>
      <c r="F214" t="s">
        <v>18</v>
      </c>
      <c r="G214" t="s">
        <v>14</v>
      </c>
      <c r="H214" t="s">
        <v>14</v>
      </c>
      <c r="I214" t="s">
        <v>14</v>
      </c>
      <c r="J214">
        <v>51.2</v>
      </c>
      <c r="K214">
        <v>70</v>
      </c>
      <c r="L214" t="s">
        <v>22</v>
      </c>
    </row>
    <row r="215" spans="1:12" x14ac:dyDescent="0.35">
      <c r="A215">
        <v>214</v>
      </c>
      <c r="B215" t="s">
        <v>12</v>
      </c>
      <c r="C215">
        <v>4.0999999999999996</v>
      </c>
      <c r="D215">
        <v>77.7</v>
      </c>
      <c r="E215">
        <v>6.2</v>
      </c>
      <c r="F215" t="s">
        <v>18</v>
      </c>
      <c r="G215" t="s">
        <v>14</v>
      </c>
      <c r="H215" t="s">
        <v>14</v>
      </c>
      <c r="I215" t="s">
        <v>14</v>
      </c>
      <c r="J215">
        <v>52.1</v>
      </c>
      <c r="K215">
        <v>78.5</v>
      </c>
      <c r="L215" t="s">
        <v>22</v>
      </c>
    </row>
    <row r="216" spans="1:12" x14ac:dyDescent="0.35">
      <c r="A216">
        <v>215</v>
      </c>
      <c r="B216" t="s">
        <v>12</v>
      </c>
      <c r="C216">
        <v>4.5999999999999996</v>
      </c>
      <c r="D216">
        <v>83.2</v>
      </c>
      <c r="E216">
        <v>4.5</v>
      </c>
      <c r="F216" t="s">
        <v>13</v>
      </c>
      <c r="G216" t="s">
        <v>14</v>
      </c>
      <c r="H216" t="s">
        <v>14</v>
      </c>
      <c r="I216" t="s">
        <v>15</v>
      </c>
      <c r="J216">
        <v>58</v>
      </c>
      <c r="K216">
        <v>84.7</v>
      </c>
      <c r="L216" t="s">
        <v>20</v>
      </c>
    </row>
    <row r="217" spans="1:12" x14ac:dyDescent="0.35">
      <c r="A217">
        <v>216</v>
      </c>
      <c r="B217" t="s">
        <v>12</v>
      </c>
      <c r="C217">
        <v>2.1</v>
      </c>
      <c r="D217">
        <v>98.7</v>
      </c>
      <c r="E217">
        <v>7.5</v>
      </c>
      <c r="F217" t="s">
        <v>18</v>
      </c>
      <c r="G217" t="s">
        <v>14</v>
      </c>
      <c r="H217" t="s">
        <v>15</v>
      </c>
      <c r="I217" t="s">
        <v>15</v>
      </c>
      <c r="J217">
        <v>58.9</v>
      </c>
      <c r="K217">
        <v>74.7</v>
      </c>
      <c r="L217" t="s">
        <v>22</v>
      </c>
    </row>
    <row r="218" spans="1:12" x14ac:dyDescent="0.35">
      <c r="A218">
        <v>217</v>
      </c>
      <c r="B218" t="s">
        <v>17</v>
      </c>
      <c r="C218">
        <v>4.8</v>
      </c>
      <c r="D218">
        <v>78.5</v>
      </c>
      <c r="E218">
        <v>6</v>
      </c>
      <c r="F218" t="s">
        <v>23</v>
      </c>
      <c r="G218" t="s">
        <v>14</v>
      </c>
      <c r="H218" t="s">
        <v>15</v>
      </c>
      <c r="I218" t="s">
        <v>15</v>
      </c>
      <c r="J218">
        <v>58.5</v>
      </c>
      <c r="K218">
        <v>91.2</v>
      </c>
      <c r="L218" t="s">
        <v>16</v>
      </c>
    </row>
    <row r="219" spans="1:12" x14ac:dyDescent="0.35">
      <c r="A219">
        <v>218</v>
      </c>
      <c r="B219" t="s">
        <v>12</v>
      </c>
      <c r="C219">
        <v>5.5</v>
      </c>
      <c r="D219">
        <v>77</v>
      </c>
      <c r="E219">
        <v>5.4</v>
      </c>
      <c r="F219" t="s">
        <v>18</v>
      </c>
      <c r="G219" t="s">
        <v>14</v>
      </c>
      <c r="H219" t="s">
        <v>15</v>
      </c>
      <c r="I219" t="s">
        <v>15</v>
      </c>
      <c r="J219">
        <v>76.2</v>
      </c>
      <c r="K219">
        <v>93.4</v>
      </c>
      <c r="L219" t="s">
        <v>16</v>
      </c>
    </row>
    <row r="220" spans="1:12" x14ac:dyDescent="0.35">
      <c r="A220">
        <v>219</v>
      </c>
      <c r="B220" t="s">
        <v>17</v>
      </c>
      <c r="C220">
        <v>4.0999999999999996</v>
      </c>
      <c r="D220">
        <v>80.2</v>
      </c>
      <c r="E220">
        <v>6.1</v>
      </c>
      <c r="F220" t="s">
        <v>13</v>
      </c>
      <c r="G220" t="s">
        <v>14</v>
      </c>
      <c r="H220" t="s">
        <v>15</v>
      </c>
      <c r="I220" t="s">
        <v>15</v>
      </c>
      <c r="J220">
        <v>63.9</v>
      </c>
      <c r="K220">
        <v>86.8</v>
      </c>
      <c r="L220" t="s">
        <v>20</v>
      </c>
    </row>
    <row r="221" spans="1:12" x14ac:dyDescent="0.35">
      <c r="A221">
        <v>220</v>
      </c>
      <c r="B221" t="s">
        <v>12</v>
      </c>
      <c r="C221">
        <v>6.3</v>
      </c>
      <c r="D221">
        <v>75.5</v>
      </c>
      <c r="E221">
        <v>6.6</v>
      </c>
      <c r="F221" t="s">
        <v>19</v>
      </c>
      <c r="G221" t="s">
        <v>14</v>
      </c>
      <c r="H221" t="s">
        <v>15</v>
      </c>
      <c r="I221" t="s">
        <v>15</v>
      </c>
      <c r="J221">
        <v>67.8</v>
      </c>
      <c r="K221">
        <v>100</v>
      </c>
      <c r="L221" t="s">
        <v>16</v>
      </c>
    </row>
    <row r="222" spans="1:12" x14ac:dyDescent="0.35">
      <c r="A222">
        <v>221</v>
      </c>
      <c r="B222" t="s">
        <v>12</v>
      </c>
      <c r="C222">
        <v>2.2999999999999998</v>
      </c>
      <c r="D222">
        <v>86.2</v>
      </c>
      <c r="E222">
        <v>6.1</v>
      </c>
      <c r="F222" t="s">
        <v>18</v>
      </c>
      <c r="G222" t="s">
        <v>14</v>
      </c>
      <c r="H222" t="s">
        <v>14</v>
      </c>
      <c r="I222" t="s">
        <v>15</v>
      </c>
      <c r="J222">
        <v>80.7</v>
      </c>
      <c r="K222">
        <v>84.3</v>
      </c>
      <c r="L222" t="s">
        <v>20</v>
      </c>
    </row>
    <row r="223" spans="1:12" x14ac:dyDescent="0.35">
      <c r="A223">
        <v>222</v>
      </c>
      <c r="B223" t="s">
        <v>12</v>
      </c>
      <c r="C223">
        <v>1.6</v>
      </c>
      <c r="D223">
        <v>100</v>
      </c>
      <c r="E223">
        <v>4.2</v>
      </c>
      <c r="F223" t="s">
        <v>13</v>
      </c>
      <c r="G223" t="s">
        <v>15</v>
      </c>
      <c r="H223" t="s">
        <v>15</v>
      </c>
      <c r="I223" t="s">
        <v>15</v>
      </c>
      <c r="J223">
        <v>60.8</v>
      </c>
      <c r="K223">
        <v>71.5</v>
      </c>
      <c r="L223" t="s">
        <v>22</v>
      </c>
    </row>
    <row r="224" spans="1:12" x14ac:dyDescent="0.35">
      <c r="A224">
        <v>223</v>
      </c>
      <c r="B224" t="s">
        <v>17</v>
      </c>
      <c r="C224">
        <v>0.8</v>
      </c>
      <c r="D224">
        <v>88.2</v>
      </c>
      <c r="E224">
        <v>7.9</v>
      </c>
      <c r="F224" t="s">
        <v>18</v>
      </c>
      <c r="G224" t="s">
        <v>15</v>
      </c>
      <c r="H224" t="s">
        <v>15</v>
      </c>
      <c r="I224" t="s">
        <v>14</v>
      </c>
      <c r="J224">
        <v>66.8</v>
      </c>
      <c r="K224">
        <v>70.5</v>
      </c>
      <c r="L224" t="s">
        <v>22</v>
      </c>
    </row>
    <row r="225" spans="1:12" x14ac:dyDescent="0.35">
      <c r="A225">
        <v>224</v>
      </c>
      <c r="B225" t="s">
        <v>17</v>
      </c>
      <c r="C225">
        <v>5.7</v>
      </c>
      <c r="D225">
        <v>82.5</v>
      </c>
      <c r="E225">
        <v>8.3000000000000007</v>
      </c>
      <c r="F225" t="s">
        <v>13</v>
      </c>
      <c r="G225" t="s">
        <v>14</v>
      </c>
      <c r="H225" t="s">
        <v>15</v>
      </c>
      <c r="I225" t="s">
        <v>14</v>
      </c>
      <c r="J225">
        <v>74.400000000000006</v>
      </c>
      <c r="K225">
        <v>89.9</v>
      </c>
      <c r="L225" t="s">
        <v>20</v>
      </c>
    </row>
    <row r="226" spans="1:12" x14ac:dyDescent="0.35">
      <c r="A226">
        <v>225</v>
      </c>
      <c r="B226" t="s">
        <v>17</v>
      </c>
      <c r="C226">
        <v>4.5</v>
      </c>
      <c r="D226">
        <v>82.1</v>
      </c>
      <c r="E226">
        <v>7.6</v>
      </c>
      <c r="F226" t="s">
        <v>13</v>
      </c>
      <c r="G226" t="s">
        <v>14</v>
      </c>
      <c r="H226" t="s">
        <v>14</v>
      </c>
      <c r="I226" t="s">
        <v>15</v>
      </c>
      <c r="J226">
        <v>46.7</v>
      </c>
      <c r="K226">
        <v>81.099999999999994</v>
      </c>
      <c r="L226" t="s">
        <v>20</v>
      </c>
    </row>
    <row r="227" spans="1:12" x14ac:dyDescent="0.35">
      <c r="A227">
        <v>226</v>
      </c>
      <c r="B227" t="s">
        <v>17</v>
      </c>
      <c r="C227">
        <v>3.4</v>
      </c>
      <c r="D227">
        <v>69.400000000000006</v>
      </c>
      <c r="E227">
        <v>5.4</v>
      </c>
      <c r="F227" t="s">
        <v>13</v>
      </c>
      <c r="G227" t="s">
        <v>14</v>
      </c>
      <c r="H227" t="s">
        <v>14</v>
      </c>
      <c r="I227" t="s">
        <v>15</v>
      </c>
      <c r="J227">
        <v>41.4</v>
      </c>
      <c r="K227">
        <v>67.400000000000006</v>
      </c>
      <c r="L227" t="s">
        <v>21</v>
      </c>
    </row>
    <row r="228" spans="1:12" x14ac:dyDescent="0.35">
      <c r="A228">
        <v>227</v>
      </c>
      <c r="B228" t="s">
        <v>12</v>
      </c>
      <c r="C228">
        <v>3.9</v>
      </c>
      <c r="D228">
        <v>93.8</v>
      </c>
      <c r="E228">
        <v>6.6</v>
      </c>
      <c r="F228" t="s">
        <v>13</v>
      </c>
      <c r="G228" t="s">
        <v>14</v>
      </c>
      <c r="H228" t="s">
        <v>15</v>
      </c>
      <c r="I228" t="s">
        <v>14</v>
      </c>
      <c r="J228">
        <v>74.2</v>
      </c>
      <c r="K228">
        <v>82.2</v>
      </c>
      <c r="L228" t="s">
        <v>20</v>
      </c>
    </row>
    <row r="229" spans="1:12" x14ac:dyDescent="0.35">
      <c r="A229">
        <v>228</v>
      </c>
      <c r="B229" t="s">
        <v>17</v>
      </c>
      <c r="C229">
        <v>1.8</v>
      </c>
      <c r="D229">
        <v>84.2</v>
      </c>
      <c r="E229">
        <v>6.8</v>
      </c>
      <c r="F229" t="s">
        <v>24</v>
      </c>
      <c r="G229" t="s">
        <v>14</v>
      </c>
      <c r="H229" t="s">
        <v>15</v>
      </c>
      <c r="I229" t="s">
        <v>14</v>
      </c>
      <c r="J229">
        <v>75.900000000000006</v>
      </c>
      <c r="K229">
        <v>90</v>
      </c>
      <c r="L229" t="s">
        <v>16</v>
      </c>
    </row>
    <row r="230" spans="1:12" x14ac:dyDescent="0.35">
      <c r="A230">
        <v>229</v>
      </c>
      <c r="B230" t="s">
        <v>12</v>
      </c>
      <c r="C230">
        <v>7.2</v>
      </c>
      <c r="D230">
        <v>83.2</v>
      </c>
      <c r="E230">
        <v>7.5</v>
      </c>
      <c r="F230" t="s">
        <v>18</v>
      </c>
      <c r="G230" t="s">
        <v>14</v>
      </c>
      <c r="H230" t="s">
        <v>15</v>
      </c>
      <c r="I230" t="s">
        <v>15</v>
      </c>
      <c r="J230">
        <v>94.8</v>
      </c>
      <c r="K230">
        <v>100</v>
      </c>
      <c r="L230" t="s">
        <v>16</v>
      </c>
    </row>
    <row r="231" spans="1:12" x14ac:dyDescent="0.35">
      <c r="A231">
        <v>230</v>
      </c>
      <c r="B231" t="s">
        <v>12</v>
      </c>
      <c r="C231">
        <v>3.7</v>
      </c>
      <c r="D231">
        <v>100</v>
      </c>
      <c r="E231">
        <v>7.6</v>
      </c>
      <c r="F231" t="s">
        <v>18</v>
      </c>
      <c r="G231" t="s">
        <v>14</v>
      </c>
      <c r="H231" t="s">
        <v>14</v>
      </c>
      <c r="I231" t="s">
        <v>14</v>
      </c>
      <c r="J231">
        <v>71.900000000000006</v>
      </c>
      <c r="K231">
        <v>82.7</v>
      </c>
      <c r="L231" t="s">
        <v>20</v>
      </c>
    </row>
    <row r="232" spans="1:12" x14ac:dyDescent="0.35">
      <c r="A232">
        <v>231</v>
      </c>
      <c r="B232" t="s">
        <v>17</v>
      </c>
      <c r="C232">
        <v>3.7</v>
      </c>
      <c r="D232">
        <v>88</v>
      </c>
      <c r="E232">
        <v>5.9</v>
      </c>
      <c r="F232" t="s">
        <v>24</v>
      </c>
      <c r="G232" t="s">
        <v>14</v>
      </c>
      <c r="H232" t="s">
        <v>14</v>
      </c>
      <c r="I232" t="s">
        <v>15</v>
      </c>
      <c r="J232">
        <v>79.8</v>
      </c>
      <c r="K232">
        <v>98.3</v>
      </c>
      <c r="L232" t="s">
        <v>16</v>
      </c>
    </row>
    <row r="233" spans="1:12" x14ac:dyDescent="0.35">
      <c r="A233">
        <v>232</v>
      </c>
      <c r="B233" t="s">
        <v>17</v>
      </c>
      <c r="C233">
        <v>4.5999999999999996</v>
      </c>
      <c r="D233">
        <v>77.5</v>
      </c>
      <c r="E233">
        <v>6.9</v>
      </c>
      <c r="F233" t="s">
        <v>13</v>
      </c>
      <c r="G233" t="s">
        <v>14</v>
      </c>
      <c r="H233" t="s">
        <v>14</v>
      </c>
      <c r="I233" t="s">
        <v>15</v>
      </c>
      <c r="J233">
        <v>67.7</v>
      </c>
      <c r="K233">
        <v>91.5</v>
      </c>
      <c r="L233" t="s">
        <v>16</v>
      </c>
    </row>
    <row r="234" spans="1:12" x14ac:dyDescent="0.35">
      <c r="A234">
        <v>233</v>
      </c>
      <c r="B234" t="s">
        <v>17</v>
      </c>
      <c r="C234">
        <v>4.2</v>
      </c>
      <c r="D234">
        <v>80.7</v>
      </c>
      <c r="E234">
        <v>7.3</v>
      </c>
      <c r="F234" t="s">
        <v>24</v>
      </c>
      <c r="G234" t="s">
        <v>14</v>
      </c>
      <c r="H234" t="s">
        <v>15</v>
      </c>
      <c r="I234" t="s">
        <v>15</v>
      </c>
      <c r="J234">
        <v>73.599999999999994</v>
      </c>
      <c r="K234">
        <v>82.2</v>
      </c>
      <c r="L234" t="s">
        <v>20</v>
      </c>
    </row>
    <row r="235" spans="1:12" x14ac:dyDescent="0.35">
      <c r="A235">
        <v>234</v>
      </c>
      <c r="B235" t="s">
        <v>17</v>
      </c>
      <c r="C235">
        <v>3.8</v>
      </c>
      <c r="D235">
        <v>96.5</v>
      </c>
      <c r="E235">
        <v>8.5</v>
      </c>
      <c r="F235" t="s">
        <v>13</v>
      </c>
      <c r="G235" t="s">
        <v>14</v>
      </c>
      <c r="H235" t="s">
        <v>14</v>
      </c>
      <c r="I235" t="s">
        <v>15</v>
      </c>
      <c r="J235">
        <v>90</v>
      </c>
      <c r="K235">
        <v>100</v>
      </c>
      <c r="L235" t="s">
        <v>16</v>
      </c>
    </row>
    <row r="236" spans="1:12" x14ac:dyDescent="0.35">
      <c r="A236">
        <v>235</v>
      </c>
      <c r="B236" t="s">
        <v>17</v>
      </c>
      <c r="C236">
        <v>2.2999999999999998</v>
      </c>
      <c r="D236">
        <v>86.1</v>
      </c>
      <c r="E236">
        <v>7.6</v>
      </c>
      <c r="F236" t="s">
        <v>23</v>
      </c>
      <c r="G236" t="s">
        <v>14</v>
      </c>
      <c r="H236" t="s">
        <v>14</v>
      </c>
      <c r="I236" t="s">
        <v>15</v>
      </c>
      <c r="J236">
        <v>44.5</v>
      </c>
      <c r="K236">
        <v>80.2</v>
      </c>
      <c r="L236" t="s">
        <v>20</v>
      </c>
    </row>
    <row r="237" spans="1:12" x14ac:dyDescent="0.35">
      <c r="A237">
        <v>236</v>
      </c>
      <c r="B237" t="s">
        <v>17</v>
      </c>
      <c r="C237">
        <v>4.2</v>
      </c>
      <c r="D237">
        <v>70.599999999999994</v>
      </c>
      <c r="E237">
        <v>7.7</v>
      </c>
      <c r="F237" t="s">
        <v>13</v>
      </c>
      <c r="G237" t="s">
        <v>14</v>
      </c>
      <c r="H237" t="s">
        <v>15</v>
      </c>
      <c r="I237" t="s">
        <v>15</v>
      </c>
      <c r="J237">
        <v>75</v>
      </c>
      <c r="K237">
        <v>85.7</v>
      </c>
      <c r="L237" t="s">
        <v>20</v>
      </c>
    </row>
    <row r="238" spans="1:12" x14ac:dyDescent="0.35">
      <c r="A238">
        <v>237</v>
      </c>
      <c r="B238" t="s">
        <v>17</v>
      </c>
      <c r="C238">
        <v>6.3</v>
      </c>
      <c r="D238">
        <v>94.2</v>
      </c>
      <c r="E238">
        <v>6.9</v>
      </c>
      <c r="F238" t="s">
        <v>23</v>
      </c>
      <c r="G238" t="s">
        <v>14</v>
      </c>
      <c r="H238" t="s">
        <v>14</v>
      </c>
      <c r="I238" t="s">
        <v>15</v>
      </c>
      <c r="J238">
        <v>95.6</v>
      </c>
      <c r="K238">
        <v>100</v>
      </c>
      <c r="L238" t="s">
        <v>16</v>
      </c>
    </row>
    <row r="239" spans="1:12" x14ac:dyDescent="0.35">
      <c r="A239">
        <v>238</v>
      </c>
      <c r="B239" t="s">
        <v>17</v>
      </c>
      <c r="C239">
        <v>5.5</v>
      </c>
      <c r="D239">
        <v>78.3</v>
      </c>
      <c r="E239">
        <v>8.5</v>
      </c>
      <c r="F239" t="s">
        <v>19</v>
      </c>
      <c r="G239" t="s">
        <v>14</v>
      </c>
      <c r="H239" t="s">
        <v>15</v>
      </c>
      <c r="I239" t="s">
        <v>15</v>
      </c>
      <c r="J239">
        <v>73.400000000000006</v>
      </c>
      <c r="K239">
        <v>84.4</v>
      </c>
      <c r="L239" t="s">
        <v>20</v>
      </c>
    </row>
    <row r="240" spans="1:12" x14ac:dyDescent="0.35">
      <c r="A240">
        <v>239</v>
      </c>
      <c r="B240" t="s">
        <v>12</v>
      </c>
      <c r="C240">
        <v>5.9</v>
      </c>
      <c r="D240">
        <v>100</v>
      </c>
      <c r="E240">
        <v>7.3</v>
      </c>
      <c r="F240" t="s">
        <v>13</v>
      </c>
      <c r="G240" t="s">
        <v>14</v>
      </c>
      <c r="H240" t="s">
        <v>14</v>
      </c>
      <c r="I240" t="s">
        <v>15</v>
      </c>
      <c r="J240">
        <v>89.8</v>
      </c>
      <c r="K240">
        <v>100</v>
      </c>
      <c r="L240" t="s">
        <v>16</v>
      </c>
    </row>
    <row r="241" spans="1:12" x14ac:dyDescent="0.35">
      <c r="A241">
        <v>240</v>
      </c>
      <c r="B241" t="s">
        <v>17</v>
      </c>
      <c r="C241">
        <v>2.7</v>
      </c>
      <c r="D241">
        <v>95.8</v>
      </c>
      <c r="E241">
        <v>5.8</v>
      </c>
      <c r="F241" t="s">
        <v>18</v>
      </c>
      <c r="G241" t="s">
        <v>14</v>
      </c>
      <c r="H241" t="s">
        <v>15</v>
      </c>
      <c r="I241" t="s">
        <v>14</v>
      </c>
      <c r="J241">
        <v>62.4</v>
      </c>
      <c r="K241">
        <v>84.6</v>
      </c>
      <c r="L241" t="s">
        <v>20</v>
      </c>
    </row>
    <row r="242" spans="1:12" x14ac:dyDescent="0.35">
      <c r="A242">
        <v>241</v>
      </c>
      <c r="B242" t="s">
        <v>17</v>
      </c>
      <c r="C242">
        <v>2</v>
      </c>
      <c r="D242">
        <v>80.5</v>
      </c>
      <c r="E242">
        <v>8.5</v>
      </c>
      <c r="F242" t="s">
        <v>18</v>
      </c>
      <c r="G242" t="s">
        <v>14</v>
      </c>
      <c r="H242" t="s">
        <v>15</v>
      </c>
      <c r="I242" t="s">
        <v>14</v>
      </c>
      <c r="J242">
        <v>69.599999999999994</v>
      </c>
      <c r="K242">
        <v>80.599999999999994</v>
      </c>
      <c r="L242" t="s">
        <v>20</v>
      </c>
    </row>
    <row r="243" spans="1:12" x14ac:dyDescent="0.35">
      <c r="A243">
        <v>242</v>
      </c>
      <c r="B243" t="s">
        <v>12</v>
      </c>
      <c r="C243">
        <v>3.3</v>
      </c>
      <c r="D243">
        <v>97.8</v>
      </c>
      <c r="E243">
        <v>7.6</v>
      </c>
      <c r="F243" t="s">
        <v>18</v>
      </c>
      <c r="G243" t="s">
        <v>14</v>
      </c>
      <c r="H243" t="s">
        <v>15</v>
      </c>
      <c r="I243" t="s">
        <v>14</v>
      </c>
      <c r="J243">
        <v>70.400000000000006</v>
      </c>
      <c r="K243">
        <v>85.1</v>
      </c>
      <c r="L243" t="s">
        <v>20</v>
      </c>
    </row>
    <row r="244" spans="1:12" x14ac:dyDescent="0.35">
      <c r="A244">
        <v>243</v>
      </c>
      <c r="B244" t="s">
        <v>17</v>
      </c>
      <c r="C244">
        <v>3.6</v>
      </c>
      <c r="D244">
        <v>85.7</v>
      </c>
      <c r="E244">
        <v>6.3</v>
      </c>
      <c r="F244" t="s">
        <v>18</v>
      </c>
      <c r="G244" t="s">
        <v>14</v>
      </c>
      <c r="H244" t="s">
        <v>15</v>
      </c>
      <c r="I244" t="s">
        <v>14</v>
      </c>
      <c r="J244">
        <v>43.4</v>
      </c>
      <c r="K244">
        <v>69.400000000000006</v>
      </c>
      <c r="L244" t="s">
        <v>21</v>
      </c>
    </row>
    <row r="245" spans="1:12" x14ac:dyDescent="0.35">
      <c r="A245">
        <v>244</v>
      </c>
      <c r="B245" t="s">
        <v>12</v>
      </c>
      <c r="C245">
        <v>5.0999999999999996</v>
      </c>
      <c r="D245">
        <v>93.5</v>
      </c>
      <c r="E245">
        <v>6.2</v>
      </c>
      <c r="F245" t="s">
        <v>18</v>
      </c>
      <c r="G245" t="s">
        <v>14</v>
      </c>
      <c r="H245" t="s">
        <v>14</v>
      </c>
      <c r="I245" t="s">
        <v>15</v>
      </c>
      <c r="J245">
        <v>56</v>
      </c>
      <c r="K245">
        <v>92.2</v>
      </c>
      <c r="L245" t="s">
        <v>16</v>
      </c>
    </row>
    <row r="246" spans="1:12" x14ac:dyDescent="0.35">
      <c r="A246">
        <v>245</v>
      </c>
      <c r="B246" t="s">
        <v>12</v>
      </c>
      <c r="C246">
        <v>1</v>
      </c>
      <c r="D246">
        <v>89.8</v>
      </c>
      <c r="E246">
        <v>7.2</v>
      </c>
      <c r="F246" t="s">
        <v>13</v>
      </c>
      <c r="G246" t="s">
        <v>14</v>
      </c>
      <c r="H246" t="s">
        <v>14</v>
      </c>
      <c r="I246" t="s">
        <v>15</v>
      </c>
      <c r="J246">
        <v>56.8</v>
      </c>
      <c r="K246">
        <v>76.2</v>
      </c>
      <c r="L246" t="s">
        <v>22</v>
      </c>
    </row>
    <row r="247" spans="1:12" x14ac:dyDescent="0.35">
      <c r="A247">
        <v>246</v>
      </c>
      <c r="B247" t="s">
        <v>17</v>
      </c>
      <c r="C247">
        <v>5.8</v>
      </c>
      <c r="D247">
        <v>76.5</v>
      </c>
      <c r="E247">
        <v>7.4</v>
      </c>
      <c r="F247" t="s">
        <v>13</v>
      </c>
      <c r="G247" t="s">
        <v>14</v>
      </c>
      <c r="H247" t="s">
        <v>14</v>
      </c>
      <c r="I247" t="s">
        <v>15</v>
      </c>
      <c r="J247">
        <v>79.900000000000006</v>
      </c>
      <c r="K247">
        <v>100</v>
      </c>
      <c r="L247" t="s">
        <v>16</v>
      </c>
    </row>
    <row r="248" spans="1:12" x14ac:dyDescent="0.35">
      <c r="A248">
        <v>247</v>
      </c>
      <c r="B248" t="s">
        <v>12</v>
      </c>
      <c r="C248">
        <v>3.3</v>
      </c>
      <c r="D248">
        <v>78.599999999999994</v>
      </c>
      <c r="E248">
        <v>7</v>
      </c>
      <c r="F248" t="s">
        <v>13</v>
      </c>
      <c r="G248" t="s">
        <v>14</v>
      </c>
      <c r="H248" t="s">
        <v>15</v>
      </c>
      <c r="I248" t="s">
        <v>15</v>
      </c>
      <c r="J248">
        <v>80.5</v>
      </c>
      <c r="K248">
        <v>92.2</v>
      </c>
      <c r="L248" t="s">
        <v>16</v>
      </c>
    </row>
    <row r="249" spans="1:12" x14ac:dyDescent="0.35">
      <c r="A249">
        <v>248</v>
      </c>
      <c r="B249" t="s">
        <v>12</v>
      </c>
      <c r="C249">
        <v>2.9</v>
      </c>
      <c r="D249">
        <v>95.3</v>
      </c>
      <c r="E249">
        <v>7.2</v>
      </c>
      <c r="F249" t="s">
        <v>13</v>
      </c>
      <c r="G249" t="s">
        <v>15</v>
      </c>
      <c r="H249" t="s">
        <v>15</v>
      </c>
      <c r="I249" t="s">
        <v>15</v>
      </c>
      <c r="J249">
        <v>73.900000000000006</v>
      </c>
      <c r="K249">
        <v>76.5</v>
      </c>
      <c r="L249" t="s">
        <v>22</v>
      </c>
    </row>
    <row r="250" spans="1:12" x14ac:dyDescent="0.35">
      <c r="A250">
        <v>249</v>
      </c>
      <c r="B250" t="s">
        <v>12</v>
      </c>
      <c r="C250">
        <v>2</v>
      </c>
      <c r="D250">
        <v>81.7</v>
      </c>
      <c r="E250">
        <v>8.8000000000000007</v>
      </c>
      <c r="F250" t="s">
        <v>18</v>
      </c>
      <c r="G250" t="s">
        <v>14</v>
      </c>
      <c r="H250" t="s">
        <v>14</v>
      </c>
      <c r="I250" t="s">
        <v>15</v>
      </c>
      <c r="J250">
        <v>79.900000000000006</v>
      </c>
      <c r="K250">
        <v>82.7</v>
      </c>
      <c r="L250" t="s">
        <v>20</v>
      </c>
    </row>
    <row r="251" spans="1:12" x14ac:dyDescent="0.35">
      <c r="A251">
        <v>250</v>
      </c>
      <c r="B251" t="s">
        <v>12</v>
      </c>
      <c r="C251">
        <v>1</v>
      </c>
      <c r="D251">
        <v>81</v>
      </c>
      <c r="E251">
        <v>8.1</v>
      </c>
      <c r="F251" t="s">
        <v>18</v>
      </c>
      <c r="G251" t="s">
        <v>14</v>
      </c>
      <c r="H251" t="s">
        <v>15</v>
      </c>
      <c r="I251" t="s">
        <v>15</v>
      </c>
      <c r="J251">
        <v>68</v>
      </c>
      <c r="K251">
        <v>67.099999999999994</v>
      </c>
      <c r="L251" t="s">
        <v>21</v>
      </c>
    </row>
    <row r="252" spans="1:12" x14ac:dyDescent="0.35">
      <c r="A252">
        <v>251</v>
      </c>
      <c r="B252" t="s">
        <v>17</v>
      </c>
      <c r="C252">
        <v>4.7</v>
      </c>
      <c r="D252">
        <v>75.400000000000006</v>
      </c>
      <c r="E252">
        <v>7</v>
      </c>
      <c r="F252" t="s">
        <v>18</v>
      </c>
      <c r="G252" t="s">
        <v>14</v>
      </c>
      <c r="H252" t="s">
        <v>14</v>
      </c>
      <c r="I252" t="s">
        <v>14</v>
      </c>
      <c r="J252">
        <v>84.4</v>
      </c>
      <c r="K252">
        <v>88.4</v>
      </c>
      <c r="L252" t="s">
        <v>20</v>
      </c>
    </row>
    <row r="253" spans="1:12" x14ac:dyDescent="0.35">
      <c r="A253">
        <v>252</v>
      </c>
      <c r="B253" t="s">
        <v>12</v>
      </c>
      <c r="C253">
        <v>3.6</v>
      </c>
      <c r="D253">
        <v>89.2</v>
      </c>
      <c r="E253">
        <v>7.9</v>
      </c>
      <c r="F253" t="s">
        <v>13</v>
      </c>
      <c r="G253" t="s">
        <v>14</v>
      </c>
      <c r="H253" t="s">
        <v>15</v>
      </c>
      <c r="I253" t="s">
        <v>14</v>
      </c>
      <c r="J253">
        <v>70.099999999999994</v>
      </c>
      <c r="K253">
        <v>91</v>
      </c>
      <c r="L253" t="s">
        <v>16</v>
      </c>
    </row>
    <row r="254" spans="1:12" x14ac:dyDescent="0.35">
      <c r="A254">
        <v>253</v>
      </c>
      <c r="B254" t="s">
        <v>17</v>
      </c>
      <c r="C254">
        <v>1.6</v>
      </c>
      <c r="D254">
        <v>100</v>
      </c>
      <c r="E254">
        <v>5.6</v>
      </c>
      <c r="F254" t="s">
        <v>18</v>
      </c>
      <c r="G254" t="s">
        <v>15</v>
      </c>
      <c r="H254" t="s">
        <v>15</v>
      </c>
      <c r="I254" t="s">
        <v>15</v>
      </c>
      <c r="J254">
        <v>70.7</v>
      </c>
      <c r="K254">
        <v>75.8</v>
      </c>
      <c r="L254" t="s">
        <v>22</v>
      </c>
    </row>
    <row r="255" spans="1:12" x14ac:dyDescent="0.35">
      <c r="A255">
        <v>254</v>
      </c>
      <c r="B255" t="s">
        <v>12</v>
      </c>
      <c r="C255">
        <v>1.6</v>
      </c>
      <c r="D255">
        <v>74.3</v>
      </c>
      <c r="E255">
        <v>7.3</v>
      </c>
      <c r="F255" t="s">
        <v>18</v>
      </c>
      <c r="G255" t="s">
        <v>14</v>
      </c>
      <c r="H255" t="s">
        <v>14</v>
      </c>
      <c r="I255" t="s">
        <v>15</v>
      </c>
      <c r="J255">
        <v>66.8</v>
      </c>
      <c r="K255">
        <v>88.3</v>
      </c>
      <c r="L255" t="s">
        <v>20</v>
      </c>
    </row>
    <row r="256" spans="1:12" x14ac:dyDescent="0.35">
      <c r="A256">
        <v>255</v>
      </c>
      <c r="B256" t="s">
        <v>12</v>
      </c>
      <c r="C256">
        <v>3</v>
      </c>
      <c r="D256">
        <v>85.2</v>
      </c>
      <c r="E256">
        <v>9</v>
      </c>
      <c r="F256" t="s">
        <v>13</v>
      </c>
      <c r="G256" t="s">
        <v>14</v>
      </c>
      <c r="H256" t="s">
        <v>14</v>
      </c>
      <c r="I256" t="s">
        <v>14</v>
      </c>
      <c r="J256">
        <v>78.2</v>
      </c>
      <c r="K256">
        <v>87.6</v>
      </c>
      <c r="L256" t="s">
        <v>20</v>
      </c>
    </row>
    <row r="257" spans="1:12" x14ac:dyDescent="0.35">
      <c r="A257">
        <v>256</v>
      </c>
      <c r="B257" t="s">
        <v>12</v>
      </c>
      <c r="C257">
        <v>6</v>
      </c>
      <c r="D257">
        <v>99.1</v>
      </c>
      <c r="E257">
        <v>6.5</v>
      </c>
      <c r="F257" t="s">
        <v>23</v>
      </c>
      <c r="G257" t="s">
        <v>14</v>
      </c>
      <c r="H257" t="s">
        <v>14</v>
      </c>
      <c r="I257" t="s">
        <v>14</v>
      </c>
      <c r="J257">
        <v>64.900000000000006</v>
      </c>
      <c r="K257">
        <v>96.8</v>
      </c>
      <c r="L257" t="s">
        <v>16</v>
      </c>
    </row>
    <row r="258" spans="1:12" x14ac:dyDescent="0.35">
      <c r="A258">
        <v>257</v>
      </c>
      <c r="B258" t="s">
        <v>12</v>
      </c>
      <c r="C258">
        <v>3.1</v>
      </c>
      <c r="D258">
        <v>84.2</v>
      </c>
      <c r="E258">
        <v>5.8</v>
      </c>
      <c r="F258" t="s">
        <v>18</v>
      </c>
      <c r="G258" t="s">
        <v>14</v>
      </c>
      <c r="H258" t="s">
        <v>15</v>
      </c>
      <c r="I258" t="s">
        <v>15</v>
      </c>
      <c r="J258">
        <v>81.7</v>
      </c>
      <c r="K258">
        <v>86.7</v>
      </c>
      <c r="L258" t="s">
        <v>20</v>
      </c>
    </row>
    <row r="259" spans="1:12" x14ac:dyDescent="0.35">
      <c r="A259">
        <v>258</v>
      </c>
      <c r="B259" t="s">
        <v>17</v>
      </c>
      <c r="C259">
        <v>1.2</v>
      </c>
      <c r="D259">
        <v>89.5</v>
      </c>
      <c r="E259">
        <v>6</v>
      </c>
      <c r="F259" t="s">
        <v>13</v>
      </c>
      <c r="G259" t="s">
        <v>14</v>
      </c>
      <c r="H259" t="s">
        <v>14</v>
      </c>
      <c r="I259" t="s">
        <v>14</v>
      </c>
      <c r="J259">
        <v>56.4</v>
      </c>
      <c r="K259">
        <v>63.7</v>
      </c>
      <c r="L259" t="s">
        <v>21</v>
      </c>
    </row>
    <row r="260" spans="1:12" x14ac:dyDescent="0.35">
      <c r="A260">
        <v>259</v>
      </c>
      <c r="B260" t="s">
        <v>17</v>
      </c>
      <c r="C260">
        <v>3.1</v>
      </c>
      <c r="D260">
        <v>74.400000000000006</v>
      </c>
      <c r="E260">
        <v>5.5</v>
      </c>
      <c r="F260" t="s">
        <v>23</v>
      </c>
      <c r="G260" t="s">
        <v>14</v>
      </c>
      <c r="H260" t="s">
        <v>14</v>
      </c>
      <c r="I260" t="s">
        <v>15</v>
      </c>
      <c r="J260">
        <v>56.8</v>
      </c>
      <c r="K260">
        <v>73</v>
      </c>
      <c r="L260" t="s">
        <v>22</v>
      </c>
    </row>
    <row r="261" spans="1:12" x14ac:dyDescent="0.35">
      <c r="A261">
        <v>260</v>
      </c>
      <c r="B261" t="s">
        <v>12</v>
      </c>
      <c r="C261">
        <v>3.1</v>
      </c>
      <c r="D261">
        <v>89.3</v>
      </c>
      <c r="E261">
        <v>5.9</v>
      </c>
      <c r="F261" t="s">
        <v>23</v>
      </c>
      <c r="G261" t="s">
        <v>14</v>
      </c>
      <c r="H261" t="s">
        <v>14</v>
      </c>
      <c r="I261" t="s">
        <v>15</v>
      </c>
      <c r="J261">
        <v>78.2</v>
      </c>
      <c r="K261">
        <v>94.3</v>
      </c>
      <c r="L261" t="s">
        <v>16</v>
      </c>
    </row>
    <row r="262" spans="1:12" x14ac:dyDescent="0.35">
      <c r="A262">
        <v>261</v>
      </c>
      <c r="B262" t="s">
        <v>12</v>
      </c>
      <c r="C262">
        <v>0.5</v>
      </c>
      <c r="D262">
        <v>83.1</v>
      </c>
      <c r="E262">
        <v>6.4</v>
      </c>
      <c r="F262" t="s">
        <v>19</v>
      </c>
      <c r="G262" t="s">
        <v>14</v>
      </c>
      <c r="H262" t="s">
        <v>14</v>
      </c>
      <c r="I262" t="s">
        <v>15</v>
      </c>
      <c r="J262">
        <v>68.900000000000006</v>
      </c>
      <c r="K262">
        <v>71.3</v>
      </c>
      <c r="L262" t="s">
        <v>22</v>
      </c>
    </row>
    <row r="263" spans="1:12" x14ac:dyDescent="0.35">
      <c r="A263">
        <v>262</v>
      </c>
      <c r="B263" t="s">
        <v>17</v>
      </c>
      <c r="C263">
        <v>3.4</v>
      </c>
      <c r="D263">
        <v>94.9</v>
      </c>
      <c r="E263">
        <v>5.0999999999999996</v>
      </c>
      <c r="F263" t="s">
        <v>18</v>
      </c>
      <c r="G263" t="s">
        <v>14</v>
      </c>
      <c r="H263" t="s">
        <v>14</v>
      </c>
      <c r="I263" t="s">
        <v>15</v>
      </c>
      <c r="J263">
        <v>64.599999999999994</v>
      </c>
      <c r="K263">
        <v>79.7</v>
      </c>
      <c r="L263" t="s">
        <v>22</v>
      </c>
    </row>
    <row r="264" spans="1:12" x14ac:dyDescent="0.35">
      <c r="A264">
        <v>263</v>
      </c>
      <c r="B264" t="s">
        <v>12</v>
      </c>
      <c r="C264">
        <v>3.2</v>
      </c>
      <c r="D264">
        <v>96.9</v>
      </c>
      <c r="E264">
        <v>6.8</v>
      </c>
      <c r="F264" t="s">
        <v>18</v>
      </c>
      <c r="G264" t="s">
        <v>15</v>
      </c>
      <c r="H264" t="s">
        <v>15</v>
      </c>
      <c r="I264" t="s">
        <v>15</v>
      </c>
      <c r="J264">
        <v>80.7</v>
      </c>
      <c r="K264">
        <v>81.2</v>
      </c>
      <c r="L264" t="s">
        <v>20</v>
      </c>
    </row>
    <row r="265" spans="1:12" x14ac:dyDescent="0.35">
      <c r="A265">
        <v>264</v>
      </c>
      <c r="B265" t="s">
        <v>12</v>
      </c>
      <c r="C265">
        <v>4.5</v>
      </c>
      <c r="D265">
        <v>100</v>
      </c>
      <c r="E265">
        <v>7.9</v>
      </c>
      <c r="F265" t="s">
        <v>24</v>
      </c>
      <c r="G265" t="s">
        <v>14</v>
      </c>
      <c r="H265" t="s">
        <v>14</v>
      </c>
      <c r="I265" t="s">
        <v>15</v>
      </c>
      <c r="J265">
        <v>62.7</v>
      </c>
      <c r="K265">
        <v>91.1</v>
      </c>
      <c r="L265" t="s">
        <v>16</v>
      </c>
    </row>
    <row r="266" spans="1:12" x14ac:dyDescent="0.35">
      <c r="A266">
        <v>265</v>
      </c>
      <c r="B266" t="s">
        <v>12</v>
      </c>
      <c r="C266">
        <v>6.3</v>
      </c>
      <c r="D266">
        <v>90.8</v>
      </c>
      <c r="E266">
        <v>5.7</v>
      </c>
      <c r="F266" t="s">
        <v>13</v>
      </c>
      <c r="G266" t="s">
        <v>14</v>
      </c>
      <c r="H266" t="s">
        <v>15</v>
      </c>
      <c r="I266" t="s">
        <v>15</v>
      </c>
      <c r="J266">
        <v>67.599999999999994</v>
      </c>
      <c r="K266">
        <v>97.5</v>
      </c>
      <c r="L266" t="s">
        <v>16</v>
      </c>
    </row>
    <row r="267" spans="1:12" x14ac:dyDescent="0.35">
      <c r="A267">
        <v>266</v>
      </c>
      <c r="B267" t="s">
        <v>17</v>
      </c>
      <c r="C267">
        <v>5.2</v>
      </c>
      <c r="D267">
        <v>88.3</v>
      </c>
      <c r="E267">
        <v>8.6</v>
      </c>
      <c r="F267" t="s">
        <v>13</v>
      </c>
      <c r="G267" t="s">
        <v>14</v>
      </c>
      <c r="H267" t="s">
        <v>15</v>
      </c>
      <c r="I267" t="s">
        <v>15</v>
      </c>
      <c r="J267">
        <v>86.8</v>
      </c>
      <c r="K267">
        <v>100</v>
      </c>
      <c r="L267" t="s">
        <v>16</v>
      </c>
    </row>
    <row r="268" spans="1:12" x14ac:dyDescent="0.35">
      <c r="A268">
        <v>267</v>
      </c>
      <c r="B268" t="s">
        <v>17</v>
      </c>
      <c r="C268">
        <v>3.1</v>
      </c>
      <c r="D268">
        <v>86.9</v>
      </c>
      <c r="E268">
        <v>7.4</v>
      </c>
      <c r="F268" t="s">
        <v>23</v>
      </c>
      <c r="G268" t="s">
        <v>14</v>
      </c>
      <c r="H268" t="s">
        <v>14</v>
      </c>
      <c r="I268" t="s">
        <v>14</v>
      </c>
      <c r="J268">
        <v>88.5</v>
      </c>
      <c r="K268">
        <v>81.599999999999994</v>
      </c>
      <c r="L268" t="s">
        <v>20</v>
      </c>
    </row>
    <row r="269" spans="1:12" x14ac:dyDescent="0.35">
      <c r="A269">
        <v>268</v>
      </c>
      <c r="B269" t="s">
        <v>17</v>
      </c>
      <c r="C269">
        <v>1.8</v>
      </c>
      <c r="D269">
        <v>81.5</v>
      </c>
      <c r="E269">
        <v>8</v>
      </c>
      <c r="F269" t="s">
        <v>23</v>
      </c>
      <c r="G269" t="s">
        <v>14</v>
      </c>
      <c r="H269" t="s">
        <v>14</v>
      </c>
      <c r="I269" t="s">
        <v>15</v>
      </c>
      <c r="J269">
        <v>88.9</v>
      </c>
      <c r="K269">
        <v>83.9</v>
      </c>
      <c r="L269" t="s">
        <v>20</v>
      </c>
    </row>
    <row r="270" spans="1:12" x14ac:dyDescent="0.35">
      <c r="A270">
        <v>269</v>
      </c>
      <c r="B270" t="s">
        <v>12</v>
      </c>
      <c r="C270">
        <v>7.4</v>
      </c>
      <c r="D270">
        <v>88.4</v>
      </c>
      <c r="E270">
        <v>6</v>
      </c>
      <c r="F270" t="s">
        <v>19</v>
      </c>
      <c r="G270" t="s">
        <v>14</v>
      </c>
      <c r="H270" t="s">
        <v>15</v>
      </c>
      <c r="I270" t="s">
        <v>15</v>
      </c>
      <c r="J270">
        <v>66.599999999999994</v>
      </c>
      <c r="K270">
        <v>100</v>
      </c>
      <c r="L270" t="s">
        <v>16</v>
      </c>
    </row>
    <row r="271" spans="1:12" x14ac:dyDescent="0.35">
      <c r="A271">
        <v>270</v>
      </c>
      <c r="B271" t="s">
        <v>12</v>
      </c>
      <c r="C271">
        <v>3.6</v>
      </c>
      <c r="D271">
        <v>82</v>
      </c>
      <c r="E271">
        <v>7.8</v>
      </c>
      <c r="F271" t="s">
        <v>19</v>
      </c>
      <c r="G271" t="s">
        <v>14</v>
      </c>
      <c r="H271" t="s">
        <v>15</v>
      </c>
      <c r="I271" t="s">
        <v>15</v>
      </c>
      <c r="J271">
        <v>84.8</v>
      </c>
      <c r="K271">
        <v>80.2</v>
      </c>
      <c r="L271" t="s">
        <v>20</v>
      </c>
    </row>
    <row r="272" spans="1:12" x14ac:dyDescent="0.35">
      <c r="A272">
        <v>271</v>
      </c>
      <c r="B272" t="s">
        <v>17</v>
      </c>
      <c r="C272">
        <v>3.5</v>
      </c>
      <c r="D272">
        <v>86.7</v>
      </c>
      <c r="E272">
        <v>5.5</v>
      </c>
      <c r="F272" t="s">
        <v>23</v>
      </c>
      <c r="G272" t="s">
        <v>14</v>
      </c>
      <c r="H272" t="s">
        <v>14</v>
      </c>
      <c r="I272" t="s">
        <v>15</v>
      </c>
      <c r="J272">
        <v>58.6</v>
      </c>
      <c r="K272">
        <v>75.099999999999994</v>
      </c>
      <c r="L272" t="s">
        <v>22</v>
      </c>
    </row>
    <row r="273" spans="1:12" x14ac:dyDescent="0.35">
      <c r="A273">
        <v>272</v>
      </c>
      <c r="B273" t="s">
        <v>17</v>
      </c>
      <c r="C273">
        <v>3.5</v>
      </c>
      <c r="D273">
        <v>98.2</v>
      </c>
      <c r="E273">
        <v>7.9</v>
      </c>
      <c r="F273" t="s">
        <v>18</v>
      </c>
      <c r="G273" t="s">
        <v>15</v>
      </c>
      <c r="H273" t="s">
        <v>14</v>
      </c>
      <c r="I273" t="s">
        <v>15</v>
      </c>
      <c r="J273">
        <v>59.1</v>
      </c>
      <c r="K273">
        <v>78.2</v>
      </c>
      <c r="L273" t="s">
        <v>22</v>
      </c>
    </row>
    <row r="274" spans="1:12" x14ac:dyDescent="0.35">
      <c r="A274">
        <v>273</v>
      </c>
      <c r="B274" t="s">
        <v>17</v>
      </c>
      <c r="C274">
        <v>3.8</v>
      </c>
      <c r="D274">
        <v>74.900000000000006</v>
      </c>
      <c r="E274">
        <v>7</v>
      </c>
      <c r="F274" t="s">
        <v>24</v>
      </c>
      <c r="G274" t="s">
        <v>14</v>
      </c>
      <c r="H274" t="s">
        <v>14</v>
      </c>
      <c r="I274" t="s">
        <v>14</v>
      </c>
      <c r="J274">
        <v>41.8</v>
      </c>
      <c r="K274">
        <v>64.7</v>
      </c>
      <c r="L274" t="s">
        <v>21</v>
      </c>
    </row>
    <row r="275" spans="1:12" x14ac:dyDescent="0.35">
      <c r="A275">
        <v>274</v>
      </c>
      <c r="B275" t="s">
        <v>17</v>
      </c>
      <c r="C275">
        <v>3.3</v>
      </c>
      <c r="D275">
        <v>96.4</v>
      </c>
      <c r="E275">
        <v>7.5</v>
      </c>
      <c r="F275" t="s">
        <v>18</v>
      </c>
      <c r="G275" t="s">
        <v>14</v>
      </c>
      <c r="H275" t="s">
        <v>15</v>
      </c>
      <c r="I275" t="s">
        <v>15</v>
      </c>
      <c r="J275">
        <v>90.1</v>
      </c>
      <c r="K275">
        <v>97.8</v>
      </c>
      <c r="L275" t="s">
        <v>16</v>
      </c>
    </row>
    <row r="276" spans="1:12" x14ac:dyDescent="0.35">
      <c r="A276">
        <v>275</v>
      </c>
      <c r="B276" t="s">
        <v>12</v>
      </c>
      <c r="C276">
        <v>2.6</v>
      </c>
      <c r="D276">
        <v>98.2</v>
      </c>
      <c r="E276">
        <v>5.4</v>
      </c>
      <c r="F276" t="s">
        <v>18</v>
      </c>
      <c r="G276" t="s">
        <v>15</v>
      </c>
      <c r="H276" t="s">
        <v>14</v>
      </c>
      <c r="I276" t="s">
        <v>15</v>
      </c>
      <c r="J276">
        <v>59.6</v>
      </c>
      <c r="K276">
        <v>74.400000000000006</v>
      </c>
      <c r="L276" t="s">
        <v>22</v>
      </c>
    </row>
    <row r="277" spans="1:12" x14ac:dyDescent="0.35">
      <c r="A277">
        <v>276</v>
      </c>
      <c r="B277" t="s">
        <v>17</v>
      </c>
      <c r="C277">
        <v>2.7</v>
      </c>
      <c r="D277">
        <v>83.8</v>
      </c>
      <c r="E277">
        <v>5.7</v>
      </c>
      <c r="F277" t="s">
        <v>24</v>
      </c>
      <c r="G277" t="s">
        <v>14</v>
      </c>
      <c r="H277" t="s">
        <v>14</v>
      </c>
      <c r="I277" t="s">
        <v>15</v>
      </c>
      <c r="J277">
        <v>68.5</v>
      </c>
      <c r="K277">
        <v>76.400000000000006</v>
      </c>
      <c r="L277" t="s">
        <v>22</v>
      </c>
    </row>
    <row r="278" spans="1:12" x14ac:dyDescent="0.35">
      <c r="A278">
        <v>277</v>
      </c>
      <c r="B278" t="s">
        <v>12</v>
      </c>
      <c r="C278">
        <v>3.5</v>
      </c>
      <c r="D278">
        <v>63.8</v>
      </c>
      <c r="E278">
        <v>7.5</v>
      </c>
      <c r="F278" t="s">
        <v>18</v>
      </c>
      <c r="G278" t="s">
        <v>14</v>
      </c>
      <c r="H278" t="s">
        <v>15</v>
      </c>
      <c r="I278" t="s">
        <v>15</v>
      </c>
      <c r="J278">
        <v>59.1</v>
      </c>
      <c r="K278">
        <v>76.3</v>
      </c>
      <c r="L278" t="s">
        <v>22</v>
      </c>
    </row>
    <row r="279" spans="1:12" x14ac:dyDescent="0.35">
      <c r="A279">
        <v>278</v>
      </c>
      <c r="B279" t="s">
        <v>17</v>
      </c>
      <c r="C279">
        <v>2.7</v>
      </c>
      <c r="D279">
        <v>78.900000000000006</v>
      </c>
      <c r="E279">
        <v>5.7</v>
      </c>
      <c r="F279" t="s">
        <v>18</v>
      </c>
      <c r="G279" t="s">
        <v>14</v>
      </c>
      <c r="H279" t="s">
        <v>15</v>
      </c>
      <c r="I279" t="s">
        <v>14</v>
      </c>
      <c r="J279">
        <v>78.3</v>
      </c>
      <c r="K279">
        <v>88.3</v>
      </c>
      <c r="L279" t="s">
        <v>20</v>
      </c>
    </row>
    <row r="280" spans="1:12" x14ac:dyDescent="0.35">
      <c r="A280">
        <v>279</v>
      </c>
      <c r="B280" t="s">
        <v>12</v>
      </c>
      <c r="C280">
        <v>2.4</v>
      </c>
      <c r="D280">
        <v>98</v>
      </c>
      <c r="E280">
        <v>7.4</v>
      </c>
      <c r="F280" t="s">
        <v>18</v>
      </c>
      <c r="G280" t="s">
        <v>14</v>
      </c>
      <c r="H280" t="s">
        <v>14</v>
      </c>
      <c r="I280" t="s">
        <v>15</v>
      </c>
      <c r="J280">
        <v>65.5</v>
      </c>
      <c r="K280">
        <v>94</v>
      </c>
      <c r="L280" t="s">
        <v>16</v>
      </c>
    </row>
    <row r="281" spans="1:12" x14ac:dyDescent="0.35">
      <c r="A281">
        <v>280</v>
      </c>
      <c r="B281" t="s">
        <v>17</v>
      </c>
      <c r="C281">
        <v>3.7</v>
      </c>
      <c r="D281">
        <v>84.8</v>
      </c>
      <c r="E281">
        <v>5.2</v>
      </c>
      <c r="F281" t="s">
        <v>24</v>
      </c>
      <c r="G281" t="s">
        <v>15</v>
      </c>
      <c r="H281" t="s">
        <v>14</v>
      </c>
      <c r="I281" t="s">
        <v>14</v>
      </c>
      <c r="J281">
        <v>54.3</v>
      </c>
      <c r="K281">
        <v>58.8</v>
      </c>
      <c r="L281" t="s">
        <v>25</v>
      </c>
    </row>
    <row r="282" spans="1:12" x14ac:dyDescent="0.35">
      <c r="A282">
        <v>281</v>
      </c>
      <c r="B282" t="s">
        <v>17</v>
      </c>
      <c r="C282">
        <v>3.1</v>
      </c>
      <c r="D282">
        <v>75</v>
      </c>
      <c r="E282">
        <v>7.8</v>
      </c>
      <c r="F282" t="s">
        <v>13</v>
      </c>
      <c r="G282" t="s">
        <v>15</v>
      </c>
      <c r="H282" t="s">
        <v>15</v>
      </c>
      <c r="I282" t="s">
        <v>15</v>
      </c>
      <c r="J282">
        <v>75.3</v>
      </c>
      <c r="K282">
        <v>81.099999999999994</v>
      </c>
      <c r="L282" t="s">
        <v>20</v>
      </c>
    </row>
    <row r="283" spans="1:12" x14ac:dyDescent="0.35">
      <c r="A283">
        <v>282</v>
      </c>
      <c r="B283" t="s">
        <v>17</v>
      </c>
      <c r="C283">
        <v>5.8</v>
      </c>
      <c r="D283">
        <v>80</v>
      </c>
      <c r="E283">
        <v>5.3</v>
      </c>
      <c r="F283" t="s">
        <v>23</v>
      </c>
      <c r="G283" t="s">
        <v>14</v>
      </c>
      <c r="H283" t="s">
        <v>14</v>
      </c>
      <c r="I283" t="s">
        <v>15</v>
      </c>
      <c r="J283">
        <v>52.8</v>
      </c>
      <c r="K283">
        <v>84.5</v>
      </c>
      <c r="L283" t="s">
        <v>20</v>
      </c>
    </row>
    <row r="284" spans="1:12" x14ac:dyDescent="0.35">
      <c r="A284">
        <v>283</v>
      </c>
      <c r="B284" t="s">
        <v>17</v>
      </c>
      <c r="C284">
        <v>0.5</v>
      </c>
      <c r="D284">
        <v>93.4</v>
      </c>
      <c r="E284">
        <v>7.5</v>
      </c>
      <c r="F284" t="s">
        <v>18</v>
      </c>
      <c r="G284" t="s">
        <v>14</v>
      </c>
      <c r="H284" t="s">
        <v>14</v>
      </c>
      <c r="I284" t="s">
        <v>14</v>
      </c>
      <c r="J284">
        <v>60</v>
      </c>
      <c r="K284">
        <v>69.900000000000006</v>
      </c>
      <c r="L284" t="s">
        <v>21</v>
      </c>
    </row>
    <row r="285" spans="1:12" x14ac:dyDescent="0.35">
      <c r="A285">
        <v>284</v>
      </c>
      <c r="B285" t="s">
        <v>12</v>
      </c>
      <c r="C285">
        <v>5.0999999999999996</v>
      </c>
      <c r="D285">
        <v>90.5</v>
      </c>
      <c r="E285">
        <v>7.6</v>
      </c>
      <c r="F285" t="s">
        <v>23</v>
      </c>
      <c r="G285" t="s">
        <v>14</v>
      </c>
      <c r="H285" t="s">
        <v>15</v>
      </c>
      <c r="I285" t="s">
        <v>15</v>
      </c>
      <c r="J285">
        <v>44.7</v>
      </c>
      <c r="K285">
        <v>82.2</v>
      </c>
      <c r="L285" t="s">
        <v>20</v>
      </c>
    </row>
    <row r="286" spans="1:12" x14ac:dyDescent="0.35">
      <c r="A286">
        <v>285</v>
      </c>
      <c r="B286" t="s">
        <v>17</v>
      </c>
      <c r="C286">
        <v>5.4</v>
      </c>
      <c r="D286">
        <v>82.6</v>
      </c>
      <c r="E286">
        <v>6</v>
      </c>
      <c r="F286" t="s">
        <v>23</v>
      </c>
      <c r="G286" t="s">
        <v>14</v>
      </c>
      <c r="H286" t="s">
        <v>14</v>
      </c>
      <c r="I286" t="s">
        <v>14</v>
      </c>
      <c r="J286">
        <v>52.9</v>
      </c>
      <c r="K286">
        <v>83.3</v>
      </c>
      <c r="L286" t="s">
        <v>20</v>
      </c>
    </row>
    <row r="287" spans="1:12" x14ac:dyDescent="0.35">
      <c r="A287">
        <v>286</v>
      </c>
      <c r="B287" t="s">
        <v>12</v>
      </c>
      <c r="C287">
        <v>0.5</v>
      </c>
      <c r="D287">
        <v>81.3</v>
      </c>
      <c r="E287">
        <v>7.5</v>
      </c>
      <c r="F287" t="s">
        <v>18</v>
      </c>
      <c r="G287" t="s">
        <v>14</v>
      </c>
      <c r="H287" t="s">
        <v>15</v>
      </c>
      <c r="I287" t="s">
        <v>14</v>
      </c>
      <c r="J287">
        <v>72.099999999999994</v>
      </c>
      <c r="K287">
        <v>69.5</v>
      </c>
      <c r="L287" t="s">
        <v>21</v>
      </c>
    </row>
    <row r="288" spans="1:12" x14ac:dyDescent="0.35">
      <c r="A288">
        <v>287</v>
      </c>
      <c r="B288" t="s">
        <v>12</v>
      </c>
      <c r="C288">
        <v>3</v>
      </c>
      <c r="D288">
        <v>81.099999999999994</v>
      </c>
      <c r="E288">
        <v>7.1</v>
      </c>
      <c r="F288" t="s">
        <v>13</v>
      </c>
      <c r="G288" t="s">
        <v>14</v>
      </c>
      <c r="H288" t="s">
        <v>15</v>
      </c>
      <c r="I288" t="s">
        <v>15</v>
      </c>
      <c r="J288">
        <v>46.4</v>
      </c>
      <c r="K288">
        <v>68.5</v>
      </c>
      <c r="L288" t="s">
        <v>21</v>
      </c>
    </row>
    <row r="289" spans="1:12" x14ac:dyDescent="0.35">
      <c r="A289">
        <v>288</v>
      </c>
      <c r="B289" t="s">
        <v>12</v>
      </c>
      <c r="C289">
        <v>2.9</v>
      </c>
      <c r="D289">
        <v>75.8</v>
      </c>
      <c r="E289">
        <v>6.2</v>
      </c>
      <c r="F289" t="s">
        <v>18</v>
      </c>
      <c r="G289" t="s">
        <v>15</v>
      </c>
      <c r="H289" t="s">
        <v>14</v>
      </c>
      <c r="I289" t="s">
        <v>15</v>
      </c>
      <c r="J289">
        <v>52.2</v>
      </c>
      <c r="K289">
        <v>61.5</v>
      </c>
      <c r="L289" t="s">
        <v>21</v>
      </c>
    </row>
    <row r="290" spans="1:12" x14ac:dyDescent="0.35">
      <c r="A290">
        <v>289</v>
      </c>
      <c r="B290" t="s">
        <v>12</v>
      </c>
      <c r="C290">
        <v>1.4</v>
      </c>
      <c r="D290">
        <v>100</v>
      </c>
      <c r="E290">
        <v>5.6</v>
      </c>
      <c r="F290" t="s">
        <v>19</v>
      </c>
      <c r="G290" t="s">
        <v>15</v>
      </c>
      <c r="H290" t="s">
        <v>14</v>
      </c>
      <c r="I290" t="s">
        <v>15</v>
      </c>
      <c r="J290">
        <v>70</v>
      </c>
      <c r="K290">
        <v>72.3</v>
      </c>
      <c r="L290" t="s">
        <v>22</v>
      </c>
    </row>
    <row r="291" spans="1:12" x14ac:dyDescent="0.35">
      <c r="A291">
        <v>290</v>
      </c>
      <c r="B291" t="s">
        <v>17</v>
      </c>
      <c r="C291">
        <v>2.2999999999999998</v>
      </c>
      <c r="D291">
        <v>81.8</v>
      </c>
      <c r="E291">
        <v>4.4000000000000004</v>
      </c>
      <c r="F291" t="s">
        <v>13</v>
      </c>
      <c r="G291" t="s">
        <v>14</v>
      </c>
      <c r="H291" t="s">
        <v>15</v>
      </c>
      <c r="I291" t="s">
        <v>15</v>
      </c>
      <c r="J291">
        <v>63.5</v>
      </c>
      <c r="K291">
        <v>74.099999999999994</v>
      </c>
      <c r="L291" t="s">
        <v>22</v>
      </c>
    </row>
    <row r="292" spans="1:12" x14ac:dyDescent="0.35">
      <c r="A292">
        <v>291</v>
      </c>
      <c r="B292" t="s">
        <v>12</v>
      </c>
      <c r="C292">
        <v>1.8</v>
      </c>
      <c r="D292">
        <v>97.2</v>
      </c>
      <c r="E292">
        <v>7.2</v>
      </c>
      <c r="F292" t="s">
        <v>19</v>
      </c>
      <c r="G292" t="s">
        <v>14</v>
      </c>
      <c r="H292" t="s">
        <v>15</v>
      </c>
      <c r="I292" t="s">
        <v>15</v>
      </c>
      <c r="J292">
        <v>93.9</v>
      </c>
      <c r="K292">
        <v>94.9</v>
      </c>
      <c r="L292" t="s">
        <v>16</v>
      </c>
    </row>
    <row r="293" spans="1:12" x14ac:dyDescent="0.35">
      <c r="A293">
        <v>292</v>
      </c>
      <c r="B293" t="s">
        <v>12</v>
      </c>
      <c r="C293">
        <v>6.1</v>
      </c>
      <c r="D293">
        <v>100</v>
      </c>
      <c r="E293">
        <v>4.9000000000000004</v>
      </c>
      <c r="F293" t="s">
        <v>18</v>
      </c>
      <c r="G293" t="s">
        <v>14</v>
      </c>
      <c r="H293" t="s">
        <v>15</v>
      </c>
      <c r="I293" t="s">
        <v>15</v>
      </c>
      <c r="J293">
        <v>92</v>
      </c>
      <c r="K293">
        <v>100</v>
      </c>
      <c r="L293" t="s">
        <v>16</v>
      </c>
    </row>
    <row r="294" spans="1:12" x14ac:dyDescent="0.35">
      <c r="A294">
        <v>293</v>
      </c>
      <c r="B294" t="s">
        <v>12</v>
      </c>
      <c r="C294">
        <v>4.9000000000000004</v>
      </c>
      <c r="D294">
        <v>95</v>
      </c>
      <c r="E294">
        <v>6.9</v>
      </c>
      <c r="F294" t="s">
        <v>23</v>
      </c>
      <c r="G294" t="s">
        <v>14</v>
      </c>
      <c r="H294" t="s">
        <v>15</v>
      </c>
      <c r="I294" t="s">
        <v>14</v>
      </c>
      <c r="J294">
        <v>59.6</v>
      </c>
      <c r="K294">
        <v>84.5</v>
      </c>
      <c r="L294" t="s">
        <v>20</v>
      </c>
    </row>
    <row r="295" spans="1:12" x14ac:dyDescent="0.35">
      <c r="A295">
        <v>294</v>
      </c>
      <c r="B295" t="s">
        <v>17</v>
      </c>
      <c r="C295">
        <v>5.4</v>
      </c>
      <c r="D295">
        <v>80.7</v>
      </c>
      <c r="E295">
        <v>6.5</v>
      </c>
      <c r="F295" t="s">
        <v>23</v>
      </c>
      <c r="G295" t="s">
        <v>14</v>
      </c>
      <c r="H295" t="s">
        <v>14</v>
      </c>
      <c r="I295" t="s">
        <v>14</v>
      </c>
      <c r="J295">
        <v>76.7</v>
      </c>
      <c r="K295">
        <v>93.7</v>
      </c>
      <c r="L295" t="s">
        <v>16</v>
      </c>
    </row>
    <row r="296" spans="1:12" x14ac:dyDescent="0.35">
      <c r="A296">
        <v>295</v>
      </c>
      <c r="B296" t="s">
        <v>17</v>
      </c>
      <c r="C296">
        <v>4.5999999999999996</v>
      </c>
      <c r="D296">
        <v>89</v>
      </c>
      <c r="E296">
        <v>7.6</v>
      </c>
      <c r="F296" t="s">
        <v>23</v>
      </c>
      <c r="G296" t="s">
        <v>14</v>
      </c>
      <c r="H296" t="s">
        <v>15</v>
      </c>
      <c r="I296" t="s">
        <v>15</v>
      </c>
      <c r="J296">
        <v>79</v>
      </c>
      <c r="K296">
        <v>100</v>
      </c>
      <c r="L296" t="s">
        <v>16</v>
      </c>
    </row>
    <row r="297" spans="1:12" x14ac:dyDescent="0.35">
      <c r="A297">
        <v>296</v>
      </c>
      <c r="B297" t="s">
        <v>17</v>
      </c>
      <c r="C297">
        <v>1.8</v>
      </c>
      <c r="D297">
        <v>84.8</v>
      </c>
      <c r="E297">
        <v>6.4</v>
      </c>
      <c r="F297" t="s">
        <v>19</v>
      </c>
      <c r="G297" t="s">
        <v>14</v>
      </c>
      <c r="H297" t="s">
        <v>14</v>
      </c>
      <c r="I297" t="s">
        <v>15</v>
      </c>
      <c r="J297">
        <v>62.8</v>
      </c>
      <c r="K297">
        <v>81.599999999999994</v>
      </c>
      <c r="L297" t="s">
        <v>20</v>
      </c>
    </row>
    <row r="298" spans="1:12" x14ac:dyDescent="0.35">
      <c r="A298">
        <v>297</v>
      </c>
      <c r="B298" t="s">
        <v>17</v>
      </c>
      <c r="C298">
        <v>2.7</v>
      </c>
      <c r="D298">
        <v>76</v>
      </c>
      <c r="E298">
        <v>6.4</v>
      </c>
      <c r="F298" t="s">
        <v>13</v>
      </c>
      <c r="G298" t="s">
        <v>14</v>
      </c>
      <c r="H298" t="s">
        <v>14</v>
      </c>
      <c r="I298" t="s">
        <v>15</v>
      </c>
      <c r="J298">
        <v>52.1</v>
      </c>
      <c r="K298">
        <v>70.900000000000006</v>
      </c>
      <c r="L298" t="s">
        <v>22</v>
      </c>
    </row>
    <row r="299" spans="1:12" x14ac:dyDescent="0.35">
      <c r="A299">
        <v>298</v>
      </c>
      <c r="B299" t="s">
        <v>12</v>
      </c>
      <c r="C299">
        <v>4.2</v>
      </c>
      <c r="D299">
        <v>88.2</v>
      </c>
      <c r="E299">
        <v>7.7</v>
      </c>
      <c r="F299" t="s">
        <v>18</v>
      </c>
      <c r="G299" t="s">
        <v>14</v>
      </c>
      <c r="H299" t="s">
        <v>14</v>
      </c>
      <c r="I299" t="s">
        <v>15</v>
      </c>
      <c r="J299">
        <v>69.900000000000006</v>
      </c>
      <c r="K299">
        <v>89.6</v>
      </c>
      <c r="L299" t="s">
        <v>20</v>
      </c>
    </row>
    <row r="300" spans="1:12" x14ac:dyDescent="0.35">
      <c r="A300">
        <v>299</v>
      </c>
      <c r="B300" t="s">
        <v>12</v>
      </c>
      <c r="C300">
        <v>1.7</v>
      </c>
      <c r="D300">
        <v>73.2</v>
      </c>
      <c r="E300">
        <v>7.2</v>
      </c>
      <c r="F300" t="s">
        <v>23</v>
      </c>
      <c r="G300" t="s">
        <v>15</v>
      </c>
      <c r="H300" t="s">
        <v>14</v>
      </c>
      <c r="I300" t="s">
        <v>15</v>
      </c>
      <c r="J300">
        <v>67.900000000000006</v>
      </c>
      <c r="K300">
        <v>69.2</v>
      </c>
      <c r="L300" t="s">
        <v>21</v>
      </c>
    </row>
    <row r="301" spans="1:12" x14ac:dyDescent="0.35">
      <c r="A301">
        <v>300</v>
      </c>
      <c r="B301" t="s">
        <v>17</v>
      </c>
      <c r="C301">
        <v>4.5999999999999996</v>
      </c>
      <c r="D301">
        <v>96.9</v>
      </c>
      <c r="E301">
        <v>7.2</v>
      </c>
      <c r="F301" t="s">
        <v>23</v>
      </c>
      <c r="G301" t="s">
        <v>14</v>
      </c>
      <c r="H301" t="s">
        <v>15</v>
      </c>
      <c r="I301" t="s">
        <v>14</v>
      </c>
      <c r="J301">
        <v>64.8</v>
      </c>
      <c r="K301">
        <v>82.3</v>
      </c>
      <c r="L301" t="s">
        <v>20</v>
      </c>
    </row>
    <row r="302" spans="1:12" x14ac:dyDescent="0.35">
      <c r="A302">
        <v>301</v>
      </c>
      <c r="B302" t="s">
        <v>12</v>
      </c>
      <c r="C302">
        <v>3.1</v>
      </c>
      <c r="D302">
        <v>80.400000000000006</v>
      </c>
      <c r="E302">
        <v>7.4</v>
      </c>
      <c r="F302" t="s">
        <v>13</v>
      </c>
      <c r="G302" t="s">
        <v>14</v>
      </c>
      <c r="H302" t="s">
        <v>14</v>
      </c>
      <c r="I302" t="s">
        <v>14</v>
      </c>
      <c r="J302">
        <v>75.3</v>
      </c>
      <c r="K302">
        <v>80.900000000000006</v>
      </c>
      <c r="L302" t="s">
        <v>20</v>
      </c>
    </row>
    <row r="303" spans="1:12" x14ac:dyDescent="0.35">
      <c r="A303">
        <v>302</v>
      </c>
      <c r="B303" t="s">
        <v>12</v>
      </c>
      <c r="C303">
        <v>2.9</v>
      </c>
      <c r="D303">
        <v>87</v>
      </c>
      <c r="E303">
        <v>5</v>
      </c>
      <c r="F303" t="s">
        <v>18</v>
      </c>
      <c r="G303" t="s">
        <v>14</v>
      </c>
      <c r="H303" t="s">
        <v>14</v>
      </c>
      <c r="I303" t="s">
        <v>15</v>
      </c>
      <c r="J303">
        <v>61</v>
      </c>
      <c r="K303">
        <v>82.4</v>
      </c>
      <c r="L303" t="s">
        <v>20</v>
      </c>
    </row>
    <row r="304" spans="1:12" x14ac:dyDescent="0.35">
      <c r="A304">
        <v>303</v>
      </c>
      <c r="B304" t="s">
        <v>12</v>
      </c>
      <c r="C304">
        <v>4.5999999999999996</v>
      </c>
      <c r="D304">
        <v>87.8</v>
      </c>
      <c r="E304">
        <v>7.7</v>
      </c>
      <c r="F304" t="s">
        <v>13</v>
      </c>
      <c r="G304" t="s">
        <v>14</v>
      </c>
      <c r="H304" t="s">
        <v>14</v>
      </c>
      <c r="I304" t="s">
        <v>15</v>
      </c>
      <c r="J304">
        <v>56.2</v>
      </c>
      <c r="K304">
        <v>91</v>
      </c>
      <c r="L304" t="s">
        <v>16</v>
      </c>
    </row>
    <row r="305" spans="1:12" x14ac:dyDescent="0.35">
      <c r="A305">
        <v>304</v>
      </c>
      <c r="B305" t="s">
        <v>17</v>
      </c>
      <c r="C305">
        <v>4.2</v>
      </c>
      <c r="D305">
        <v>82.4</v>
      </c>
      <c r="E305">
        <v>7.5</v>
      </c>
      <c r="F305" t="s">
        <v>18</v>
      </c>
      <c r="G305" t="s">
        <v>15</v>
      </c>
      <c r="H305" t="s">
        <v>15</v>
      </c>
      <c r="I305" t="s">
        <v>15</v>
      </c>
      <c r="J305">
        <v>71.3</v>
      </c>
      <c r="K305">
        <v>81.599999999999994</v>
      </c>
      <c r="L305" t="s">
        <v>20</v>
      </c>
    </row>
    <row r="306" spans="1:12" x14ac:dyDescent="0.35">
      <c r="A306">
        <v>305</v>
      </c>
      <c r="B306" t="s">
        <v>17</v>
      </c>
      <c r="C306">
        <v>3</v>
      </c>
      <c r="D306">
        <v>90.9</v>
      </c>
      <c r="E306">
        <v>5.6</v>
      </c>
      <c r="F306" t="s">
        <v>13</v>
      </c>
      <c r="G306" t="s">
        <v>14</v>
      </c>
      <c r="H306" t="s">
        <v>15</v>
      </c>
      <c r="I306" t="s">
        <v>14</v>
      </c>
      <c r="J306">
        <v>74.599999999999994</v>
      </c>
      <c r="K306">
        <v>83.2</v>
      </c>
      <c r="L306" t="s">
        <v>20</v>
      </c>
    </row>
    <row r="307" spans="1:12" x14ac:dyDescent="0.35">
      <c r="A307">
        <v>306</v>
      </c>
      <c r="B307" t="s">
        <v>12</v>
      </c>
      <c r="C307">
        <v>5.2</v>
      </c>
      <c r="D307">
        <v>80.3</v>
      </c>
      <c r="E307">
        <v>6.5</v>
      </c>
      <c r="F307" t="s">
        <v>13</v>
      </c>
      <c r="G307" t="s">
        <v>14</v>
      </c>
      <c r="H307" t="s">
        <v>14</v>
      </c>
      <c r="I307" t="s">
        <v>15</v>
      </c>
      <c r="J307">
        <v>55.9</v>
      </c>
      <c r="K307">
        <v>80.7</v>
      </c>
      <c r="L307" t="s">
        <v>20</v>
      </c>
    </row>
    <row r="308" spans="1:12" x14ac:dyDescent="0.35">
      <c r="A308">
        <v>307</v>
      </c>
      <c r="B308" t="s">
        <v>17</v>
      </c>
      <c r="C308">
        <v>1.9</v>
      </c>
      <c r="D308">
        <v>93.7</v>
      </c>
      <c r="E308">
        <v>6.8</v>
      </c>
      <c r="F308" t="s">
        <v>23</v>
      </c>
      <c r="G308" t="s">
        <v>14</v>
      </c>
      <c r="H308" t="s">
        <v>14</v>
      </c>
      <c r="I308" t="s">
        <v>14</v>
      </c>
      <c r="J308">
        <v>81.099999999999994</v>
      </c>
      <c r="K308">
        <v>87.2</v>
      </c>
      <c r="L308" t="s">
        <v>20</v>
      </c>
    </row>
    <row r="309" spans="1:12" x14ac:dyDescent="0.35">
      <c r="A309">
        <v>308</v>
      </c>
      <c r="B309" t="s">
        <v>17</v>
      </c>
      <c r="C309">
        <v>4.4000000000000004</v>
      </c>
      <c r="D309">
        <v>71.5</v>
      </c>
      <c r="E309">
        <v>6.6</v>
      </c>
      <c r="F309" t="s">
        <v>18</v>
      </c>
      <c r="G309" t="s">
        <v>14</v>
      </c>
      <c r="H309" t="s">
        <v>14</v>
      </c>
      <c r="I309" t="s">
        <v>14</v>
      </c>
      <c r="J309">
        <v>48.8</v>
      </c>
      <c r="K309">
        <v>72.8</v>
      </c>
      <c r="L309" t="s">
        <v>22</v>
      </c>
    </row>
    <row r="310" spans="1:12" x14ac:dyDescent="0.35">
      <c r="A310">
        <v>309</v>
      </c>
      <c r="B310" t="s">
        <v>17</v>
      </c>
      <c r="C310">
        <v>4.4000000000000004</v>
      </c>
      <c r="D310">
        <v>86.3</v>
      </c>
      <c r="E310">
        <v>7.2</v>
      </c>
      <c r="F310" t="s">
        <v>13</v>
      </c>
      <c r="G310" t="s">
        <v>14</v>
      </c>
      <c r="H310" t="s">
        <v>15</v>
      </c>
      <c r="I310" t="s">
        <v>15</v>
      </c>
      <c r="J310">
        <v>63.1</v>
      </c>
      <c r="K310">
        <v>85.2</v>
      </c>
      <c r="L310" t="s">
        <v>20</v>
      </c>
    </row>
    <row r="311" spans="1:12" x14ac:dyDescent="0.35">
      <c r="A311">
        <v>310</v>
      </c>
      <c r="B311" t="s">
        <v>17</v>
      </c>
      <c r="C311">
        <v>3</v>
      </c>
      <c r="D311">
        <v>100</v>
      </c>
      <c r="E311">
        <v>8.5</v>
      </c>
      <c r="F311" t="s">
        <v>18</v>
      </c>
      <c r="G311" t="s">
        <v>14</v>
      </c>
      <c r="H311" t="s">
        <v>15</v>
      </c>
      <c r="I311" t="s">
        <v>14</v>
      </c>
      <c r="J311">
        <v>66.900000000000006</v>
      </c>
      <c r="K311">
        <v>83.3</v>
      </c>
      <c r="L311" t="s">
        <v>20</v>
      </c>
    </row>
    <row r="312" spans="1:12" x14ac:dyDescent="0.35">
      <c r="A312">
        <v>311</v>
      </c>
      <c r="B312" t="s">
        <v>17</v>
      </c>
      <c r="C312">
        <v>4</v>
      </c>
      <c r="D312">
        <v>75</v>
      </c>
      <c r="E312">
        <v>8.1</v>
      </c>
      <c r="F312" t="s">
        <v>18</v>
      </c>
      <c r="G312" t="s">
        <v>14</v>
      </c>
      <c r="H312" t="s">
        <v>14</v>
      </c>
      <c r="I312" t="s">
        <v>15</v>
      </c>
      <c r="J312">
        <v>62.4</v>
      </c>
      <c r="K312">
        <v>82.6</v>
      </c>
      <c r="L312" t="s">
        <v>20</v>
      </c>
    </row>
    <row r="313" spans="1:12" x14ac:dyDescent="0.35">
      <c r="A313">
        <v>312</v>
      </c>
      <c r="B313" t="s">
        <v>12</v>
      </c>
      <c r="C313">
        <v>1.6</v>
      </c>
      <c r="D313">
        <v>78.2</v>
      </c>
      <c r="E313">
        <v>5.2</v>
      </c>
      <c r="F313" t="s">
        <v>23</v>
      </c>
      <c r="G313" t="s">
        <v>14</v>
      </c>
      <c r="H313" t="s">
        <v>15</v>
      </c>
      <c r="I313" t="s">
        <v>14</v>
      </c>
      <c r="J313">
        <v>63.2</v>
      </c>
      <c r="K313">
        <v>63.4</v>
      </c>
      <c r="L313" t="s">
        <v>21</v>
      </c>
    </row>
    <row r="314" spans="1:12" x14ac:dyDescent="0.35">
      <c r="A314">
        <v>313</v>
      </c>
      <c r="B314" t="s">
        <v>17</v>
      </c>
      <c r="C314">
        <v>4.9000000000000004</v>
      </c>
      <c r="D314">
        <v>90.1</v>
      </c>
      <c r="E314">
        <v>7.5</v>
      </c>
      <c r="F314" t="s">
        <v>19</v>
      </c>
      <c r="G314" t="s">
        <v>14</v>
      </c>
      <c r="H314" t="s">
        <v>14</v>
      </c>
      <c r="I314" t="s">
        <v>15</v>
      </c>
      <c r="J314">
        <v>92.5</v>
      </c>
      <c r="K314">
        <v>100</v>
      </c>
      <c r="L314" t="s">
        <v>16</v>
      </c>
    </row>
    <row r="315" spans="1:12" x14ac:dyDescent="0.35">
      <c r="A315">
        <v>314</v>
      </c>
      <c r="B315" t="s">
        <v>12</v>
      </c>
      <c r="C315">
        <v>3.2</v>
      </c>
      <c r="D315">
        <v>86.8</v>
      </c>
      <c r="E315">
        <v>8.4</v>
      </c>
      <c r="F315" t="s">
        <v>13</v>
      </c>
      <c r="G315" t="s">
        <v>14</v>
      </c>
      <c r="H315" t="s">
        <v>15</v>
      </c>
      <c r="I315" t="s">
        <v>15</v>
      </c>
      <c r="J315">
        <v>59.8</v>
      </c>
      <c r="K315">
        <v>79.400000000000006</v>
      </c>
      <c r="L315" t="s">
        <v>22</v>
      </c>
    </row>
    <row r="316" spans="1:12" x14ac:dyDescent="0.35">
      <c r="A316">
        <v>315</v>
      </c>
      <c r="B316" t="s">
        <v>12</v>
      </c>
      <c r="C316">
        <v>2.7</v>
      </c>
      <c r="D316">
        <v>88.5</v>
      </c>
      <c r="E316">
        <v>7.3</v>
      </c>
      <c r="F316" t="s">
        <v>23</v>
      </c>
      <c r="G316" t="s">
        <v>14</v>
      </c>
      <c r="H316" t="s">
        <v>14</v>
      </c>
      <c r="I316" t="s">
        <v>15</v>
      </c>
      <c r="J316">
        <v>99.3</v>
      </c>
      <c r="K316">
        <v>100</v>
      </c>
      <c r="L316" t="s">
        <v>16</v>
      </c>
    </row>
    <row r="317" spans="1:12" x14ac:dyDescent="0.35">
      <c r="A317">
        <v>316</v>
      </c>
      <c r="B317" t="s">
        <v>17</v>
      </c>
      <c r="C317">
        <v>5.0999999999999996</v>
      </c>
      <c r="D317">
        <v>89.9</v>
      </c>
      <c r="E317">
        <v>8.1</v>
      </c>
      <c r="F317" t="s">
        <v>24</v>
      </c>
      <c r="G317" t="s">
        <v>14</v>
      </c>
      <c r="H317" t="s">
        <v>14</v>
      </c>
      <c r="I317" t="s">
        <v>15</v>
      </c>
      <c r="J317">
        <v>75.2</v>
      </c>
      <c r="K317">
        <v>100</v>
      </c>
      <c r="L317" t="s">
        <v>16</v>
      </c>
    </row>
    <row r="318" spans="1:12" x14ac:dyDescent="0.35">
      <c r="A318">
        <v>317</v>
      </c>
      <c r="B318" t="s">
        <v>12</v>
      </c>
      <c r="C318">
        <v>2.4</v>
      </c>
      <c r="D318">
        <v>91.3</v>
      </c>
      <c r="E318">
        <v>9.1999999999999993</v>
      </c>
      <c r="F318" t="s">
        <v>23</v>
      </c>
      <c r="G318" t="s">
        <v>15</v>
      </c>
      <c r="H318" t="s">
        <v>14</v>
      </c>
      <c r="I318" t="s">
        <v>14</v>
      </c>
      <c r="J318">
        <v>71.099999999999994</v>
      </c>
      <c r="K318">
        <v>72.900000000000006</v>
      </c>
      <c r="L318" t="s">
        <v>22</v>
      </c>
    </row>
    <row r="319" spans="1:12" x14ac:dyDescent="0.35">
      <c r="A319">
        <v>318</v>
      </c>
      <c r="B319" t="s">
        <v>12</v>
      </c>
      <c r="C319">
        <v>1.4</v>
      </c>
      <c r="D319">
        <v>96.1</v>
      </c>
      <c r="E319">
        <v>8</v>
      </c>
      <c r="F319" t="s">
        <v>18</v>
      </c>
      <c r="G319" t="s">
        <v>15</v>
      </c>
      <c r="H319" t="s">
        <v>14</v>
      </c>
      <c r="I319" t="s">
        <v>15</v>
      </c>
      <c r="J319">
        <v>75.7</v>
      </c>
      <c r="K319">
        <v>79.2</v>
      </c>
      <c r="L319" t="s">
        <v>22</v>
      </c>
    </row>
    <row r="320" spans="1:12" x14ac:dyDescent="0.35">
      <c r="A320">
        <v>319</v>
      </c>
      <c r="B320" t="s">
        <v>12</v>
      </c>
      <c r="C320">
        <v>1.2</v>
      </c>
      <c r="D320">
        <v>89.1</v>
      </c>
      <c r="E320">
        <v>7.1</v>
      </c>
      <c r="F320" t="s">
        <v>19</v>
      </c>
      <c r="G320" t="s">
        <v>14</v>
      </c>
      <c r="H320" t="s">
        <v>15</v>
      </c>
      <c r="I320" t="s">
        <v>15</v>
      </c>
      <c r="J320">
        <v>100</v>
      </c>
      <c r="K320">
        <v>84.2</v>
      </c>
      <c r="L320" t="s">
        <v>20</v>
      </c>
    </row>
    <row r="321" spans="1:12" x14ac:dyDescent="0.35">
      <c r="A321">
        <v>320</v>
      </c>
      <c r="B321" t="s">
        <v>17</v>
      </c>
      <c r="C321">
        <v>4.4000000000000004</v>
      </c>
      <c r="D321">
        <v>82.6</v>
      </c>
      <c r="E321">
        <v>8.1</v>
      </c>
      <c r="F321" t="s">
        <v>13</v>
      </c>
      <c r="G321" t="s">
        <v>14</v>
      </c>
      <c r="H321" t="s">
        <v>14</v>
      </c>
      <c r="I321" t="s">
        <v>14</v>
      </c>
      <c r="J321">
        <v>58.1</v>
      </c>
      <c r="K321">
        <v>80.7</v>
      </c>
      <c r="L321" t="s">
        <v>20</v>
      </c>
    </row>
    <row r="322" spans="1:12" x14ac:dyDescent="0.35">
      <c r="A322">
        <v>321</v>
      </c>
      <c r="B322" t="s">
        <v>17</v>
      </c>
      <c r="C322">
        <v>1.6</v>
      </c>
      <c r="D322">
        <v>91.7</v>
      </c>
      <c r="E322">
        <v>7</v>
      </c>
      <c r="F322" t="s">
        <v>18</v>
      </c>
      <c r="G322" t="s">
        <v>14</v>
      </c>
      <c r="H322" t="s">
        <v>15</v>
      </c>
      <c r="I322" t="s">
        <v>15</v>
      </c>
      <c r="J322">
        <v>56.6</v>
      </c>
      <c r="K322">
        <v>85.3</v>
      </c>
      <c r="L322" t="s">
        <v>20</v>
      </c>
    </row>
    <row r="323" spans="1:12" x14ac:dyDescent="0.35">
      <c r="A323">
        <v>322</v>
      </c>
      <c r="B323" t="s">
        <v>12</v>
      </c>
      <c r="C323">
        <v>6.1</v>
      </c>
      <c r="D323">
        <v>100</v>
      </c>
      <c r="E323">
        <v>6.8</v>
      </c>
      <c r="F323" t="s">
        <v>18</v>
      </c>
      <c r="G323" t="s">
        <v>14</v>
      </c>
      <c r="H323" t="s">
        <v>15</v>
      </c>
      <c r="I323" t="s">
        <v>14</v>
      </c>
      <c r="J323">
        <v>60.9</v>
      </c>
      <c r="K323">
        <v>93.1</v>
      </c>
      <c r="L323" t="s">
        <v>16</v>
      </c>
    </row>
    <row r="324" spans="1:12" x14ac:dyDescent="0.35">
      <c r="A324">
        <v>323</v>
      </c>
      <c r="B324" t="s">
        <v>17</v>
      </c>
      <c r="C324">
        <v>0.5</v>
      </c>
      <c r="D324">
        <v>83.7</v>
      </c>
      <c r="E324">
        <v>6.4</v>
      </c>
      <c r="F324" t="s">
        <v>13</v>
      </c>
      <c r="G324" t="s">
        <v>14</v>
      </c>
      <c r="H324" t="s">
        <v>14</v>
      </c>
      <c r="I324" t="s">
        <v>15</v>
      </c>
      <c r="J324">
        <v>70.400000000000006</v>
      </c>
      <c r="K324">
        <v>73.5</v>
      </c>
      <c r="L324" t="s">
        <v>22</v>
      </c>
    </row>
    <row r="325" spans="1:12" x14ac:dyDescent="0.35">
      <c r="A325">
        <v>324</v>
      </c>
      <c r="B325" t="s">
        <v>17</v>
      </c>
      <c r="C325">
        <v>6</v>
      </c>
      <c r="D325">
        <v>75.3</v>
      </c>
      <c r="E325">
        <v>8.6999999999999993</v>
      </c>
      <c r="F325" t="s">
        <v>18</v>
      </c>
      <c r="G325" t="s">
        <v>14</v>
      </c>
      <c r="H325" t="s">
        <v>14</v>
      </c>
      <c r="I325" t="s">
        <v>15</v>
      </c>
      <c r="J325">
        <v>49.3</v>
      </c>
      <c r="K325">
        <v>90.8</v>
      </c>
      <c r="L325" t="s">
        <v>16</v>
      </c>
    </row>
    <row r="326" spans="1:12" x14ac:dyDescent="0.35">
      <c r="A326">
        <v>325</v>
      </c>
      <c r="B326" t="s">
        <v>17</v>
      </c>
      <c r="C326">
        <v>3.8</v>
      </c>
      <c r="D326">
        <v>96.1</v>
      </c>
      <c r="E326">
        <v>5.8</v>
      </c>
      <c r="F326" t="s">
        <v>18</v>
      </c>
      <c r="G326" t="s">
        <v>14</v>
      </c>
      <c r="H326" t="s">
        <v>14</v>
      </c>
      <c r="I326" t="s">
        <v>14</v>
      </c>
      <c r="J326">
        <v>70.3</v>
      </c>
      <c r="K326">
        <v>80.8</v>
      </c>
      <c r="L326" t="s">
        <v>20</v>
      </c>
    </row>
    <row r="327" spans="1:12" x14ac:dyDescent="0.35">
      <c r="A327">
        <v>326</v>
      </c>
      <c r="B327" t="s">
        <v>17</v>
      </c>
      <c r="C327">
        <v>3.4</v>
      </c>
      <c r="D327">
        <v>83.8</v>
      </c>
      <c r="E327">
        <v>8.6</v>
      </c>
      <c r="F327" t="s">
        <v>18</v>
      </c>
      <c r="G327" t="s">
        <v>14</v>
      </c>
      <c r="H327" t="s">
        <v>15</v>
      </c>
      <c r="I327" t="s">
        <v>15</v>
      </c>
      <c r="J327">
        <v>90.3</v>
      </c>
      <c r="K327">
        <v>88.9</v>
      </c>
      <c r="L327" t="s">
        <v>20</v>
      </c>
    </row>
    <row r="328" spans="1:12" x14ac:dyDescent="0.35">
      <c r="A328">
        <v>327</v>
      </c>
      <c r="B328" t="s">
        <v>12</v>
      </c>
      <c r="C328">
        <v>2.7</v>
      </c>
      <c r="D328">
        <v>63.3</v>
      </c>
      <c r="E328">
        <v>7.4</v>
      </c>
      <c r="F328" t="s">
        <v>23</v>
      </c>
      <c r="G328" t="s">
        <v>15</v>
      </c>
      <c r="H328" t="s">
        <v>14</v>
      </c>
      <c r="I328" t="s">
        <v>15</v>
      </c>
      <c r="J328">
        <v>71.8</v>
      </c>
      <c r="K328">
        <v>63.7</v>
      </c>
      <c r="L328" t="s">
        <v>21</v>
      </c>
    </row>
    <row r="329" spans="1:12" x14ac:dyDescent="0.35">
      <c r="A329">
        <v>328</v>
      </c>
      <c r="B329" t="s">
        <v>12</v>
      </c>
      <c r="C329">
        <v>4.0999999999999996</v>
      </c>
      <c r="D329">
        <v>93.5</v>
      </c>
      <c r="E329">
        <v>5.0999999999999996</v>
      </c>
      <c r="F329" t="s">
        <v>24</v>
      </c>
      <c r="G329" t="s">
        <v>14</v>
      </c>
      <c r="H329" t="s">
        <v>14</v>
      </c>
      <c r="I329" t="s">
        <v>15</v>
      </c>
      <c r="J329">
        <v>66.5</v>
      </c>
      <c r="K329">
        <v>82.6</v>
      </c>
      <c r="L329" t="s">
        <v>20</v>
      </c>
    </row>
    <row r="330" spans="1:12" x14ac:dyDescent="0.35">
      <c r="A330">
        <v>329</v>
      </c>
      <c r="B330" t="s">
        <v>17</v>
      </c>
      <c r="C330">
        <v>3.4</v>
      </c>
      <c r="D330">
        <v>79.599999999999994</v>
      </c>
      <c r="E330">
        <v>7.2</v>
      </c>
      <c r="F330" t="s">
        <v>18</v>
      </c>
      <c r="G330" t="s">
        <v>14</v>
      </c>
      <c r="H330" t="s">
        <v>14</v>
      </c>
      <c r="I330" t="s">
        <v>15</v>
      </c>
      <c r="J330">
        <v>62.6</v>
      </c>
      <c r="K330">
        <v>63.7</v>
      </c>
      <c r="L330" t="s">
        <v>21</v>
      </c>
    </row>
    <row r="331" spans="1:12" x14ac:dyDescent="0.35">
      <c r="A331">
        <v>330</v>
      </c>
      <c r="B331" t="s">
        <v>17</v>
      </c>
      <c r="C331">
        <v>5.2</v>
      </c>
      <c r="D331">
        <v>84.1</v>
      </c>
      <c r="E331">
        <v>4.3</v>
      </c>
      <c r="F331" t="s">
        <v>24</v>
      </c>
      <c r="G331" t="s">
        <v>14</v>
      </c>
      <c r="H331" t="s">
        <v>15</v>
      </c>
      <c r="I331" t="s">
        <v>15</v>
      </c>
      <c r="J331">
        <v>80.8</v>
      </c>
      <c r="K331">
        <v>96.6</v>
      </c>
      <c r="L331" t="s">
        <v>16</v>
      </c>
    </row>
    <row r="332" spans="1:12" x14ac:dyDescent="0.35">
      <c r="A332">
        <v>331</v>
      </c>
      <c r="B332" t="s">
        <v>12</v>
      </c>
      <c r="C332">
        <v>3.7</v>
      </c>
      <c r="D332">
        <v>88.3</v>
      </c>
      <c r="E332">
        <v>7.6</v>
      </c>
      <c r="F332" t="s">
        <v>24</v>
      </c>
      <c r="G332" t="s">
        <v>14</v>
      </c>
      <c r="H332" t="s">
        <v>14</v>
      </c>
      <c r="I332" t="s">
        <v>15</v>
      </c>
      <c r="J332">
        <v>60.1</v>
      </c>
      <c r="K332">
        <v>97</v>
      </c>
      <c r="L332" t="s">
        <v>16</v>
      </c>
    </row>
    <row r="333" spans="1:12" x14ac:dyDescent="0.35">
      <c r="A333">
        <v>332</v>
      </c>
      <c r="B333" t="s">
        <v>12</v>
      </c>
      <c r="C333">
        <v>3.7</v>
      </c>
      <c r="D333">
        <v>86.9</v>
      </c>
      <c r="E333">
        <v>7.9</v>
      </c>
      <c r="F333" t="s">
        <v>23</v>
      </c>
      <c r="G333" t="s">
        <v>15</v>
      </c>
      <c r="H333" t="s">
        <v>14</v>
      </c>
      <c r="I333" t="s">
        <v>15</v>
      </c>
      <c r="J333">
        <v>92.2</v>
      </c>
      <c r="K333">
        <v>93.3</v>
      </c>
      <c r="L333" t="s">
        <v>16</v>
      </c>
    </row>
    <row r="334" spans="1:12" x14ac:dyDescent="0.35">
      <c r="A334">
        <v>333</v>
      </c>
      <c r="B334" t="s">
        <v>17</v>
      </c>
      <c r="C334">
        <v>3</v>
      </c>
      <c r="D334">
        <v>92.1</v>
      </c>
      <c r="E334">
        <v>6.1</v>
      </c>
      <c r="F334" t="s">
        <v>18</v>
      </c>
      <c r="G334" t="s">
        <v>14</v>
      </c>
      <c r="H334" t="s">
        <v>14</v>
      </c>
      <c r="I334" t="s">
        <v>14</v>
      </c>
      <c r="J334">
        <v>93.2</v>
      </c>
      <c r="K334">
        <v>82.8</v>
      </c>
      <c r="L334" t="s">
        <v>20</v>
      </c>
    </row>
    <row r="335" spans="1:12" x14ac:dyDescent="0.35">
      <c r="A335">
        <v>334</v>
      </c>
      <c r="B335" t="s">
        <v>12</v>
      </c>
      <c r="C335">
        <v>3.4</v>
      </c>
      <c r="D335">
        <v>80.599999999999994</v>
      </c>
      <c r="E335">
        <v>6.9</v>
      </c>
      <c r="F335" t="s">
        <v>23</v>
      </c>
      <c r="G335" t="s">
        <v>14</v>
      </c>
      <c r="H335" t="s">
        <v>14</v>
      </c>
      <c r="I335" t="s">
        <v>15</v>
      </c>
      <c r="J335">
        <v>73.099999999999994</v>
      </c>
      <c r="K335">
        <v>81.2</v>
      </c>
      <c r="L335" t="s">
        <v>20</v>
      </c>
    </row>
    <row r="336" spans="1:12" x14ac:dyDescent="0.35">
      <c r="A336">
        <v>335</v>
      </c>
      <c r="B336" t="s">
        <v>17</v>
      </c>
      <c r="C336">
        <v>4</v>
      </c>
      <c r="D336">
        <v>90.1</v>
      </c>
      <c r="E336">
        <v>9.1</v>
      </c>
      <c r="F336" t="s">
        <v>19</v>
      </c>
      <c r="G336" t="s">
        <v>14</v>
      </c>
      <c r="H336" t="s">
        <v>15</v>
      </c>
      <c r="I336" t="s">
        <v>15</v>
      </c>
      <c r="J336">
        <v>69.900000000000006</v>
      </c>
      <c r="K336">
        <v>88.7</v>
      </c>
      <c r="L336" t="s">
        <v>20</v>
      </c>
    </row>
    <row r="337" spans="1:12" x14ac:dyDescent="0.35">
      <c r="A337">
        <v>336</v>
      </c>
      <c r="B337" t="s">
        <v>17</v>
      </c>
      <c r="C337">
        <v>0.9</v>
      </c>
      <c r="D337">
        <v>82.4</v>
      </c>
      <c r="E337">
        <v>6.2</v>
      </c>
      <c r="F337" t="s">
        <v>23</v>
      </c>
      <c r="G337" t="s">
        <v>14</v>
      </c>
      <c r="H337" t="s">
        <v>14</v>
      </c>
      <c r="I337" t="s">
        <v>15</v>
      </c>
      <c r="J337">
        <v>82.4</v>
      </c>
      <c r="K337">
        <v>71.2</v>
      </c>
      <c r="L337" t="s">
        <v>22</v>
      </c>
    </row>
    <row r="338" spans="1:12" x14ac:dyDescent="0.35">
      <c r="A338">
        <v>337</v>
      </c>
      <c r="B338" t="s">
        <v>12</v>
      </c>
      <c r="C338">
        <v>1.5</v>
      </c>
      <c r="D338">
        <v>92.4</v>
      </c>
      <c r="E338">
        <v>5.5</v>
      </c>
      <c r="F338" t="s">
        <v>18</v>
      </c>
      <c r="G338" t="s">
        <v>14</v>
      </c>
      <c r="H338" t="s">
        <v>15</v>
      </c>
      <c r="I338" t="s">
        <v>15</v>
      </c>
      <c r="J338">
        <v>83.1</v>
      </c>
      <c r="K338">
        <v>87.1</v>
      </c>
      <c r="L338" t="s">
        <v>20</v>
      </c>
    </row>
    <row r="339" spans="1:12" x14ac:dyDescent="0.35">
      <c r="A339">
        <v>338</v>
      </c>
      <c r="B339" t="s">
        <v>12</v>
      </c>
      <c r="C339">
        <v>4.5999999999999996</v>
      </c>
      <c r="D339">
        <v>91.2</v>
      </c>
      <c r="E339">
        <v>8.6</v>
      </c>
      <c r="F339" t="s">
        <v>13</v>
      </c>
      <c r="G339" t="s">
        <v>14</v>
      </c>
      <c r="H339" t="s">
        <v>15</v>
      </c>
      <c r="I339" t="s">
        <v>15</v>
      </c>
      <c r="J339">
        <v>60.3</v>
      </c>
      <c r="K339">
        <v>94.9</v>
      </c>
      <c r="L339" t="s">
        <v>16</v>
      </c>
    </row>
    <row r="340" spans="1:12" x14ac:dyDescent="0.35">
      <c r="A340">
        <v>339</v>
      </c>
      <c r="B340" t="s">
        <v>17</v>
      </c>
      <c r="C340">
        <v>3.8</v>
      </c>
      <c r="D340">
        <v>75.599999999999994</v>
      </c>
      <c r="E340">
        <v>9.1999999999999993</v>
      </c>
      <c r="F340" t="s">
        <v>13</v>
      </c>
      <c r="G340" t="s">
        <v>14</v>
      </c>
      <c r="H340" t="s">
        <v>15</v>
      </c>
      <c r="I340" t="s">
        <v>15</v>
      </c>
      <c r="J340">
        <v>63.7</v>
      </c>
      <c r="K340">
        <v>76.099999999999994</v>
      </c>
      <c r="L340" t="s">
        <v>22</v>
      </c>
    </row>
    <row r="341" spans="1:12" x14ac:dyDescent="0.35">
      <c r="A341">
        <v>340</v>
      </c>
      <c r="B341" t="s">
        <v>17</v>
      </c>
      <c r="C341">
        <v>3.2</v>
      </c>
      <c r="D341">
        <v>95.9</v>
      </c>
      <c r="E341">
        <v>6.8</v>
      </c>
      <c r="F341" t="s">
        <v>13</v>
      </c>
      <c r="G341" t="s">
        <v>14</v>
      </c>
      <c r="H341" t="s">
        <v>15</v>
      </c>
      <c r="I341" t="s">
        <v>15</v>
      </c>
      <c r="J341">
        <v>54.1</v>
      </c>
      <c r="K341">
        <v>85.1</v>
      </c>
      <c r="L341" t="s">
        <v>20</v>
      </c>
    </row>
    <row r="342" spans="1:12" x14ac:dyDescent="0.35">
      <c r="A342">
        <v>341</v>
      </c>
      <c r="B342" t="s">
        <v>12</v>
      </c>
      <c r="C342">
        <v>3.5</v>
      </c>
      <c r="D342">
        <v>79.599999999999994</v>
      </c>
      <c r="E342">
        <v>8</v>
      </c>
      <c r="F342" t="s">
        <v>18</v>
      </c>
      <c r="G342" t="s">
        <v>14</v>
      </c>
      <c r="H342" t="s">
        <v>14</v>
      </c>
      <c r="I342" t="s">
        <v>15</v>
      </c>
      <c r="J342">
        <v>74.900000000000006</v>
      </c>
      <c r="K342">
        <v>96.3</v>
      </c>
      <c r="L342" t="s">
        <v>16</v>
      </c>
    </row>
    <row r="343" spans="1:12" x14ac:dyDescent="0.35">
      <c r="A343">
        <v>342</v>
      </c>
      <c r="B343" t="s">
        <v>17</v>
      </c>
      <c r="C343">
        <v>4</v>
      </c>
      <c r="D343">
        <v>93.1</v>
      </c>
      <c r="E343">
        <v>8.4</v>
      </c>
      <c r="F343" t="s">
        <v>18</v>
      </c>
      <c r="G343" t="s">
        <v>14</v>
      </c>
      <c r="H343" t="s">
        <v>14</v>
      </c>
      <c r="I343" t="s">
        <v>15</v>
      </c>
      <c r="J343">
        <v>78</v>
      </c>
      <c r="K343">
        <v>100</v>
      </c>
      <c r="L343" t="s">
        <v>16</v>
      </c>
    </row>
    <row r="344" spans="1:12" x14ac:dyDescent="0.35">
      <c r="A344">
        <v>343</v>
      </c>
      <c r="B344" t="s">
        <v>12</v>
      </c>
      <c r="C344">
        <v>2.7</v>
      </c>
      <c r="D344">
        <v>88.7</v>
      </c>
      <c r="E344">
        <v>5.9</v>
      </c>
      <c r="F344" t="s">
        <v>23</v>
      </c>
      <c r="G344" t="s">
        <v>14</v>
      </c>
      <c r="H344" t="s">
        <v>15</v>
      </c>
      <c r="I344" t="s">
        <v>15</v>
      </c>
      <c r="J344">
        <v>53.8</v>
      </c>
      <c r="K344">
        <v>92</v>
      </c>
      <c r="L344" t="s">
        <v>16</v>
      </c>
    </row>
    <row r="345" spans="1:12" x14ac:dyDescent="0.35">
      <c r="A345">
        <v>344</v>
      </c>
      <c r="B345" t="s">
        <v>17</v>
      </c>
      <c r="C345">
        <v>2.2999999999999998</v>
      </c>
      <c r="D345">
        <v>100</v>
      </c>
      <c r="E345">
        <v>6.2</v>
      </c>
      <c r="F345" t="s">
        <v>24</v>
      </c>
      <c r="G345" t="s">
        <v>14</v>
      </c>
      <c r="H345" t="s">
        <v>14</v>
      </c>
      <c r="I345" t="s">
        <v>15</v>
      </c>
      <c r="J345">
        <v>64.5</v>
      </c>
      <c r="K345">
        <v>77.2</v>
      </c>
      <c r="L345" t="s">
        <v>22</v>
      </c>
    </row>
    <row r="346" spans="1:12" x14ac:dyDescent="0.35">
      <c r="A346">
        <v>345</v>
      </c>
      <c r="B346" t="s">
        <v>12</v>
      </c>
      <c r="C346">
        <v>3.8</v>
      </c>
      <c r="D346">
        <v>82.8</v>
      </c>
      <c r="E346">
        <v>8.3000000000000007</v>
      </c>
      <c r="F346" t="s">
        <v>18</v>
      </c>
      <c r="G346" t="s">
        <v>14</v>
      </c>
      <c r="H346" t="s">
        <v>15</v>
      </c>
      <c r="I346" t="s">
        <v>15</v>
      </c>
      <c r="J346">
        <v>53.8</v>
      </c>
      <c r="K346">
        <v>97.5</v>
      </c>
      <c r="L346" t="s">
        <v>16</v>
      </c>
    </row>
    <row r="347" spans="1:12" x14ac:dyDescent="0.35">
      <c r="A347">
        <v>346</v>
      </c>
      <c r="B347" t="s">
        <v>12</v>
      </c>
      <c r="C347">
        <v>2</v>
      </c>
      <c r="D347">
        <v>81.5</v>
      </c>
      <c r="E347">
        <v>8.8000000000000007</v>
      </c>
      <c r="F347" t="s">
        <v>19</v>
      </c>
      <c r="G347" t="s">
        <v>14</v>
      </c>
      <c r="H347" t="s">
        <v>14</v>
      </c>
      <c r="I347" t="s">
        <v>14</v>
      </c>
      <c r="J347">
        <v>59.2</v>
      </c>
      <c r="K347">
        <v>70.599999999999994</v>
      </c>
      <c r="L347" t="s">
        <v>22</v>
      </c>
    </row>
    <row r="348" spans="1:12" x14ac:dyDescent="0.35">
      <c r="A348">
        <v>347</v>
      </c>
      <c r="B348" t="s">
        <v>12</v>
      </c>
      <c r="C348">
        <v>4.0999999999999996</v>
      </c>
      <c r="D348">
        <v>84.8</v>
      </c>
      <c r="E348">
        <v>7.5</v>
      </c>
      <c r="F348" t="s">
        <v>18</v>
      </c>
      <c r="G348" t="s">
        <v>14</v>
      </c>
      <c r="H348" t="s">
        <v>15</v>
      </c>
      <c r="I348" t="s">
        <v>15</v>
      </c>
      <c r="J348">
        <v>76.599999999999994</v>
      </c>
      <c r="K348">
        <v>87.2</v>
      </c>
      <c r="L348" t="s">
        <v>20</v>
      </c>
    </row>
    <row r="349" spans="1:12" x14ac:dyDescent="0.35">
      <c r="A349">
        <v>348</v>
      </c>
      <c r="B349" t="s">
        <v>17</v>
      </c>
      <c r="C349">
        <v>0.9</v>
      </c>
      <c r="D349">
        <v>82</v>
      </c>
      <c r="E349">
        <v>5.7</v>
      </c>
      <c r="F349" t="s">
        <v>23</v>
      </c>
      <c r="G349" t="s">
        <v>14</v>
      </c>
      <c r="H349" t="s">
        <v>15</v>
      </c>
      <c r="I349" t="s">
        <v>15</v>
      </c>
      <c r="J349">
        <v>61.2</v>
      </c>
      <c r="K349">
        <v>69</v>
      </c>
      <c r="L349" t="s">
        <v>21</v>
      </c>
    </row>
    <row r="350" spans="1:12" x14ac:dyDescent="0.35">
      <c r="A350">
        <v>349</v>
      </c>
      <c r="B350" t="s">
        <v>17</v>
      </c>
      <c r="C350">
        <v>5</v>
      </c>
      <c r="D350">
        <v>93</v>
      </c>
      <c r="E350">
        <v>9.1999999999999993</v>
      </c>
      <c r="F350" t="s">
        <v>23</v>
      </c>
      <c r="G350" t="s">
        <v>14</v>
      </c>
      <c r="H350" t="s">
        <v>14</v>
      </c>
      <c r="I350" t="s">
        <v>14</v>
      </c>
      <c r="J350">
        <v>66.400000000000006</v>
      </c>
      <c r="K350">
        <v>90.2</v>
      </c>
      <c r="L350" t="s">
        <v>16</v>
      </c>
    </row>
    <row r="351" spans="1:12" x14ac:dyDescent="0.35">
      <c r="A351">
        <v>350</v>
      </c>
      <c r="B351" t="s">
        <v>12</v>
      </c>
      <c r="C351">
        <v>4.2</v>
      </c>
      <c r="D351">
        <v>68.8</v>
      </c>
      <c r="E351">
        <v>6.2</v>
      </c>
      <c r="F351" t="s">
        <v>23</v>
      </c>
      <c r="G351" t="s">
        <v>14</v>
      </c>
      <c r="H351" t="s">
        <v>14</v>
      </c>
      <c r="I351" t="s">
        <v>14</v>
      </c>
      <c r="J351">
        <v>50.5</v>
      </c>
      <c r="K351">
        <v>74</v>
      </c>
      <c r="L351" t="s">
        <v>22</v>
      </c>
    </row>
    <row r="352" spans="1:12" x14ac:dyDescent="0.35">
      <c r="A352">
        <v>351</v>
      </c>
      <c r="B352" t="s">
        <v>17</v>
      </c>
      <c r="C352">
        <v>3.9</v>
      </c>
      <c r="D352">
        <v>74.5</v>
      </c>
      <c r="E352">
        <v>6.4</v>
      </c>
      <c r="F352" t="s">
        <v>19</v>
      </c>
      <c r="G352" t="s">
        <v>14</v>
      </c>
      <c r="H352" t="s">
        <v>15</v>
      </c>
      <c r="I352" t="s">
        <v>15</v>
      </c>
      <c r="J352">
        <v>72.2</v>
      </c>
      <c r="K352">
        <v>75.3</v>
      </c>
      <c r="L352" t="s">
        <v>22</v>
      </c>
    </row>
    <row r="353" spans="1:12" x14ac:dyDescent="0.35">
      <c r="A353">
        <v>352</v>
      </c>
      <c r="B353" t="s">
        <v>12</v>
      </c>
      <c r="C353">
        <v>5</v>
      </c>
      <c r="D353">
        <v>74.3</v>
      </c>
      <c r="E353">
        <v>7.2</v>
      </c>
      <c r="F353" t="s">
        <v>18</v>
      </c>
      <c r="G353" t="s">
        <v>14</v>
      </c>
      <c r="H353" t="s">
        <v>15</v>
      </c>
      <c r="I353" t="s">
        <v>15</v>
      </c>
      <c r="J353">
        <v>69.5</v>
      </c>
      <c r="K353">
        <v>86.5</v>
      </c>
      <c r="L353" t="s">
        <v>20</v>
      </c>
    </row>
    <row r="354" spans="1:12" x14ac:dyDescent="0.35">
      <c r="A354">
        <v>353</v>
      </c>
      <c r="B354" t="s">
        <v>12</v>
      </c>
      <c r="C354">
        <v>6</v>
      </c>
      <c r="D354">
        <v>94.5</v>
      </c>
      <c r="E354">
        <v>8.6999999999999993</v>
      </c>
      <c r="F354" t="s">
        <v>24</v>
      </c>
      <c r="G354" t="s">
        <v>14</v>
      </c>
      <c r="H354" t="s">
        <v>14</v>
      </c>
      <c r="I354" t="s">
        <v>15</v>
      </c>
      <c r="J354">
        <v>61.3</v>
      </c>
      <c r="K354">
        <v>100</v>
      </c>
      <c r="L354" t="s">
        <v>16</v>
      </c>
    </row>
    <row r="355" spans="1:12" x14ac:dyDescent="0.35">
      <c r="A355">
        <v>354</v>
      </c>
      <c r="B355" t="s">
        <v>17</v>
      </c>
      <c r="C355">
        <v>5</v>
      </c>
      <c r="D355">
        <v>100</v>
      </c>
      <c r="E355">
        <v>7.8</v>
      </c>
      <c r="F355" t="s">
        <v>18</v>
      </c>
      <c r="G355" t="s">
        <v>14</v>
      </c>
      <c r="H355" t="s">
        <v>15</v>
      </c>
      <c r="I355" t="s">
        <v>14</v>
      </c>
      <c r="J355">
        <v>67.7</v>
      </c>
      <c r="K355">
        <v>93.6</v>
      </c>
      <c r="L355" t="s">
        <v>16</v>
      </c>
    </row>
    <row r="356" spans="1:12" x14ac:dyDescent="0.35">
      <c r="A356">
        <v>355</v>
      </c>
      <c r="B356" t="s">
        <v>17</v>
      </c>
      <c r="C356">
        <v>0.7</v>
      </c>
      <c r="D356">
        <v>84</v>
      </c>
      <c r="E356">
        <v>7.3</v>
      </c>
      <c r="F356" t="s">
        <v>23</v>
      </c>
      <c r="G356" t="s">
        <v>14</v>
      </c>
      <c r="H356" t="s">
        <v>14</v>
      </c>
      <c r="I356" t="s">
        <v>14</v>
      </c>
      <c r="J356">
        <v>72.2</v>
      </c>
      <c r="K356">
        <v>72</v>
      </c>
      <c r="L356" t="s">
        <v>22</v>
      </c>
    </row>
    <row r="357" spans="1:12" x14ac:dyDescent="0.35">
      <c r="A357">
        <v>356</v>
      </c>
      <c r="B357" t="s">
        <v>12</v>
      </c>
      <c r="C357">
        <v>1.6</v>
      </c>
      <c r="D357">
        <v>83.3</v>
      </c>
      <c r="E357">
        <v>7.4</v>
      </c>
      <c r="F357" t="s">
        <v>23</v>
      </c>
      <c r="G357" t="s">
        <v>14</v>
      </c>
      <c r="H357" t="s">
        <v>14</v>
      </c>
      <c r="I357" t="s">
        <v>15</v>
      </c>
      <c r="J357">
        <v>60.2</v>
      </c>
      <c r="K357">
        <v>76.2</v>
      </c>
      <c r="L357" t="s">
        <v>22</v>
      </c>
    </row>
    <row r="358" spans="1:12" x14ac:dyDescent="0.35">
      <c r="A358">
        <v>357</v>
      </c>
      <c r="B358" t="s">
        <v>17</v>
      </c>
      <c r="C358">
        <v>2.6</v>
      </c>
      <c r="D358">
        <v>85.7</v>
      </c>
      <c r="E358">
        <v>6.9</v>
      </c>
      <c r="F358" t="s">
        <v>23</v>
      </c>
      <c r="G358" t="s">
        <v>14</v>
      </c>
      <c r="H358" t="s">
        <v>15</v>
      </c>
      <c r="I358" t="s">
        <v>15</v>
      </c>
      <c r="J358">
        <v>52.3</v>
      </c>
      <c r="K358">
        <v>80.900000000000006</v>
      </c>
      <c r="L358" t="s">
        <v>20</v>
      </c>
    </row>
    <row r="359" spans="1:12" x14ac:dyDescent="0.35">
      <c r="A359">
        <v>358</v>
      </c>
      <c r="B359" t="s">
        <v>17</v>
      </c>
      <c r="C359">
        <v>3.5</v>
      </c>
      <c r="D359">
        <v>96.6</v>
      </c>
      <c r="E359">
        <v>7.5</v>
      </c>
      <c r="F359" t="s">
        <v>18</v>
      </c>
      <c r="G359" t="s">
        <v>14</v>
      </c>
      <c r="H359" t="s">
        <v>15</v>
      </c>
      <c r="I359" t="s">
        <v>14</v>
      </c>
      <c r="J359">
        <v>91.7</v>
      </c>
      <c r="K359">
        <v>85.3</v>
      </c>
      <c r="L359" t="s">
        <v>20</v>
      </c>
    </row>
    <row r="360" spans="1:12" x14ac:dyDescent="0.35">
      <c r="A360">
        <v>359</v>
      </c>
      <c r="B360" t="s">
        <v>12</v>
      </c>
      <c r="C360">
        <v>4.3</v>
      </c>
      <c r="D360">
        <v>75.7</v>
      </c>
      <c r="E360">
        <v>3.8</v>
      </c>
      <c r="F360" t="s">
        <v>24</v>
      </c>
      <c r="G360" t="s">
        <v>14</v>
      </c>
      <c r="H360" t="s">
        <v>15</v>
      </c>
      <c r="I360" t="s">
        <v>15</v>
      </c>
      <c r="J360">
        <v>62.4</v>
      </c>
      <c r="K360">
        <v>81.900000000000006</v>
      </c>
      <c r="L360" t="s">
        <v>20</v>
      </c>
    </row>
    <row r="361" spans="1:12" x14ac:dyDescent="0.35">
      <c r="A361">
        <v>360</v>
      </c>
      <c r="B361" t="s">
        <v>12</v>
      </c>
      <c r="C361">
        <v>2.4</v>
      </c>
      <c r="D361">
        <v>87.4</v>
      </c>
      <c r="E361">
        <v>6.4</v>
      </c>
      <c r="F361" t="s">
        <v>18</v>
      </c>
      <c r="G361" t="s">
        <v>14</v>
      </c>
      <c r="H361" t="s">
        <v>15</v>
      </c>
      <c r="I361" t="s">
        <v>15</v>
      </c>
      <c r="J361">
        <v>68.8</v>
      </c>
      <c r="K361">
        <v>78</v>
      </c>
      <c r="L361" t="s">
        <v>22</v>
      </c>
    </row>
    <row r="362" spans="1:12" x14ac:dyDescent="0.35">
      <c r="A362">
        <v>361</v>
      </c>
      <c r="B362" t="s">
        <v>17</v>
      </c>
      <c r="C362">
        <v>3.8</v>
      </c>
      <c r="D362">
        <v>94.8</v>
      </c>
      <c r="E362">
        <v>7.1</v>
      </c>
      <c r="F362" t="s">
        <v>18</v>
      </c>
      <c r="G362" t="s">
        <v>14</v>
      </c>
      <c r="H362" t="s">
        <v>14</v>
      </c>
      <c r="I362" t="s">
        <v>14</v>
      </c>
      <c r="J362">
        <v>82.1</v>
      </c>
      <c r="K362">
        <v>93.6</v>
      </c>
      <c r="L362" t="s">
        <v>16</v>
      </c>
    </row>
    <row r="363" spans="1:12" x14ac:dyDescent="0.35">
      <c r="A363">
        <v>362</v>
      </c>
      <c r="B363" t="s">
        <v>12</v>
      </c>
      <c r="C363">
        <v>2.4</v>
      </c>
      <c r="D363">
        <v>90</v>
      </c>
      <c r="E363">
        <v>5.4</v>
      </c>
      <c r="F363" t="s">
        <v>23</v>
      </c>
      <c r="G363" t="s">
        <v>14</v>
      </c>
      <c r="H363" t="s">
        <v>15</v>
      </c>
      <c r="I363" t="s">
        <v>14</v>
      </c>
      <c r="J363">
        <v>100</v>
      </c>
      <c r="K363">
        <v>95.1</v>
      </c>
      <c r="L363" t="s">
        <v>16</v>
      </c>
    </row>
    <row r="364" spans="1:12" x14ac:dyDescent="0.35">
      <c r="A364">
        <v>363</v>
      </c>
      <c r="B364" t="s">
        <v>12</v>
      </c>
      <c r="C364">
        <v>2.6</v>
      </c>
      <c r="D364">
        <v>86.9</v>
      </c>
      <c r="E364">
        <v>7.3</v>
      </c>
      <c r="F364" t="s">
        <v>13</v>
      </c>
      <c r="G364" t="s">
        <v>14</v>
      </c>
      <c r="H364" t="s">
        <v>14</v>
      </c>
      <c r="I364" t="s">
        <v>14</v>
      </c>
      <c r="J364">
        <v>55.1</v>
      </c>
      <c r="K364">
        <v>66.7</v>
      </c>
      <c r="L364" t="s">
        <v>21</v>
      </c>
    </row>
    <row r="365" spans="1:12" x14ac:dyDescent="0.35">
      <c r="A365">
        <v>364</v>
      </c>
      <c r="B365" t="s">
        <v>17</v>
      </c>
      <c r="C365">
        <v>1.4</v>
      </c>
      <c r="D365">
        <v>95</v>
      </c>
      <c r="E365">
        <v>6.6</v>
      </c>
      <c r="F365" t="s">
        <v>23</v>
      </c>
      <c r="G365" t="s">
        <v>14</v>
      </c>
      <c r="H365" t="s">
        <v>14</v>
      </c>
      <c r="I365" t="s">
        <v>15</v>
      </c>
      <c r="J365">
        <v>75.400000000000006</v>
      </c>
      <c r="K365">
        <v>75.599999999999994</v>
      </c>
      <c r="L365" t="s">
        <v>22</v>
      </c>
    </row>
    <row r="366" spans="1:12" x14ac:dyDescent="0.35">
      <c r="A366">
        <v>365</v>
      </c>
      <c r="B366" t="s">
        <v>12</v>
      </c>
      <c r="C366">
        <v>2.1</v>
      </c>
      <c r="D366">
        <v>58</v>
      </c>
      <c r="E366">
        <v>8.9</v>
      </c>
      <c r="F366" t="s">
        <v>13</v>
      </c>
      <c r="G366" t="s">
        <v>14</v>
      </c>
      <c r="H366" t="s">
        <v>14</v>
      </c>
      <c r="I366" t="s">
        <v>15</v>
      </c>
      <c r="J366">
        <v>61.5</v>
      </c>
      <c r="K366">
        <v>57.4</v>
      </c>
      <c r="L366" t="s">
        <v>25</v>
      </c>
    </row>
    <row r="367" spans="1:12" x14ac:dyDescent="0.35">
      <c r="A367">
        <v>366</v>
      </c>
      <c r="B367" t="s">
        <v>12</v>
      </c>
      <c r="C367">
        <v>1.5</v>
      </c>
      <c r="D367">
        <v>91.8</v>
      </c>
      <c r="E367">
        <v>8.6999999999999993</v>
      </c>
      <c r="F367" t="s">
        <v>18</v>
      </c>
      <c r="G367" t="s">
        <v>14</v>
      </c>
      <c r="H367" t="s">
        <v>14</v>
      </c>
      <c r="I367" t="s">
        <v>15</v>
      </c>
      <c r="J367">
        <v>63.5</v>
      </c>
      <c r="K367">
        <v>75.400000000000006</v>
      </c>
      <c r="L367" t="s">
        <v>22</v>
      </c>
    </row>
    <row r="368" spans="1:12" x14ac:dyDescent="0.35">
      <c r="A368">
        <v>367</v>
      </c>
      <c r="B368" t="s">
        <v>17</v>
      </c>
      <c r="C368">
        <v>2</v>
      </c>
      <c r="D368">
        <v>78.5</v>
      </c>
      <c r="E368">
        <v>6.2</v>
      </c>
      <c r="F368" t="s">
        <v>23</v>
      </c>
      <c r="G368" t="s">
        <v>14</v>
      </c>
      <c r="H368" t="s">
        <v>14</v>
      </c>
      <c r="I368" t="s">
        <v>15</v>
      </c>
      <c r="J368">
        <v>61.4</v>
      </c>
      <c r="K368">
        <v>80.5</v>
      </c>
      <c r="L368" t="s">
        <v>20</v>
      </c>
    </row>
    <row r="369" spans="1:12" x14ac:dyDescent="0.35">
      <c r="A369">
        <v>368</v>
      </c>
      <c r="B369" t="s">
        <v>17</v>
      </c>
      <c r="C369">
        <v>5.0999999999999996</v>
      </c>
      <c r="D369">
        <v>66.7</v>
      </c>
      <c r="E369">
        <v>6.6</v>
      </c>
      <c r="F369" t="s">
        <v>13</v>
      </c>
      <c r="G369" t="s">
        <v>15</v>
      </c>
      <c r="H369" t="s">
        <v>14</v>
      </c>
      <c r="I369" t="s">
        <v>15</v>
      </c>
      <c r="J369">
        <v>56.5</v>
      </c>
      <c r="K369">
        <v>75.099999999999994</v>
      </c>
      <c r="L369" t="s">
        <v>22</v>
      </c>
    </row>
    <row r="370" spans="1:12" x14ac:dyDescent="0.35">
      <c r="A370">
        <v>369</v>
      </c>
      <c r="B370" t="s">
        <v>12</v>
      </c>
      <c r="C370">
        <v>2.1</v>
      </c>
      <c r="D370">
        <v>90.1</v>
      </c>
      <c r="E370">
        <v>6.7</v>
      </c>
      <c r="F370" t="s">
        <v>18</v>
      </c>
      <c r="G370" t="s">
        <v>15</v>
      </c>
      <c r="H370" t="s">
        <v>14</v>
      </c>
      <c r="I370" t="s">
        <v>15</v>
      </c>
      <c r="J370">
        <v>69.5</v>
      </c>
      <c r="K370">
        <v>67.8</v>
      </c>
      <c r="L370" t="s">
        <v>21</v>
      </c>
    </row>
    <row r="371" spans="1:12" x14ac:dyDescent="0.35">
      <c r="A371">
        <v>370</v>
      </c>
      <c r="B371" t="s">
        <v>12</v>
      </c>
      <c r="C371">
        <v>7.4</v>
      </c>
      <c r="D371">
        <v>98.7</v>
      </c>
      <c r="E371">
        <v>6.3</v>
      </c>
      <c r="F371" t="s">
        <v>23</v>
      </c>
      <c r="G371" t="s">
        <v>14</v>
      </c>
      <c r="H371" t="s">
        <v>14</v>
      </c>
      <c r="I371" t="s">
        <v>15</v>
      </c>
      <c r="J371">
        <v>52.3</v>
      </c>
      <c r="K371">
        <v>97.4</v>
      </c>
      <c r="L371" t="s">
        <v>16</v>
      </c>
    </row>
    <row r="372" spans="1:12" x14ac:dyDescent="0.35">
      <c r="A372">
        <v>371</v>
      </c>
      <c r="B372" t="s">
        <v>17</v>
      </c>
      <c r="C372">
        <v>4.2</v>
      </c>
      <c r="D372">
        <v>83.6</v>
      </c>
      <c r="E372">
        <v>7</v>
      </c>
      <c r="F372" t="s">
        <v>13</v>
      </c>
      <c r="G372" t="s">
        <v>14</v>
      </c>
      <c r="H372" t="s">
        <v>15</v>
      </c>
      <c r="I372" t="s">
        <v>14</v>
      </c>
      <c r="J372">
        <v>81.400000000000006</v>
      </c>
      <c r="K372">
        <v>80.2</v>
      </c>
      <c r="L372" t="s">
        <v>20</v>
      </c>
    </row>
    <row r="373" spans="1:12" x14ac:dyDescent="0.35">
      <c r="A373">
        <v>372</v>
      </c>
      <c r="B373" t="s">
        <v>17</v>
      </c>
      <c r="C373">
        <v>3.8</v>
      </c>
      <c r="D373">
        <v>94.5</v>
      </c>
      <c r="E373">
        <v>5.9</v>
      </c>
      <c r="F373" t="s">
        <v>13</v>
      </c>
      <c r="G373" t="s">
        <v>14</v>
      </c>
      <c r="H373" t="s">
        <v>14</v>
      </c>
      <c r="I373" t="s">
        <v>15</v>
      </c>
      <c r="J373">
        <v>70.7</v>
      </c>
      <c r="K373">
        <v>82.8</v>
      </c>
      <c r="L373" t="s">
        <v>20</v>
      </c>
    </row>
    <row r="374" spans="1:12" x14ac:dyDescent="0.35">
      <c r="A374">
        <v>373</v>
      </c>
      <c r="B374" t="s">
        <v>17</v>
      </c>
      <c r="C374">
        <v>2.2000000000000002</v>
      </c>
      <c r="D374">
        <v>100</v>
      </c>
      <c r="E374">
        <v>5.4</v>
      </c>
      <c r="F374" t="s">
        <v>13</v>
      </c>
      <c r="G374" t="s">
        <v>14</v>
      </c>
      <c r="H374" t="s">
        <v>14</v>
      </c>
      <c r="I374" t="s">
        <v>15</v>
      </c>
      <c r="J374">
        <v>75.099999999999994</v>
      </c>
      <c r="K374">
        <v>87.8</v>
      </c>
      <c r="L374" t="s">
        <v>20</v>
      </c>
    </row>
    <row r="375" spans="1:12" x14ac:dyDescent="0.35">
      <c r="A375">
        <v>374</v>
      </c>
      <c r="B375" t="s">
        <v>17</v>
      </c>
      <c r="C375">
        <v>4.5999999999999996</v>
      </c>
      <c r="D375">
        <v>98.1</v>
      </c>
      <c r="E375">
        <v>7.5</v>
      </c>
      <c r="F375" t="s">
        <v>23</v>
      </c>
      <c r="G375" t="s">
        <v>14</v>
      </c>
      <c r="H375" t="s">
        <v>15</v>
      </c>
      <c r="I375" t="s">
        <v>15</v>
      </c>
      <c r="J375">
        <v>64.400000000000006</v>
      </c>
      <c r="K375">
        <v>85.8</v>
      </c>
      <c r="L375" t="s">
        <v>20</v>
      </c>
    </row>
    <row r="376" spans="1:12" x14ac:dyDescent="0.35">
      <c r="A376">
        <v>375</v>
      </c>
      <c r="B376" t="s">
        <v>12</v>
      </c>
      <c r="C376">
        <v>2.6</v>
      </c>
      <c r="D376">
        <v>100</v>
      </c>
      <c r="E376">
        <v>7.6</v>
      </c>
      <c r="F376" t="s">
        <v>23</v>
      </c>
      <c r="G376" t="s">
        <v>14</v>
      </c>
      <c r="H376" t="s">
        <v>15</v>
      </c>
      <c r="I376" t="s">
        <v>15</v>
      </c>
      <c r="J376">
        <v>65.599999999999994</v>
      </c>
      <c r="K376">
        <v>91.7</v>
      </c>
      <c r="L376" t="s">
        <v>16</v>
      </c>
    </row>
    <row r="377" spans="1:12" x14ac:dyDescent="0.35">
      <c r="A377">
        <v>376</v>
      </c>
      <c r="B377" t="s">
        <v>17</v>
      </c>
      <c r="C377">
        <v>3.7</v>
      </c>
      <c r="D377">
        <v>92.4</v>
      </c>
      <c r="E377">
        <v>5.8</v>
      </c>
      <c r="F377" t="s">
        <v>23</v>
      </c>
      <c r="G377" t="s">
        <v>14</v>
      </c>
      <c r="H377" t="s">
        <v>15</v>
      </c>
      <c r="I377" t="s">
        <v>14</v>
      </c>
      <c r="J377">
        <v>73.5</v>
      </c>
      <c r="K377">
        <v>84.9</v>
      </c>
      <c r="L377" t="s">
        <v>20</v>
      </c>
    </row>
    <row r="378" spans="1:12" x14ac:dyDescent="0.35">
      <c r="A378">
        <v>377</v>
      </c>
      <c r="B378" t="s">
        <v>17</v>
      </c>
      <c r="C378">
        <v>7.3</v>
      </c>
      <c r="D378">
        <v>85.8</v>
      </c>
      <c r="E378">
        <v>7.9</v>
      </c>
      <c r="F378" t="s">
        <v>18</v>
      </c>
      <c r="G378" t="s">
        <v>14</v>
      </c>
      <c r="H378" t="s">
        <v>14</v>
      </c>
      <c r="I378" t="s">
        <v>15</v>
      </c>
      <c r="J378">
        <v>56</v>
      </c>
      <c r="K378">
        <v>99.3</v>
      </c>
      <c r="L378" t="s">
        <v>16</v>
      </c>
    </row>
    <row r="379" spans="1:12" x14ac:dyDescent="0.35">
      <c r="A379">
        <v>378</v>
      </c>
      <c r="B379" t="s">
        <v>12</v>
      </c>
      <c r="C379">
        <v>3.4</v>
      </c>
      <c r="D379">
        <v>69</v>
      </c>
      <c r="E379">
        <v>6</v>
      </c>
      <c r="F379" t="s">
        <v>23</v>
      </c>
      <c r="G379" t="s">
        <v>14</v>
      </c>
      <c r="H379" t="s">
        <v>15</v>
      </c>
      <c r="I379" t="s">
        <v>15</v>
      </c>
      <c r="J379">
        <v>65.7</v>
      </c>
      <c r="K379">
        <v>74.3</v>
      </c>
      <c r="L379" t="s">
        <v>22</v>
      </c>
    </row>
    <row r="380" spans="1:12" x14ac:dyDescent="0.35">
      <c r="A380">
        <v>379</v>
      </c>
      <c r="B380" t="s">
        <v>17</v>
      </c>
      <c r="C380">
        <v>5.2</v>
      </c>
      <c r="D380">
        <v>82.5</v>
      </c>
      <c r="E380">
        <v>7.1</v>
      </c>
      <c r="F380" t="s">
        <v>23</v>
      </c>
      <c r="G380" t="s">
        <v>14</v>
      </c>
      <c r="H380" t="s">
        <v>14</v>
      </c>
      <c r="I380" t="s">
        <v>15</v>
      </c>
      <c r="J380">
        <v>59.7</v>
      </c>
      <c r="K380">
        <v>93.3</v>
      </c>
      <c r="L380" t="s">
        <v>16</v>
      </c>
    </row>
    <row r="381" spans="1:12" x14ac:dyDescent="0.35">
      <c r="A381">
        <v>380</v>
      </c>
      <c r="B381" t="s">
        <v>12</v>
      </c>
      <c r="C381">
        <v>2.4</v>
      </c>
      <c r="D381">
        <v>76.599999999999994</v>
      </c>
      <c r="E381">
        <v>7.8</v>
      </c>
      <c r="F381" t="s">
        <v>23</v>
      </c>
      <c r="G381" t="s">
        <v>14</v>
      </c>
      <c r="H381" t="s">
        <v>14</v>
      </c>
      <c r="I381" t="s">
        <v>15</v>
      </c>
      <c r="J381">
        <v>59.3</v>
      </c>
      <c r="K381">
        <v>79.400000000000006</v>
      </c>
      <c r="L381" t="s">
        <v>22</v>
      </c>
    </row>
    <row r="382" spans="1:12" x14ac:dyDescent="0.35">
      <c r="A382">
        <v>381</v>
      </c>
      <c r="B382" t="s">
        <v>17</v>
      </c>
      <c r="C382">
        <v>3.4</v>
      </c>
      <c r="D382">
        <v>100</v>
      </c>
      <c r="E382">
        <v>6.8</v>
      </c>
      <c r="F382" t="s">
        <v>13</v>
      </c>
      <c r="G382" t="s">
        <v>15</v>
      </c>
      <c r="H382" t="s">
        <v>14</v>
      </c>
      <c r="I382" t="s">
        <v>15</v>
      </c>
      <c r="J382">
        <v>44.7</v>
      </c>
      <c r="K382">
        <v>77.400000000000006</v>
      </c>
      <c r="L382" t="s">
        <v>22</v>
      </c>
    </row>
    <row r="383" spans="1:12" x14ac:dyDescent="0.35">
      <c r="A383">
        <v>382</v>
      </c>
      <c r="B383" t="s">
        <v>17</v>
      </c>
      <c r="C383">
        <v>6.2</v>
      </c>
      <c r="D383">
        <v>83.2</v>
      </c>
      <c r="E383">
        <v>7.3</v>
      </c>
      <c r="F383" t="s">
        <v>24</v>
      </c>
      <c r="G383" t="s">
        <v>14</v>
      </c>
      <c r="H383" t="s">
        <v>15</v>
      </c>
      <c r="I383" t="s">
        <v>15</v>
      </c>
      <c r="J383">
        <v>86.1</v>
      </c>
      <c r="K383">
        <v>100</v>
      </c>
      <c r="L383" t="s">
        <v>16</v>
      </c>
    </row>
    <row r="384" spans="1:12" x14ac:dyDescent="0.35">
      <c r="A384">
        <v>383</v>
      </c>
      <c r="B384" t="s">
        <v>17</v>
      </c>
      <c r="C384">
        <v>2.6</v>
      </c>
      <c r="D384">
        <v>86.2</v>
      </c>
      <c r="E384">
        <v>6.2</v>
      </c>
      <c r="F384" t="s">
        <v>23</v>
      </c>
      <c r="G384" t="s">
        <v>14</v>
      </c>
      <c r="H384" t="s">
        <v>14</v>
      </c>
      <c r="I384" t="s">
        <v>15</v>
      </c>
      <c r="J384">
        <v>61.8</v>
      </c>
      <c r="K384">
        <v>76.8</v>
      </c>
      <c r="L384" t="s">
        <v>22</v>
      </c>
    </row>
    <row r="385" spans="1:12" x14ac:dyDescent="0.35">
      <c r="A385">
        <v>384</v>
      </c>
      <c r="B385" t="s">
        <v>12</v>
      </c>
      <c r="C385">
        <v>6.2</v>
      </c>
      <c r="D385">
        <v>90.5</v>
      </c>
      <c r="E385">
        <v>6.6</v>
      </c>
      <c r="F385" t="s">
        <v>18</v>
      </c>
      <c r="G385" t="s">
        <v>14</v>
      </c>
      <c r="H385" t="s">
        <v>14</v>
      </c>
      <c r="I385" t="s">
        <v>15</v>
      </c>
      <c r="J385">
        <v>84</v>
      </c>
      <c r="K385">
        <v>100</v>
      </c>
      <c r="L385" t="s">
        <v>16</v>
      </c>
    </row>
    <row r="386" spans="1:12" x14ac:dyDescent="0.35">
      <c r="A386">
        <v>385</v>
      </c>
      <c r="B386" t="s">
        <v>12</v>
      </c>
      <c r="C386">
        <v>4.5999999999999996</v>
      </c>
      <c r="D386">
        <v>85.4</v>
      </c>
      <c r="E386">
        <v>6.6</v>
      </c>
      <c r="F386" t="s">
        <v>13</v>
      </c>
      <c r="G386" t="s">
        <v>15</v>
      </c>
      <c r="H386" t="s">
        <v>14</v>
      </c>
      <c r="I386" t="s">
        <v>15</v>
      </c>
      <c r="J386">
        <v>82.8</v>
      </c>
      <c r="K386">
        <v>88.6</v>
      </c>
      <c r="L386" t="s">
        <v>20</v>
      </c>
    </row>
    <row r="387" spans="1:12" x14ac:dyDescent="0.35">
      <c r="A387">
        <v>386</v>
      </c>
      <c r="B387" t="s">
        <v>17</v>
      </c>
      <c r="C387">
        <v>2.7</v>
      </c>
      <c r="D387">
        <v>100</v>
      </c>
      <c r="E387">
        <v>5.9</v>
      </c>
      <c r="F387" t="s">
        <v>24</v>
      </c>
      <c r="G387" t="s">
        <v>14</v>
      </c>
      <c r="H387" t="s">
        <v>15</v>
      </c>
      <c r="I387" t="s">
        <v>15</v>
      </c>
      <c r="J387">
        <v>54.6</v>
      </c>
      <c r="K387">
        <v>79.099999999999994</v>
      </c>
      <c r="L387" t="s">
        <v>22</v>
      </c>
    </row>
    <row r="388" spans="1:12" x14ac:dyDescent="0.35">
      <c r="A388">
        <v>387</v>
      </c>
      <c r="B388" t="s">
        <v>12</v>
      </c>
      <c r="C388">
        <v>4.4000000000000004</v>
      </c>
      <c r="D388">
        <v>78.8</v>
      </c>
      <c r="E388">
        <v>6.6</v>
      </c>
      <c r="F388" t="s">
        <v>18</v>
      </c>
      <c r="G388" t="s">
        <v>14</v>
      </c>
      <c r="H388" t="s">
        <v>15</v>
      </c>
      <c r="I388" t="s">
        <v>15</v>
      </c>
      <c r="J388">
        <v>56.9</v>
      </c>
      <c r="K388">
        <v>79.400000000000006</v>
      </c>
      <c r="L388" t="s">
        <v>22</v>
      </c>
    </row>
    <row r="389" spans="1:12" x14ac:dyDescent="0.35">
      <c r="A389">
        <v>388</v>
      </c>
      <c r="B389" t="s">
        <v>12</v>
      </c>
      <c r="C389">
        <v>5</v>
      </c>
      <c r="D389">
        <v>86.9</v>
      </c>
      <c r="E389">
        <v>4.9000000000000004</v>
      </c>
      <c r="F389" t="s">
        <v>19</v>
      </c>
      <c r="G389" t="s">
        <v>14</v>
      </c>
      <c r="H389" t="s">
        <v>14</v>
      </c>
      <c r="I389" t="s">
        <v>15</v>
      </c>
      <c r="J389">
        <v>100</v>
      </c>
      <c r="K389">
        <v>100</v>
      </c>
      <c r="L389" t="s">
        <v>16</v>
      </c>
    </row>
    <row r="390" spans="1:12" x14ac:dyDescent="0.35">
      <c r="A390">
        <v>389</v>
      </c>
      <c r="B390" t="s">
        <v>12</v>
      </c>
      <c r="C390">
        <v>4.4000000000000004</v>
      </c>
      <c r="D390">
        <v>77.599999999999994</v>
      </c>
      <c r="E390">
        <v>6.2</v>
      </c>
      <c r="F390" t="s">
        <v>23</v>
      </c>
      <c r="G390" t="s">
        <v>14</v>
      </c>
      <c r="H390" t="s">
        <v>15</v>
      </c>
      <c r="I390" t="s">
        <v>14</v>
      </c>
      <c r="J390">
        <v>91</v>
      </c>
      <c r="K390">
        <v>86.7</v>
      </c>
      <c r="L390" t="s">
        <v>20</v>
      </c>
    </row>
    <row r="391" spans="1:12" x14ac:dyDescent="0.35">
      <c r="A391">
        <v>390</v>
      </c>
      <c r="B391" t="s">
        <v>12</v>
      </c>
      <c r="C391">
        <v>1.1000000000000001</v>
      </c>
      <c r="D391">
        <v>71.8</v>
      </c>
      <c r="E391">
        <v>6.5</v>
      </c>
      <c r="F391" t="s">
        <v>13</v>
      </c>
      <c r="G391" t="s">
        <v>14</v>
      </c>
      <c r="H391" t="s">
        <v>14</v>
      </c>
      <c r="I391" t="s">
        <v>14</v>
      </c>
      <c r="J391">
        <v>69.599999999999994</v>
      </c>
      <c r="K391">
        <v>69.5</v>
      </c>
      <c r="L391" t="s">
        <v>21</v>
      </c>
    </row>
    <row r="392" spans="1:12" x14ac:dyDescent="0.35">
      <c r="A392">
        <v>391</v>
      </c>
      <c r="B392" t="s">
        <v>12</v>
      </c>
      <c r="C392">
        <v>2.4</v>
      </c>
      <c r="D392">
        <v>78.900000000000006</v>
      </c>
      <c r="E392">
        <v>6.5</v>
      </c>
      <c r="F392" t="s">
        <v>18</v>
      </c>
      <c r="G392" t="s">
        <v>14</v>
      </c>
      <c r="H392" t="s">
        <v>15</v>
      </c>
      <c r="I392" t="s">
        <v>15</v>
      </c>
      <c r="J392">
        <v>73.099999999999994</v>
      </c>
      <c r="K392">
        <v>86.3</v>
      </c>
      <c r="L392" t="s">
        <v>20</v>
      </c>
    </row>
    <row r="393" spans="1:12" x14ac:dyDescent="0.35">
      <c r="A393">
        <v>392</v>
      </c>
      <c r="B393" t="s">
        <v>12</v>
      </c>
      <c r="C393">
        <v>3.1</v>
      </c>
      <c r="D393">
        <v>84.6</v>
      </c>
      <c r="E393">
        <v>6.5</v>
      </c>
      <c r="F393" t="s">
        <v>18</v>
      </c>
      <c r="G393" t="s">
        <v>14</v>
      </c>
      <c r="H393" t="s">
        <v>14</v>
      </c>
      <c r="I393" t="s">
        <v>15</v>
      </c>
      <c r="J393">
        <v>62.4</v>
      </c>
      <c r="K393">
        <v>87.3</v>
      </c>
      <c r="L393" t="s">
        <v>20</v>
      </c>
    </row>
    <row r="394" spans="1:12" x14ac:dyDescent="0.35">
      <c r="A394">
        <v>393</v>
      </c>
      <c r="B394" t="s">
        <v>17</v>
      </c>
      <c r="C394">
        <v>3.4</v>
      </c>
      <c r="D394">
        <v>80.7</v>
      </c>
      <c r="E394">
        <v>6.7</v>
      </c>
      <c r="F394" t="s">
        <v>19</v>
      </c>
      <c r="G394" t="s">
        <v>15</v>
      </c>
      <c r="H394" t="s">
        <v>15</v>
      </c>
      <c r="I394" t="s">
        <v>15</v>
      </c>
      <c r="J394">
        <v>75.2</v>
      </c>
      <c r="K394">
        <v>72.099999999999994</v>
      </c>
      <c r="L394" t="s">
        <v>22</v>
      </c>
    </row>
    <row r="395" spans="1:12" x14ac:dyDescent="0.35">
      <c r="A395">
        <v>394</v>
      </c>
      <c r="B395" t="s">
        <v>17</v>
      </c>
      <c r="C395">
        <v>4.4000000000000004</v>
      </c>
      <c r="D395">
        <v>78.099999999999994</v>
      </c>
      <c r="E395">
        <v>7.4</v>
      </c>
      <c r="F395" t="s">
        <v>18</v>
      </c>
      <c r="G395" t="s">
        <v>14</v>
      </c>
      <c r="H395" t="s">
        <v>14</v>
      </c>
      <c r="I395" t="s">
        <v>15</v>
      </c>
      <c r="J395">
        <v>61.4</v>
      </c>
      <c r="K395">
        <v>92.3</v>
      </c>
      <c r="L395" t="s">
        <v>16</v>
      </c>
    </row>
    <row r="396" spans="1:12" x14ac:dyDescent="0.35">
      <c r="A396">
        <v>395</v>
      </c>
      <c r="B396" t="s">
        <v>12</v>
      </c>
      <c r="C396">
        <v>3.8</v>
      </c>
      <c r="D396">
        <v>70.900000000000006</v>
      </c>
      <c r="E396">
        <v>7.8</v>
      </c>
      <c r="F396" t="s">
        <v>23</v>
      </c>
      <c r="G396" t="s">
        <v>14</v>
      </c>
      <c r="H396" t="s">
        <v>15</v>
      </c>
      <c r="I396" t="s">
        <v>14</v>
      </c>
      <c r="J396">
        <v>45.6</v>
      </c>
      <c r="K396">
        <v>67.599999999999994</v>
      </c>
      <c r="L396" t="s">
        <v>21</v>
      </c>
    </row>
    <row r="397" spans="1:12" x14ac:dyDescent="0.35">
      <c r="A397">
        <v>396</v>
      </c>
      <c r="B397" t="s">
        <v>17</v>
      </c>
      <c r="C397">
        <v>1.5</v>
      </c>
      <c r="D397">
        <v>84.2</v>
      </c>
      <c r="E397">
        <v>6</v>
      </c>
      <c r="F397" t="s">
        <v>13</v>
      </c>
      <c r="G397" t="s">
        <v>14</v>
      </c>
      <c r="H397" t="s">
        <v>14</v>
      </c>
      <c r="I397" t="s">
        <v>15</v>
      </c>
      <c r="J397">
        <v>54.1</v>
      </c>
      <c r="K397">
        <v>72.7</v>
      </c>
      <c r="L397" t="s">
        <v>22</v>
      </c>
    </row>
    <row r="398" spans="1:12" x14ac:dyDescent="0.35">
      <c r="A398">
        <v>397</v>
      </c>
      <c r="B398" t="s">
        <v>17</v>
      </c>
      <c r="C398">
        <v>4.0999999999999996</v>
      </c>
      <c r="D398">
        <v>70</v>
      </c>
      <c r="E398">
        <v>5.4</v>
      </c>
      <c r="F398" t="s">
        <v>18</v>
      </c>
      <c r="G398" t="s">
        <v>14</v>
      </c>
      <c r="H398" t="s">
        <v>14</v>
      </c>
      <c r="I398" t="s">
        <v>15</v>
      </c>
      <c r="J398">
        <v>70.3</v>
      </c>
      <c r="K398">
        <v>76.099999999999994</v>
      </c>
      <c r="L398" t="s">
        <v>22</v>
      </c>
    </row>
    <row r="399" spans="1:12" x14ac:dyDescent="0.35">
      <c r="A399">
        <v>398</v>
      </c>
      <c r="B399" t="s">
        <v>17</v>
      </c>
      <c r="C399">
        <v>4.4000000000000004</v>
      </c>
      <c r="D399">
        <v>92.6</v>
      </c>
      <c r="E399">
        <v>5.5</v>
      </c>
      <c r="F399" t="s">
        <v>18</v>
      </c>
      <c r="G399" t="s">
        <v>15</v>
      </c>
      <c r="H399" t="s">
        <v>14</v>
      </c>
      <c r="I399" t="s">
        <v>15</v>
      </c>
      <c r="J399">
        <v>56.4</v>
      </c>
      <c r="K399">
        <v>81.2</v>
      </c>
      <c r="L399" t="s">
        <v>20</v>
      </c>
    </row>
    <row r="400" spans="1:12" x14ac:dyDescent="0.35">
      <c r="A400">
        <v>399</v>
      </c>
      <c r="B400" t="s">
        <v>17</v>
      </c>
      <c r="C400">
        <v>4.3</v>
      </c>
      <c r="D400">
        <v>85.8</v>
      </c>
      <c r="E400">
        <v>6.2</v>
      </c>
      <c r="F400" t="s">
        <v>13</v>
      </c>
      <c r="G400" t="s">
        <v>14</v>
      </c>
      <c r="H400" t="s">
        <v>14</v>
      </c>
      <c r="I400" t="s">
        <v>15</v>
      </c>
      <c r="J400">
        <v>69.2</v>
      </c>
      <c r="K400">
        <v>90.4</v>
      </c>
      <c r="L400" t="s">
        <v>16</v>
      </c>
    </row>
    <row r="401" spans="1:12" x14ac:dyDescent="0.35">
      <c r="A401">
        <v>400</v>
      </c>
      <c r="B401" t="s">
        <v>12</v>
      </c>
      <c r="C401">
        <v>5.0999999999999996</v>
      </c>
      <c r="D401">
        <v>70.400000000000006</v>
      </c>
      <c r="E401">
        <v>6.4</v>
      </c>
      <c r="F401" t="s">
        <v>19</v>
      </c>
      <c r="G401" t="s">
        <v>14</v>
      </c>
      <c r="H401" t="s">
        <v>14</v>
      </c>
      <c r="I401" t="s">
        <v>15</v>
      </c>
      <c r="J401">
        <v>57.1</v>
      </c>
      <c r="K401">
        <v>73.2</v>
      </c>
      <c r="L401" t="s">
        <v>22</v>
      </c>
    </row>
    <row r="402" spans="1:12" x14ac:dyDescent="0.35">
      <c r="A402">
        <v>401</v>
      </c>
      <c r="B402" t="s">
        <v>17</v>
      </c>
      <c r="C402">
        <v>4.8</v>
      </c>
      <c r="D402">
        <v>81.900000000000006</v>
      </c>
      <c r="E402">
        <v>5.9</v>
      </c>
      <c r="F402" t="s">
        <v>13</v>
      </c>
      <c r="G402" t="s">
        <v>14</v>
      </c>
      <c r="H402" t="s">
        <v>15</v>
      </c>
      <c r="I402" t="s">
        <v>14</v>
      </c>
      <c r="J402">
        <v>60.6</v>
      </c>
      <c r="K402">
        <v>85.2</v>
      </c>
      <c r="L402" t="s">
        <v>20</v>
      </c>
    </row>
    <row r="403" spans="1:12" x14ac:dyDescent="0.35">
      <c r="A403">
        <v>402</v>
      </c>
      <c r="B403" t="s">
        <v>17</v>
      </c>
      <c r="C403">
        <v>4.2</v>
      </c>
      <c r="D403">
        <v>77.5</v>
      </c>
      <c r="E403">
        <v>5.2</v>
      </c>
      <c r="F403" t="s">
        <v>13</v>
      </c>
      <c r="G403" t="s">
        <v>14</v>
      </c>
      <c r="H403" t="s">
        <v>14</v>
      </c>
      <c r="I403" t="s">
        <v>15</v>
      </c>
      <c r="J403">
        <v>80.2</v>
      </c>
      <c r="K403">
        <v>96.4</v>
      </c>
      <c r="L403" t="s">
        <v>16</v>
      </c>
    </row>
    <row r="404" spans="1:12" x14ac:dyDescent="0.35">
      <c r="A404">
        <v>403</v>
      </c>
      <c r="B404" t="s">
        <v>12</v>
      </c>
      <c r="C404">
        <v>3.4</v>
      </c>
      <c r="D404">
        <v>88.2</v>
      </c>
      <c r="E404">
        <v>6.3</v>
      </c>
      <c r="F404" t="s">
        <v>18</v>
      </c>
      <c r="G404" t="s">
        <v>14</v>
      </c>
      <c r="H404" t="s">
        <v>15</v>
      </c>
      <c r="I404" t="s">
        <v>14</v>
      </c>
      <c r="J404">
        <v>73</v>
      </c>
      <c r="K404">
        <v>81.900000000000006</v>
      </c>
      <c r="L404" t="s">
        <v>20</v>
      </c>
    </row>
    <row r="405" spans="1:12" x14ac:dyDescent="0.35">
      <c r="A405">
        <v>404</v>
      </c>
      <c r="B405" t="s">
        <v>12</v>
      </c>
      <c r="C405">
        <v>1</v>
      </c>
      <c r="D405">
        <v>98.4</v>
      </c>
      <c r="E405">
        <v>7</v>
      </c>
      <c r="F405" t="s">
        <v>13</v>
      </c>
      <c r="G405" t="s">
        <v>14</v>
      </c>
      <c r="H405" t="s">
        <v>15</v>
      </c>
      <c r="I405" t="s">
        <v>15</v>
      </c>
      <c r="J405">
        <v>69.900000000000006</v>
      </c>
      <c r="K405">
        <v>86.5</v>
      </c>
      <c r="L405" t="s">
        <v>20</v>
      </c>
    </row>
    <row r="406" spans="1:12" x14ac:dyDescent="0.35">
      <c r="A406">
        <v>405</v>
      </c>
      <c r="B406" t="s">
        <v>17</v>
      </c>
      <c r="C406">
        <v>4.0999999999999996</v>
      </c>
      <c r="D406">
        <v>66.2</v>
      </c>
      <c r="E406">
        <v>7.5</v>
      </c>
      <c r="F406" t="s">
        <v>13</v>
      </c>
      <c r="G406" t="s">
        <v>14</v>
      </c>
      <c r="H406" t="s">
        <v>15</v>
      </c>
      <c r="I406" t="s">
        <v>15</v>
      </c>
      <c r="J406">
        <v>80.5</v>
      </c>
      <c r="K406">
        <v>84.7</v>
      </c>
      <c r="L406" t="s">
        <v>20</v>
      </c>
    </row>
    <row r="407" spans="1:12" x14ac:dyDescent="0.35">
      <c r="A407">
        <v>406</v>
      </c>
      <c r="B407" t="s">
        <v>17</v>
      </c>
      <c r="C407">
        <v>3.8</v>
      </c>
      <c r="D407">
        <v>86.2</v>
      </c>
      <c r="E407">
        <v>6.1</v>
      </c>
      <c r="F407" t="s">
        <v>24</v>
      </c>
      <c r="G407" t="s">
        <v>14</v>
      </c>
      <c r="H407" t="s">
        <v>15</v>
      </c>
      <c r="I407" t="s">
        <v>15</v>
      </c>
      <c r="J407">
        <v>75.8</v>
      </c>
      <c r="K407">
        <v>93</v>
      </c>
      <c r="L407" t="s">
        <v>16</v>
      </c>
    </row>
    <row r="408" spans="1:12" x14ac:dyDescent="0.35">
      <c r="A408">
        <v>407</v>
      </c>
      <c r="B408" t="s">
        <v>17</v>
      </c>
      <c r="C408">
        <v>3.9</v>
      </c>
      <c r="D408">
        <v>83.4</v>
      </c>
      <c r="E408">
        <v>6.3</v>
      </c>
      <c r="F408" t="s">
        <v>13</v>
      </c>
      <c r="G408" t="s">
        <v>14</v>
      </c>
      <c r="H408" t="s">
        <v>15</v>
      </c>
      <c r="I408" t="s">
        <v>15</v>
      </c>
      <c r="J408">
        <v>87.4</v>
      </c>
      <c r="K408">
        <v>78.900000000000006</v>
      </c>
      <c r="L408" t="s">
        <v>22</v>
      </c>
    </row>
    <row r="409" spans="1:12" x14ac:dyDescent="0.35">
      <c r="A409">
        <v>408</v>
      </c>
      <c r="B409" t="s">
        <v>17</v>
      </c>
      <c r="C409">
        <v>1.6</v>
      </c>
      <c r="D409">
        <v>91.7</v>
      </c>
      <c r="E409">
        <v>5.7</v>
      </c>
      <c r="F409" t="s">
        <v>13</v>
      </c>
      <c r="G409" t="s">
        <v>14</v>
      </c>
      <c r="H409" t="s">
        <v>14</v>
      </c>
      <c r="I409" t="s">
        <v>15</v>
      </c>
      <c r="J409">
        <v>64.5</v>
      </c>
      <c r="K409">
        <v>90.4</v>
      </c>
      <c r="L409" t="s">
        <v>16</v>
      </c>
    </row>
    <row r="410" spans="1:12" x14ac:dyDescent="0.35">
      <c r="A410">
        <v>409</v>
      </c>
      <c r="B410" t="s">
        <v>17</v>
      </c>
      <c r="C410">
        <v>1.9</v>
      </c>
      <c r="D410">
        <v>87.1</v>
      </c>
      <c r="E410">
        <v>6.8</v>
      </c>
      <c r="F410" t="s">
        <v>18</v>
      </c>
      <c r="G410" t="s">
        <v>15</v>
      </c>
      <c r="H410" t="s">
        <v>15</v>
      </c>
      <c r="I410" t="s">
        <v>15</v>
      </c>
      <c r="J410">
        <v>64.8</v>
      </c>
      <c r="K410">
        <v>80.099999999999994</v>
      </c>
      <c r="L410" t="s">
        <v>20</v>
      </c>
    </row>
    <row r="411" spans="1:12" x14ac:dyDescent="0.35">
      <c r="A411">
        <v>410</v>
      </c>
      <c r="B411" t="s">
        <v>17</v>
      </c>
      <c r="C411">
        <v>5.0999999999999996</v>
      </c>
      <c r="D411">
        <v>77.5</v>
      </c>
      <c r="E411">
        <v>5.8</v>
      </c>
      <c r="F411" t="s">
        <v>19</v>
      </c>
      <c r="G411" t="s">
        <v>14</v>
      </c>
      <c r="H411" t="s">
        <v>14</v>
      </c>
      <c r="I411" t="s">
        <v>14</v>
      </c>
      <c r="J411">
        <v>54.4</v>
      </c>
      <c r="K411">
        <v>78.099999999999994</v>
      </c>
      <c r="L411" t="s">
        <v>22</v>
      </c>
    </row>
    <row r="412" spans="1:12" x14ac:dyDescent="0.35">
      <c r="A412">
        <v>411</v>
      </c>
      <c r="B412" t="s">
        <v>12</v>
      </c>
      <c r="C412">
        <v>3.4</v>
      </c>
      <c r="D412">
        <v>81.8</v>
      </c>
      <c r="E412">
        <v>7.5</v>
      </c>
      <c r="F412" t="s">
        <v>18</v>
      </c>
      <c r="G412" t="s">
        <v>14</v>
      </c>
      <c r="H412" t="s">
        <v>15</v>
      </c>
      <c r="I412" t="s">
        <v>15</v>
      </c>
      <c r="J412">
        <v>64.900000000000006</v>
      </c>
      <c r="K412">
        <v>70.099999999999994</v>
      </c>
      <c r="L412" t="s">
        <v>22</v>
      </c>
    </row>
    <row r="413" spans="1:12" x14ac:dyDescent="0.35">
      <c r="A413">
        <v>412</v>
      </c>
      <c r="B413" t="s">
        <v>17</v>
      </c>
      <c r="C413">
        <v>4.5</v>
      </c>
      <c r="D413">
        <v>77</v>
      </c>
      <c r="E413">
        <v>4.7</v>
      </c>
      <c r="F413" t="s">
        <v>18</v>
      </c>
      <c r="G413" t="s">
        <v>14</v>
      </c>
      <c r="H413" t="s">
        <v>15</v>
      </c>
      <c r="I413" t="s">
        <v>15</v>
      </c>
      <c r="J413">
        <v>81.599999999999994</v>
      </c>
      <c r="K413">
        <v>90.2</v>
      </c>
      <c r="L413" t="s">
        <v>16</v>
      </c>
    </row>
    <row r="414" spans="1:12" x14ac:dyDescent="0.35">
      <c r="A414">
        <v>413</v>
      </c>
      <c r="B414" t="s">
        <v>17</v>
      </c>
      <c r="C414">
        <v>3.5</v>
      </c>
      <c r="D414">
        <v>95.8</v>
      </c>
      <c r="E414">
        <v>6.4</v>
      </c>
      <c r="F414" t="s">
        <v>23</v>
      </c>
      <c r="G414" t="s">
        <v>14</v>
      </c>
      <c r="H414" t="s">
        <v>14</v>
      </c>
      <c r="I414" t="s">
        <v>15</v>
      </c>
      <c r="J414">
        <v>85.6</v>
      </c>
      <c r="K414">
        <v>86.5</v>
      </c>
      <c r="L414" t="s">
        <v>20</v>
      </c>
    </row>
    <row r="415" spans="1:12" x14ac:dyDescent="0.35">
      <c r="A415">
        <v>414</v>
      </c>
      <c r="B415" t="s">
        <v>12</v>
      </c>
      <c r="C415">
        <v>3.5</v>
      </c>
      <c r="D415">
        <v>85.2</v>
      </c>
      <c r="E415">
        <v>7.2</v>
      </c>
      <c r="F415" t="s">
        <v>13</v>
      </c>
      <c r="G415" t="s">
        <v>14</v>
      </c>
      <c r="H415" t="s">
        <v>14</v>
      </c>
      <c r="I415" t="s">
        <v>15</v>
      </c>
      <c r="J415">
        <v>81.5</v>
      </c>
      <c r="K415">
        <v>93.5</v>
      </c>
      <c r="L415" t="s">
        <v>16</v>
      </c>
    </row>
    <row r="416" spans="1:12" x14ac:dyDescent="0.35">
      <c r="A416">
        <v>415</v>
      </c>
      <c r="B416" t="s">
        <v>12</v>
      </c>
      <c r="C416">
        <v>4.9000000000000004</v>
      </c>
      <c r="D416">
        <v>100</v>
      </c>
      <c r="E416">
        <v>7</v>
      </c>
      <c r="F416" t="s">
        <v>13</v>
      </c>
      <c r="G416" t="s">
        <v>15</v>
      </c>
      <c r="H416" t="s">
        <v>14</v>
      </c>
      <c r="I416" t="s">
        <v>14</v>
      </c>
      <c r="J416">
        <v>48.5</v>
      </c>
      <c r="K416">
        <v>83.3</v>
      </c>
      <c r="L416" t="s">
        <v>20</v>
      </c>
    </row>
    <row r="417" spans="1:12" x14ac:dyDescent="0.35">
      <c r="A417">
        <v>416</v>
      </c>
      <c r="B417" t="s">
        <v>12</v>
      </c>
      <c r="C417">
        <v>2.7</v>
      </c>
      <c r="D417">
        <v>84.4</v>
      </c>
      <c r="E417">
        <v>10</v>
      </c>
      <c r="F417" t="s">
        <v>13</v>
      </c>
      <c r="G417" t="s">
        <v>14</v>
      </c>
      <c r="H417" t="s">
        <v>15</v>
      </c>
      <c r="I417" t="s">
        <v>14</v>
      </c>
      <c r="J417">
        <v>83</v>
      </c>
      <c r="K417">
        <v>81.2</v>
      </c>
      <c r="L417" t="s">
        <v>20</v>
      </c>
    </row>
    <row r="418" spans="1:12" x14ac:dyDescent="0.35">
      <c r="A418">
        <v>417</v>
      </c>
      <c r="B418" t="s">
        <v>12</v>
      </c>
      <c r="C418">
        <v>3.6</v>
      </c>
      <c r="D418">
        <v>77.900000000000006</v>
      </c>
      <c r="E418">
        <v>7.2</v>
      </c>
      <c r="F418" t="s">
        <v>23</v>
      </c>
      <c r="G418" t="s">
        <v>15</v>
      </c>
      <c r="H418" t="s">
        <v>15</v>
      </c>
      <c r="I418" t="s">
        <v>15</v>
      </c>
      <c r="J418">
        <v>47.9</v>
      </c>
      <c r="K418">
        <v>76</v>
      </c>
      <c r="L418" t="s">
        <v>22</v>
      </c>
    </row>
    <row r="419" spans="1:12" x14ac:dyDescent="0.35">
      <c r="A419">
        <v>418</v>
      </c>
      <c r="B419" t="s">
        <v>17</v>
      </c>
      <c r="C419">
        <v>2.8</v>
      </c>
      <c r="D419">
        <v>69.900000000000006</v>
      </c>
      <c r="E419">
        <v>5.6</v>
      </c>
      <c r="F419" t="s">
        <v>18</v>
      </c>
      <c r="G419" t="s">
        <v>14</v>
      </c>
      <c r="H419" t="s">
        <v>14</v>
      </c>
      <c r="I419" t="s">
        <v>15</v>
      </c>
      <c r="J419">
        <v>80.8</v>
      </c>
      <c r="K419">
        <v>84.9</v>
      </c>
      <c r="L419" t="s">
        <v>20</v>
      </c>
    </row>
    <row r="420" spans="1:12" x14ac:dyDescent="0.35">
      <c r="A420">
        <v>419</v>
      </c>
      <c r="B420" t="s">
        <v>17</v>
      </c>
      <c r="C420">
        <v>2.8</v>
      </c>
      <c r="D420">
        <v>67</v>
      </c>
      <c r="E420">
        <v>6.7</v>
      </c>
      <c r="F420" t="s">
        <v>23</v>
      </c>
      <c r="G420" t="s">
        <v>14</v>
      </c>
      <c r="H420" t="s">
        <v>15</v>
      </c>
      <c r="I420" t="s">
        <v>15</v>
      </c>
      <c r="J420">
        <v>65.599999999999994</v>
      </c>
      <c r="K420">
        <v>79.2</v>
      </c>
      <c r="L420" t="s">
        <v>22</v>
      </c>
    </row>
    <row r="421" spans="1:12" x14ac:dyDescent="0.35">
      <c r="A421">
        <v>420</v>
      </c>
      <c r="B421" t="s">
        <v>17</v>
      </c>
      <c r="C421">
        <v>3</v>
      </c>
      <c r="D421">
        <v>69.2</v>
      </c>
      <c r="E421">
        <v>4.7</v>
      </c>
      <c r="F421" t="s">
        <v>13</v>
      </c>
      <c r="G421" t="s">
        <v>15</v>
      </c>
      <c r="H421" t="s">
        <v>15</v>
      </c>
      <c r="I421" t="s">
        <v>15</v>
      </c>
      <c r="J421">
        <v>78.400000000000006</v>
      </c>
      <c r="K421">
        <v>72.8</v>
      </c>
      <c r="L421" t="s">
        <v>22</v>
      </c>
    </row>
    <row r="422" spans="1:12" x14ac:dyDescent="0.35">
      <c r="A422">
        <v>421</v>
      </c>
      <c r="B422" t="s">
        <v>17</v>
      </c>
      <c r="C422">
        <v>3.8</v>
      </c>
      <c r="D422">
        <v>87.7</v>
      </c>
      <c r="E422">
        <v>6.7</v>
      </c>
      <c r="F422" t="s">
        <v>13</v>
      </c>
      <c r="G422" t="s">
        <v>14</v>
      </c>
      <c r="H422" t="s">
        <v>14</v>
      </c>
      <c r="I422" t="s">
        <v>14</v>
      </c>
      <c r="J422">
        <v>54</v>
      </c>
      <c r="K422">
        <v>69.900000000000006</v>
      </c>
      <c r="L422" t="s">
        <v>21</v>
      </c>
    </row>
    <row r="423" spans="1:12" x14ac:dyDescent="0.35">
      <c r="A423">
        <v>422</v>
      </c>
      <c r="B423" t="s">
        <v>17</v>
      </c>
      <c r="C423">
        <v>2.8</v>
      </c>
      <c r="D423">
        <v>90.1</v>
      </c>
      <c r="E423">
        <v>5.8</v>
      </c>
      <c r="F423" t="s">
        <v>13</v>
      </c>
      <c r="G423" t="s">
        <v>15</v>
      </c>
      <c r="H423" t="s">
        <v>14</v>
      </c>
      <c r="I423" t="s">
        <v>15</v>
      </c>
      <c r="J423">
        <v>84.1</v>
      </c>
      <c r="K423">
        <v>89.6</v>
      </c>
      <c r="L423" t="s">
        <v>20</v>
      </c>
    </row>
    <row r="424" spans="1:12" x14ac:dyDescent="0.35">
      <c r="A424">
        <v>423</v>
      </c>
      <c r="B424" t="s">
        <v>17</v>
      </c>
      <c r="C424">
        <v>5.4</v>
      </c>
      <c r="D424">
        <v>69.2</v>
      </c>
      <c r="E424">
        <v>7.9</v>
      </c>
      <c r="F424" t="s">
        <v>18</v>
      </c>
      <c r="G424" t="s">
        <v>14</v>
      </c>
      <c r="H424" t="s">
        <v>15</v>
      </c>
      <c r="I424" t="s">
        <v>14</v>
      </c>
      <c r="J424">
        <v>52.4</v>
      </c>
      <c r="K424">
        <v>77.3</v>
      </c>
      <c r="L424" t="s">
        <v>22</v>
      </c>
    </row>
    <row r="425" spans="1:12" x14ac:dyDescent="0.35">
      <c r="A425">
        <v>424</v>
      </c>
      <c r="B425" t="s">
        <v>12</v>
      </c>
      <c r="C425">
        <v>2.2000000000000002</v>
      </c>
      <c r="D425">
        <v>94</v>
      </c>
      <c r="E425">
        <v>6.1</v>
      </c>
      <c r="F425" t="s">
        <v>23</v>
      </c>
      <c r="G425" t="s">
        <v>15</v>
      </c>
      <c r="H425" t="s">
        <v>15</v>
      </c>
      <c r="I425" t="s">
        <v>15</v>
      </c>
      <c r="J425">
        <v>62</v>
      </c>
      <c r="K425">
        <v>64.599999999999994</v>
      </c>
      <c r="L425" t="s">
        <v>21</v>
      </c>
    </row>
    <row r="426" spans="1:12" x14ac:dyDescent="0.35">
      <c r="A426">
        <v>425</v>
      </c>
      <c r="B426" t="s">
        <v>17</v>
      </c>
      <c r="C426">
        <v>3.2</v>
      </c>
      <c r="D426">
        <v>80.2</v>
      </c>
      <c r="E426">
        <v>6.7</v>
      </c>
      <c r="F426" t="s">
        <v>13</v>
      </c>
      <c r="G426" t="s">
        <v>14</v>
      </c>
      <c r="H426" t="s">
        <v>15</v>
      </c>
      <c r="I426" t="s">
        <v>14</v>
      </c>
      <c r="J426">
        <v>58</v>
      </c>
      <c r="K426">
        <v>81.8</v>
      </c>
      <c r="L426" t="s">
        <v>20</v>
      </c>
    </row>
    <row r="427" spans="1:12" x14ac:dyDescent="0.35">
      <c r="A427">
        <v>426</v>
      </c>
      <c r="B427" t="s">
        <v>12</v>
      </c>
      <c r="C427">
        <v>2.8</v>
      </c>
      <c r="D427">
        <v>86.5</v>
      </c>
      <c r="E427">
        <v>6</v>
      </c>
      <c r="F427" t="s">
        <v>18</v>
      </c>
      <c r="G427" t="s">
        <v>14</v>
      </c>
      <c r="H427" t="s">
        <v>14</v>
      </c>
      <c r="I427" t="s">
        <v>15</v>
      </c>
      <c r="J427">
        <v>48.9</v>
      </c>
      <c r="K427">
        <v>86.2</v>
      </c>
      <c r="L427" t="s">
        <v>20</v>
      </c>
    </row>
    <row r="428" spans="1:12" x14ac:dyDescent="0.35">
      <c r="A428">
        <v>427</v>
      </c>
      <c r="B428" t="s">
        <v>12</v>
      </c>
      <c r="C428">
        <v>5.7</v>
      </c>
      <c r="D428">
        <v>100</v>
      </c>
      <c r="E428">
        <v>8.9</v>
      </c>
      <c r="F428" t="s">
        <v>13</v>
      </c>
      <c r="G428" t="s">
        <v>14</v>
      </c>
      <c r="H428" t="s">
        <v>14</v>
      </c>
      <c r="I428" t="s">
        <v>14</v>
      </c>
      <c r="J428">
        <v>71.099999999999994</v>
      </c>
      <c r="K428">
        <v>100</v>
      </c>
      <c r="L428" t="s">
        <v>16</v>
      </c>
    </row>
    <row r="429" spans="1:12" x14ac:dyDescent="0.35">
      <c r="A429">
        <v>428</v>
      </c>
      <c r="B429" t="s">
        <v>17</v>
      </c>
      <c r="C429">
        <v>3.8</v>
      </c>
      <c r="D429">
        <v>94</v>
      </c>
      <c r="E429">
        <v>6.4</v>
      </c>
      <c r="F429" t="s">
        <v>19</v>
      </c>
      <c r="G429" t="s">
        <v>14</v>
      </c>
      <c r="H429" t="s">
        <v>14</v>
      </c>
      <c r="I429" t="s">
        <v>15</v>
      </c>
      <c r="J429">
        <v>91.7</v>
      </c>
      <c r="K429">
        <v>100</v>
      </c>
      <c r="L429" t="s">
        <v>16</v>
      </c>
    </row>
    <row r="430" spans="1:12" x14ac:dyDescent="0.35">
      <c r="A430">
        <v>429</v>
      </c>
      <c r="B430" t="s">
        <v>12</v>
      </c>
      <c r="C430">
        <v>5</v>
      </c>
      <c r="D430">
        <v>82.3</v>
      </c>
      <c r="E430">
        <v>9</v>
      </c>
      <c r="F430" t="s">
        <v>13</v>
      </c>
      <c r="G430" t="s">
        <v>14</v>
      </c>
      <c r="H430" t="s">
        <v>14</v>
      </c>
      <c r="I430" t="s">
        <v>15</v>
      </c>
      <c r="J430">
        <v>100</v>
      </c>
      <c r="K430">
        <v>100</v>
      </c>
      <c r="L430" t="s">
        <v>16</v>
      </c>
    </row>
    <row r="431" spans="1:12" x14ac:dyDescent="0.35">
      <c r="A431">
        <v>430</v>
      </c>
      <c r="B431" t="s">
        <v>17</v>
      </c>
      <c r="C431">
        <v>1.3</v>
      </c>
      <c r="D431">
        <v>76.099999999999994</v>
      </c>
      <c r="E431">
        <v>7.8</v>
      </c>
      <c r="F431" t="s">
        <v>19</v>
      </c>
      <c r="G431" t="s">
        <v>14</v>
      </c>
      <c r="H431" t="s">
        <v>14</v>
      </c>
      <c r="I431" t="s">
        <v>15</v>
      </c>
      <c r="J431">
        <v>71.2</v>
      </c>
      <c r="K431">
        <v>72</v>
      </c>
      <c r="L431" t="s">
        <v>22</v>
      </c>
    </row>
    <row r="432" spans="1:12" x14ac:dyDescent="0.35">
      <c r="A432">
        <v>431</v>
      </c>
      <c r="B432" t="s">
        <v>12</v>
      </c>
      <c r="C432">
        <v>3.9</v>
      </c>
      <c r="D432">
        <v>63.5</v>
      </c>
      <c r="E432">
        <v>7.4</v>
      </c>
      <c r="F432" t="s">
        <v>18</v>
      </c>
      <c r="G432" t="s">
        <v>14</v>
      </c>
      <c r="H432" t="s">
        <v>15</v>
      </c>
      <c r="I432" t="s">
        <v>15</v>
      </c>
      <c r="J432">
        <v>83.4</v>
      </c>
      <c r="K432">
        <v>81.2</v>
      </c>
      <c r="L432" t="s">
        <v>20</v>
      </c>
    </row>
    <row r="433" spans="1:12" x14ac:dyDescent="0.35">
      <c r="A433">
        <v>432</v>
      </c>
      <c r="B433" t="s">
        <v>17</v>
      </c>
      <c r="C433">
        <v>4.8</v>
      </c>
      <c r="D433">
        <v>77.8</v>
      </c>
      <c r="E433">
        <v>7.2</v>
      </c>
      <c r="F433" t="s">
        <v>18</v>
      </c>
      <c r="G433" t="s">
        <v>14</v>
      </c>
      <c r="H433" t="s">
        <v>14</v>
      </c>
      <c r="I433" t="s">
        <v>15</v>
      </c>
      <c r="J433">
        <v>72.8</v>
      </c>
      <c r="K433">
        <v>100</v>
      </c>
      <c r="L433" t="s">
        <v>16</v>
      </c>
    </row>
    <row r="434" spans="1:12" x14ac:dyDescent="0.35">
      <c r="A434">
        <v>433</v>
      </c>
      <c r="B434" t="s">
        <v>12</v>
      </c>
      <c r="C434">
        <v>3.6</v>
      </c>
      <c r="D434">
        <v>82.9</v>
      </c>
      <c r="E434">
        <v>7.3</v>
      </c>
      <c r="F434" t="s">
        <v>18</v>
      </c>
      <c r="G434" t="s">
        <v>14</v>
      </c>
      <c r="H434" t="s">
        <v>15</v>
      </c>
      <c r="I434" t="s">
        <v>14</v>
      </c>
      <c r="J434">
        <v>76</v>
      </c>
      <c r="K434">
        <v>79.7</v>
      </c>
      <c r="L434" t="s">
        <v>22</v>
      </c>
    </row>
    <row r="435" spans="1:12" x14ac:dyDescent="0.35">
      <c r="A435">
        <v>434</v>
      </c>
      <c r="B435" t="s">
        <v>17</v>
      </c>
      <c r="C435">
        <v>5.0999999999999996</v>
      </c>
      <c r="D435">
        <v>75.099999999999994</v>
      </c>
      <c r="E435">
        <v>4.5</v>
      </c>
      <c r="F435" t="s">
        <v>13</v>
      </c>
      <c r="G435" t="s">
        <v>14</v>
      </c>
      <c r="H435" t="s">
        <v>14</v>
      </c>
      <c r="I435" t="s">
        <v>15</v>
      </c>
      <c r="J435">
        <v>65.900000000000006</v>
      </c>
      <c r="K435">
        <v>89.4</v>
      </c>
      <c r="L435" t="s">
        <v>20</v>
      </c>
    </row>
    <row r="436" spans="1:12" x14ac:dyDescent="0.35">
      <c r="A436">
        <v>435</v>
      </c>
      <c r="B436" t="s">
        <v>17</v>
      </c>
      <c r="C436">
        <v>2.7</v>
      </c>
      <c r="D436">
        <v>83.7</v>
      </c>
      <c r="E436">
        <v>6.5</v>
      </c>
      <c r="F436" t="s">
        <v>18</v>
      </c>
      <c r="G436" t="s">
        <v>14</v>
      </c>
      <c r="H436" t="s">
        <v>15</v>
      </c>
      <c r="I436" t="s">
        <v>15</v>
      </c>
      <c r="J436">
        <v>72.3</v>
      </c>
      <c r="K436">
        <v>77.8</v>
      </c>
      <c r="L436" t="s">
        <v>22</v>
      </c>
    </row>
    <row r="437" spans="1:12" x14ac:dyDescent="0.35">
      <c r="A437">
        <v>436</v>
      </c>
      <c r="B437" t="s">
        <v>17</v>
      </c>
      <c r="C437">
        <v>5.6</v>
      </c>
      <c r="D437">
        <v>85.8</v>
      </c>
      <c r="E437">
        <v>7.8</v>
      </c>
      <c r="F437" t="s">
        <v>18</v>
      </c>
      <c r="G437" t="s">
        <v>14</v>
      </c>
      <c r="H437" t="s">
        <v>14</v>
      </c>
      <c r="I437" t="s">
        <v>14</v>
      </c>
      <c r="J437">
        <v>76.400000000000006</v>
      </c>
      <c r="K437">
        <v>93.4</v>
      </c>
      <c r="L437" t="s">
        <v>16</v>
      </c>
    </row>
    <row r="438" spans="1:12" x14ac:dyDescent="0.35">
      <c r="A438">
        <v>437</v>
      </c>
      <c r="B438" t="s">
        <v>17</v>
      </c>
      <c r="C438">
        <v>6.9</v>
      </c>
      <c r="D438">
        <v>82.8</v>
      </c>
      <c r="E438">
        <v>6.7</v>
      </c>
      <c r="F438" t="s">
        <v>19</v>
      </c>
      <c r="G438" t="s">
        <v>14</v>
      </c>
      <c r="H438" t="s">
        <v>14</v>
      </c>
      <c r="I438" t="s">
        <v>14</v>
      </c>
      <c r="J438">
        <v>63.1</v>
      </c>
      <c r="K438">
        <v>100</v>
      </c>
      <c r="L438" t="s">
        <v>16</v>
      </c>
    </row>
    <row r="439" spans="1:12" x14ac:dyDescent="0.35">
      <c r="A439">
        <v>438</v>
      </c>
      <c r="B439" t="s">
        <v>17</v>
      </c>
      <c r="C439">
        <v>3</v>
      </c>
      <c r="D439">
        <v>78.5</v>
      </c>
      <c r="E439">
        <v>5.0999999999999996</v>
      </c>
      <c r="F439" t="s">
        <v>23</v>
      </c>
      <c r="G439" t="s">
        <v>14</v>
      </c>
      <c r="H439" t="s">
        <v>14</v>
      </c>
      <c r="I439" t="s">
        <v>15</v>
      </c>
      <c r="J439">
        <v>69.099999999999994</v>
      </c>
      <c r="K439">
        <v>76.5</v>
      </c>
      <c r="L439" t="s">
        <v>22</v>
      </c>
    </row>
    <row r="440" spans="1:12" x14ac:dyDescent="0.35">
      <c r="A440">
        <v>439</v>
      </c>
      <c r="B440" t="s">
        <v>12</v>
      </c>
      <c r="C440">
        <v>2.8</v>
      </c>
      <c r="D440">
        <v>86.7</v>
      </c>
      <c r="E440">
        <v>6.7</v>
      </c>
      <c r="F440" t="s">
        <v>23</v>
      </c>
      <c r="G440" t="s">
        <v>14</v>
      </c>
      <c r="H440" t="s">
        <v>15</v>
      </c>
      <c r="I440" t="s">
        <v>15</v>
      </c>
      <c r="J440">
        <v>69.3</v>
      </c>
      <c r="K440">
        <v>79.3</v>
      </c>
      <c r="L440" t="s">
        <v>22</v>
      </c>
    </row>
    <row r="441" spans="1:12" x14ac:dyDescent="0.35">
      <c r="A441">
        <v>440</v>
      </c>
      <c r="B441" t="s">
        <v>12</v>
      </c>
      <c r="C441">
        <v>5.7</v>
      </c>
      <c r="D441">
        <v>89.4</v>
      </c>
      <c r="E441">
        <v>8.8000000000000007</v>
      </c>
      <c r="F441" t="s">
        <v>18</v>
      </c>
      <c r="G441" t="s">
        <v>15</v>
      </c>
      <c r="H441" t="s">
        <v>15</v>
      </c>
      <c r="I441" t="s">
        <v>15</v>
      </c>
      <c r="J441">
        <v>79.900000000000006</v>
      </c>
      <c r="K441">
        <v>100</v>
      </c>
      <c r="L441" t="s">
        <v>16</v>
      </c>
    </row>
    <row r="442" spans="1:12" x14ac:dyDescent="0.35">
      <c r="A442">
        <v>441</v>
      </c>
      <c r="B442" t="s">
        <v>12</v>
      </c>
      <c r="C442">
        <v>5.9</v>
      </c>
      <c r="D442">
        <v>74.099999999999994</v>
      </c>
      <c r="E442">
        <v>8.3000000000000007</v>
      </c>
      <c r="F442" t="s">
        <v>18</v>
      </c>
      <c r="G442" t="s">
        <v>14</v>
      </c>
      <c r="H442" t="s">
        <v>14</v>
      </c>
      <c r="I442" t="s">
        <v>15</v>
      </c>
      <c r="J442">
        <v>57.2</v>
      </c>
      <c r="K442">
        <v>98.9</v>
      </c>
      <c r="L442" t="s">
        <v>16</v>
      </c>
    </row>
    <row r="443" spans="1:12" x14ac:dyDescent="0.35">
      <c r="A443">
        <v>442</v>
      </c>
      <c r="B443" t="s">
        <v>17</v>
      </c>
      <c r="C443">
        <v>2.7</v>
      </c>
      <c r="D443">
        <v>99.1</v>
      </c>
      <c r="E443">
        <v>6.7</v>
      </c>
      <c r="F443" t="s">
        <v>18</v>
      </c>
      <c r="G443" t="s">
        <v>14</v>
      </c>
      <c r="H443" t="s">
        <v>14</v>
      </c>
      <c r="I443" t="s">
        <v>14</v>
      </c>
      <c r="J443">
        <v>69.400000000000006</v>
      </c>
      <c r="K443">
        <v>87.5</v>
      </c>
      <c r="L443" t="s">
        <v>20</v>
      </c>
    </row>
    <row r="444" spans="1:12" x14ac:dyDescent="0.35">
      <c r="A444">
        <v>443</v>
      </c>
      <c r="B444" t="s">
        <v>12</v>
      </c>
      <c r="C444">
        <v>2.9</v>
      </c>
      <c r="D444">
        <v>84</v>
      </c>
      <c r="E444">
        <v>7.9</v>
      </c>
      <c r="F444" t="s">
        <v>23</v>
      </c>
      <c r="G444" t="s">
        <v>14</v>
      </c>
      <c r="H444" t="s">
        <v>15</v>
      </c>
      <c r="I444" t="s">
        <v>14</v>
      </c>
      <c r="J444">
        <v>92.9</v>
      </c>
      <c r="K444">
        <v>85.2</v>
      </c>
      <c r="L444" t="s">
        <v>20</v>
      </c>
    </row>
    <row r="445" spans="1:12" x14ac:dyDescent="0.35">
      <c r="A445">
        <v>444</v>
      </c>
      <c r="B445" t="s">
        <v>17</v>
      </c>
      <c r="C445">
        <v>3.1</v>
      </c>
      <c r="D445">
        <v>85.2</v>
      </c>
      <c r="E445">
        <v>6.4</v>
      </c>
      <c r="F445" t="s">
        <v>19</v>
      </c>
      <c r="G445" t="s">
        <v>14</v>
      </c>
      <c r="H445" t="s">
        <v>14</v>
      </c>
      <c r="I445" t="s">
        <v>15</v>
      </c>
      <c r="J445">
        <v>84</v>
      </c>
      <c r="K445">
        <v>86</v>
      </c>
      <c r="L445" t="s">
        <v>20</v>
      </c>
    </row>
    <row r="446" spans="1:12" x14ac:dyDescent="0.35">
      <c r="A446">
        <v>445</v>
      </c>
      <c r="B446" t="s">
        <v>17</v>
      </c>
      <c r="C446">
        <v>1.5</v>
      </c>
      <c r="D446">
        <v>92.1</v>
      </c>
      <c r="E446">
        <v>4.8</v>
      </c>
      <c r="F446" t="s">
        <v>13</v>
      </c>
      <c r="G446" t="s">
        <v>14</v>
      </c>
      <c r="H446" t="s">
        <v>14</v>
      </c>
      <c r="I446" t="s">
        <v>14</v>
      </c>
      <c r="J446">
        <v>86.2</v>
      </c>
      <c r="K446">
        <v>80.7</v>
      </c>
      <c r="L446" t="s">
        <v>20</v>
      </c>
    </row>
    <row r="447" spans="1:12" x14ac:dyDescent="0.35">
      <c r="A447">
        <v>446</v>
      </c>
      <c r="B447" t="s">
        <v>12</v>
      </c>
      <c r="C447">
        <v>2.1</v>
      </c>
      <c r="D447">
        <v>87.3</v>
      </c>
      <c r="E447">
        <v>5.7</v>
      </c>
      <c r="F447" t="s">
        <v>18</v>
      </c>
      <c r="G447" t="s">
        <v>14</v>
      </c>
      <c r="H447" t="s">
        <v>15</v>
      </c>
      <c r="I447" t="s">
        <v>15</v>
      </c>
      <c r="J447">
        <v>70.3</v>
      </c>
      <c r="K447">
        <v>79.900000000000006</v>
      </c>
      <c r="L447" t="s">
        <v>22</v>
      </c>
    </row>
    <row r="448" spans="1:12" x14ac:dyDescent="0.35">
      <c r="A448">
        <v>447</v>
      </c>
      <c r="B448" t="s">
        <v>12</v>
      </c>
      <c r="C448">
        <v>2</v>
      </c>
      <c r="D448">
        <v>94.5</v>
      </c>
      <c r="E448">
        <v>8.6999999999999993</v>
      </c>
      <c r="F448" t="s">
        <v>13</v>
      </c>
      <c r="G448" t="s">
        <v>14</v>
      </c>
      <c r="H448" t="s">
        <v>15</v>
      </c>
      <c r="I448" t="s">
        <v>15</v>
      </c>
      <c r="J448">
        <v>73.900000000000006</v>
      </c>
      <c r="K448">
        <v>79.099999999999994</v>
      </c>
      <c r="L448" t="s">
        <v>22</v>
      </c>
    </row>
    <row r="449" spans="1:12" x14ac:dyDescent="0.35">
      <c r="A449">
        <v>448</v>
      </c>
      <c r="B449" t="s">
        <v>17</v>
      </c>
      <c r="C449">
        <v>2.2999999999999998</v>
      </c>
      <c r="D449">
        <v>87.9</v>
      </c>
      <c r="E449">
        <v>6.5</v>
      </c>
      <c r="F449" t="s">
        <v>18</v>
      </c>
      <c r="G449" t="s">
        <v>14</v>
      </c>
      <c r="H449" t="s">
        <v>14</v>
      </c>
      <c r="I449" t="s">
        <v>14</v>
      </c>
      <c r="J449">
        <v>82</v>
      </c>
      <c r="K449">
        <v>87.1</v>
      </c>
      <c r="L449" t="s">
        <v>20</v>
      </c>
    </row>
    <row r="450" spans="1:12" x14ac:dyDescent="0.35">
      <c r="A450">
        <v>449</v>
      </c>
      <c r="B450" t="s">
        <v>12</v>
      </c>
      <c r="C450">
        <v>3.4</v>
      </c>
      <c r="D450">
        <v>78.900000000000006</v>
      </c>
      <c r="E450">
        <v>6.5</v>
      </c>
      <c r="F450" t="s">
        <v>13</v>
      </c>
      <c r="G450" t="s">
        <v>14</v>
      </c>
      <c r="H450" t="s">
        <v>14</v>
      </c>
      <c r="I450" t="s">
        <v>15</v>
      </c>
      <c r="J450">
        <v>88.7</v>
      </c>
      <c r="K450">
        <v>90.7</v>
      </c>
      <c r="L450" t="s">
        <v>16</v>
      </c>
    </row>
    <row r="451" spans="1:12" x14ac:dyDescent="0.35">
      <c r="A451">
        <v>450</v>
      </c>
      <c r="B451" t="s">
        <v>17</v>
      </c>
      <c r="C451">
        <v>3.9</v>
      </c>
      <c r="D451">
        <v>88.6</v>
      </c>
      <c r="E451">
        <v>6.4</v>
      </c>
      <c r="F451" t="s">
        <v>13</v>
      </c>
      <c r="G451" t="s">
        <v>14</v>
      </c>
      <c r="H451" t="s">
        <v>15</v>
      </c>
      <c r="I451" t="s">
        <v>14</v>
      </c>
      <c r="J451">
        <v>46.6</v>
      </c>
      <c r="K451">
        <v>64.599999999999994</v>
      </c>
      <c r="L451" t="s">
        <v>21</v>
      </c>
    </row>
    <row r="452" spans="1:12" x14ac:dyDescent="0.35">
      <c r="A452">
        <v>451</v>
      </c>
      <c r="B452" t="s">
        <v>17</v>
      </c>
      <c r="C452">
        <v>5.8</v>
      </c>
      <c r="D452">
        <v>73.599999999999994</v>
      </c>
      <c r="E452">
        <v>9.1</v>
      </c>
      <c r="F452" t="s">
        <v>23</v>
      </c>
      <c r="G452" t="s">
        <v>15</v>
      </c>
      <c r="H452" t="s">
        <v>14</v>
      </c>
      <c r="I452" t="s">
        <v>15</v>
      </c>
      <c r="J452">
        <v>54.2</v>
      </c>
      <c r="K452">
        <v>77.900000000000006</v>
      </c>
      <c r="L452" t="s">
        <v>22</v>
      </c>
    </row>
    <row r="453" spans="1:12" x14ac:dyDescent="0.35">
      <c r="A453">
        <v>452</v>
      </c>
      <c r="B453" t="s">
        <v>17</v>
      </c>
      <c r="C453">
        <v>2</v>
      </c>
      <c r="D453">
        <v>86.1</v>
      </c>
      <c r="E453">
        <v>8.8000000000000007</v>
      </c>
      <c r="F453" t="s">
        <v>18</v>
      </c>
      <c r="G453" t="s">
        <v>14</v>
      </c>
      <c r="H453" t="s">
        <v>14</v>
      </c>
      <c r="I453" t="s">
        <v>14</v>
      </c>
      <c r="J453">
        <v>85.7</v>
      </c>
      <c r="K453">
        <v>82</v>
      </c>
      <c r="L453" t="s">
        <v>20</v>
      </c>
    </row>
    <row r="454" spans="1:12" x14ac:dyDescent="0.35">
      <c r="A454">
        <v>453</v>
      </c>
      <c r="B454" t="s">
        <v>17</v>
      </c>
      <c r="C454">
        <v>5</v>
      </c>
      <c r="D454">
        <v>84.7</v>
      </c>
      <c r="E454">
        <v>9.5</v>
      </c>
      <c r="F454" t="s">
        <v>18</v>
      </c>
      <c r="G454" t="s">
        <v>14</v>
      </c>
      <c r="H454" t="s">
        <v>15</v>
      </c>
      <c r="I454" t="s">
        <v>15</v>
      </c>
      <c r="J454">
        <v>66.7</v>
      </c>
      <c r="K454">
        <v>92.8</v>
      </c>
      <c r="L454" t="s">
        <v>16</v>
      </c>
    </row>
    <row r="455" spans="1:12" x14ac:dyDescent="0.35">
      <c r="A455">
        <v>454</v>
      </c>
      <c r="B455" t="s">
        <v>17</v>
      </c>
      <c r="C455">
        <v>3.2</v>
      </c>
      <c r="D455">
        <v>82.9</v>
      </c>
      <c r="E455">
        <v>6.6</v>
      </c>
      <c r="F455" t="s">
        <v>19</v>
      </c>
      <c r="G455" t="s">
        <v>15</v>
      </c>
      <c r="H455" t="s">
        <v>15</v>
      </c>
      <c r="I455" t="s">
        <v>15</v>
      </c>
      <c r="J455">
        <v>61.9</v>
      </c>
      <c r="K455">
        <v>85.4</v>
      </c>
      <c r="L455" t="s">
        <v>20</v>
      </c>
    </row>
    <row r="456" spans="1:12" x14ac:dyDescent="0.35">
      <c r="A456">
        <v>455</v>
      </c>
      <c r="B456" t="s">
        <v>12</v>
      </c>
      <c r="C456">
        <v>3.4</v>
      </c>
      <c r="D456">
        <v>83.7</v>
      </c>
      <c r="E456">
        <v>7.2</v>
      </c>
      <c r="F456" t="s">
        <v>18</v>
      </c>
      <c r="G456" t="s">
        <v>14</v>
      </c>
      <c r="H456" t="s">
        <v>14</v>
      </c>
      <c r="I456" t="s">
        <v>15</v>
      </c>
      <c r="J456">
        <v>55</v>
      </c>
      <c r="K456">
        <v>80.7</v>
      </c>
      <c r="L456" t="s">
        <v>20</v>
      </c>
    </row>
    <row r="457" spans="1:12" x14ac:dyDescent="0.35">
      <c r="A457">
        <v>456</v>
      </c>
      <c r="B457" t="s">
        <v>12</v>
      </c>
      <c r="C457">
        <v>4.5</v>
      </c>
      <c r="D457">
        <v>66.2</v>
      </c>
      <c r="E457">
        <v>5</v>
      </c>
      <c r="F457" t="s">
        <v>18</v>
      </c>
      <c r="G457" t="s">
        <v>14</v>
      </c>
      <c r="H457" t="s">
        <v>15</v>
      </c>
      <c r="I457" t="s">
        <v>15</v>
      </c>
      <c r="J457">
        <v>63.3</v>
      </c>
      <c r="K457">
        <v>72.7</v>
      </c>
      <c r="L457" t="s">
        <v>22</v>
      </c>
    </row>
    <row r="458" spans="1:12" x14ac:dyDescent="0.35">
      <c r="A458">
        <v>457</v>
      </c>
      <c r="B458" t="s">
        <v>17</v>
      </c>
      <c r="C458">
        <v>1.8</v>
      </c>
      <c r="D458">
        <v>79.5</v>
      </c>
      <c r="E458">
        <v>8.6</v>
      </c>
      <c r="F458" t="s">
        <v>18</v>
      </c>
      <c r="G458" t="s">
        <v>14</v>
      </c>
      <c r="H458" t="s">
        <v>15</v>
      </c>
      <c r="I458" t="s">
        <v>14</v>
      </c>
      <c r="J458">
        <v>53.2</v>
      </c>
      <c r="K458">
        <v>68.8</v>
      </c>
      <c r="L458" t="s">
        <v>21</v>
      </c>
    </row>
    <row r="459" spans="1:12" x14ac:dyDescent="0.35">
      <c r="A459">
        <v>458</v>
      </c>
      <c r="B459" t="s">
        <v>17</v>
      </c>
      <c r="C459">
        <v>4.0999999999999996</v>
      </c>
      <c r="D459">
        <v>85.9</v>
      </c>
      <c r="E459">
        <v>5.4</v>
      </c>
      <c r="F459" t="s">
        <v>18</v>
      </c>
      <c r="G459" t="s">
        <v>15</v>
      </c>
      <c r="H459" t="s">
        <v>14</v>
      </c>
      <c r="I459" t="s">
        <v>15</v>
      </c>
      <c r="J459">
        <v>95.1</v>
      </c>
      <c r="K459">
        <v>89.9</v>
      </c>
      <c r="L459" t="s">
        <v>20</v>
      </c>
    </row>
    <row r="460" spans="1:12" x14ac:dyDescent="0.35">
      <c r="A460">
        <v>459</v>
      </c>
      <c r="B460" t="s">
        <v>12</v>
      </c>
      <c r="C460">
        <v>3.7</v>
      </c>
      <c r="D460">
        <v>86.6</v>
      </c>
      <c r="E460">
        <v>7.1</v>
      </c>
      <c r="F460" t="s">
        <v>13</v>
      </c>
      <c r="G460" t="s">
        <v>15</v>
      </c>
      <c r="H460" t="s">
        <v>15</v>
      </c>
      <c r="I460" t="s">
        <v>15</v>
      </c>
      <c r="J460">
        <v>69.7</v>
      </c>
      <c r="K460">
        <v>83.3</v>
      </c>
      <c r="L460" t="s">
        <v>20</v>
      </c>
    </row>
    <row r="461" spans="1:12" x14ac:dyDescent="0.35">
      <c r="A461">
        <v>460</v>
      </c>
      <c r="B461" t="s">
        <v>12</v>
      </c>
      <c r="C461">
        <v>4.2</v>
      </c>
      <c r="D461">
        <v>74.7</v>
      </c>
      <c r="E461">
        <v>5.5</v>
      </c>
      <c r="F461" t="s">
        <v>23</v>
      </c>
      <c r="G461" t="s">
        <v>14</v>
      </c>
      <c r="H461" t="s">
        <v>14</v>
      </c>
      <c r="I461" t="s">
        <v>15</v>
      </c>
      <c r="J461">
        <v>69.3</v>
      </c>
      <c r="K461">
        <v>86.8</v>
      </c>
      <c r="L461" t="s">
        <v>20</v>
      </c>
    </row>
    <row r="462" spans="1:12" x14ac:dyDescent="0.35">
      <c r="A462">
        <v>461</v>
      </c>
      <c r="B462" t="s">
        <v>17</v>
      </c>
      <c r="C462">
        <v>3.9</v>
      </c>
      <c r="D462">
        <v>97.7</v>
      </c>
      <c r="E462">
        <v>6.1</v>
      </c>
      <c r="F462" t="s">
        <v>18</v>
      </c>
      <c r="G462" t="s">
        <v>14</v>
      </c>
      <c r="H462" t="s">
        <v>14</v>
      </c>
      <c r="I462" t="s">
        <v>14</v>
      </c>
      <c r="J462">
        <v>77.099999999999994</v>
      </c>
      <c r="K462">
        <v>98.2</v>
      </c>
      <c r="L462" t="s">
        <v>16</v>
      </c>
    </row>
    <row r="463" spans="1:12" x14ac:dyDescent="0.35">
      <c r="A463">
        <v>462</v>
      </c>
      <c r="B463" t="s">
        <v>12</v>
      </c>
      <c r="C463">
        <v>7.2</v>
      </c>
      <c r="D463">
        <v>76.3</v>
      </c>
      <c r="E463">
        <v>5.8</v>
      </c>
      <c r="F463" t="s">
        <v>13</v>
      </c>
      <c r="G463" t="s">
        <v>14</v>
      </c>
      <c r="H463" t="s">
        <v>15</v>
      </c>
      <c r="I463" t="s">
        <v>15</v>
      </c>
      <c r="J463">
        <v>81.5</v>
      </c>
      <c r="K463">
        <v>100</v>
      </c>
      <c r="L463" t="s">
        <v>16</v>
      </c>
    </row>
    <row r="464" spans="1:12" x14ac:dyDescent="0.35">
      <c r="A464">
        <v>463</v>
      </c>
      <c r="B464" t="s">
        <v>17</v>
      </c>
      <c r="C464">
        <v>2.5</v>
      </c>
      <c r="D464">
        <v>94.7</v>
      </c>
      <c r="E464">
        <v>6.1</v>
      </c>
      <c r="F464" t="s">
        <v>23</v>
      </c>
      <c r="G464" t="s">
        <v>14</v>
      </c>
      <c r="H464" t="s">
        <v>14</v>
      </c>
      <c r="I464" t="s">
        <v>14</v>
      </c>
      <c r="J464">
        <v>81.400000000000006</v>
      </c>
      <c r="K464">
        <v>95.1</v>
      </c>
      <c r="L464" t="s">
        <v>16</v>
      </c>
    </row>
    <row r="465" spans="1:12" x14ac:dyDescent="0.35">
      <c r="A465">
        <v>464</v>
      </c>
      <c r="B465" t="s">
        <v>12</v>
      </c>
      <c r="C465">
        <v>2.7</v>
      </c>
      <c r="D465">
        <v>89.3</v>
      </c>
      <c r="E465">
        <v>6.2</v>
      </c>
      <c r="F465" t="s">
        <v>13</v>
      </c>
      <c r="G465" t="s">
        <v>14</v>
      </c>
      <c r="H465" t="s">
        <v>14</v>
      </c>
      <c r="I465" t="s">
        <v>15</v>
      </c>
      <c r="J465">
        <v>82.9</v>
      </c>
      <c r="K465">
        <v>93.5</v>
      </c>
      <c r="L465" t="s">
        <v>16</v>
      </c>
    </row>
    <row r="466" spans="1:12" x14ac:dyDescent="0.35">
      <c r="A466">
        <v>465</v>
      </c>
      <c r="B466" t="s">
        <v>17</v>
      </c>
      <c r="C466">
        <v>2.6</v>
      </c>
      <c r="D466">
        <v>78.5</v>
      </c>
      <c r="E466">
        <v>6.1</v>
      </c>
      <c r="F466" t="s">
        <v>24</v>
      </c>
      <c r="G466" t="s">
        <v>15</v>
      </c>
      <c r="H466" t="s">
        <v>14</v>
      </c>
      <c r="I466" t="s">
        <v>14</v>
      </c>
      <c r="J466">
        <v>62.4</v>
      </c>
      <c r="K466">
        <v>63.2</v>
      </c>
      <c r="L466" t="s">
        <v>21</v>
      </c>
    </row>
    <row r="467" spans="1:12" x14ac:dyDescent="0.35">
      <c r="A467">
        <v>466</v>
      </c>
      <c r="B467" t="s">
        <v>12</v>
      </c>
      <c r="C467">
        <v>2.7</v>
      </c>
      <c r="D467">
        <v>100</v>
      </c>
      <c r="E467">
        <v>7.8</v>
      </c>
      <c r="F467" t="s">
        <v>24</v>
      </c>
      <c r="G467" t="s">
        <v>14</v>
      </c>
      <c r="H467" t="s">
        <v>14</v>
      </c>
      <c r="I467" t="s">
        <v>15</v>
      </c>
      <c r="J467">
        <v>66.400000000000006</v>
      </c>
      <c r="K467">
        <v>100</v>
      </c>
      <c r="L467" t="s">
        <v>16</v>
      </c>
    </row>
    <row r="468" spans="1:12" x14ac:dyDescent="0.35">
      <c r="A468">
        <v>467</v>
      </c>
      <c r="B468" t="s">
        <v>17</v>
      </c>
      <c r="C468">
        <v>2.5</v>
      </c>
      <c r="D468">
        <v>73.099999999999994</v>
      </c>
      <c r="E468">
        <v>5.5</v>
      </c>
      <c r="F468" t="s">
        <v>18</v>
      </c>
      <c r="G468" t="s">
        <v>14</v>
      </c>
      <c r="H468" t="s">
        <v>15</v>
      </c>
      <c r="I468" t="s">
        <v>14</v>
      </c>
      <c r="J468">
        <v>79.2</v>
      </c>
      <c r="K468">
        <v>77.099999999999994</v>
      </c>
      <c r="L468" t="s">
        <v>22</v>
      </c>
    </row>
    <row r="469" spans="1:12" x14ac:dyDescent="0.35">
      <c r="A469">
        <v>468</v>
      </c>
      <c r="B469" t="s">
        <v>12</v>
      </c>
      <c r="C469">
        <v>5.3</v>
      </c>
      <c r="D469">
        <v>94.2</v>
      </c>
      <c r="E469">
        <v>7.1</v>
      </c>
      <c r="F469" t="s">
        <v>23</v>
      </c>
      <c r="G469" t="s">
        <v>14</v>
      </c>
      <c r="H469" t="s">
        <v>15</v>
      </c>
      <c r="I469" t="s">
        <v>15</v>
      </c>
      <c r="J469">
        <v>63.7</v>
      </c>
      <c r="K469">
        <v>88.8</v>
      </c>
      <c r="L469" t="s">
        <v>20</v>
      </c>
    </row>
    <row r="470" spans="1:12" x14ac:dyDescent="0.35">
      <c r="A470">
        <v>469</v>
      </c>
      <c r="B470" t="s">
        <v>12</v>
      </c>
      <c r="C470">
        <v>5.6</v>
      </c>
      <c r="D470">
        <v>95</v>
      </c>
      <c r="E470">
        <v>8.3000000000000007</v>
      </c>
      <c r="F470" t="s">
        <v>13</v>
      </c>
      <c r="G470" t="s">
        <v>14</v>
      </c>
      <c r="H470" t="s">
        <v>15</v>
      </c>
      <c r="I470" t="s">
        <v>15</v>
      </c>
      <c r="J470">
        <v>69.900000000000006</v>
      </c>
      <c r="K470">
        <v>100</v>
      </c>
      <c r="L470" t="s">
        <v>16</v>
      </c>
    </row>
    <row r="471" spans="1:12" x14ac:dyDescent="0.35">
      <c r="A471">
        <v>470</v>
      </c>
      <c r="B471" t="s">
        <v>17</v>
      </c>
      <c r="C471">
        <v>2.6</v>
      </c>
      <c r="D471">
        <v>78.3</v>
      </c>
      <c r="E471">
        <v>6.2</v>
      </c>
      <c r="F471" t="s">
        <v>19</v>
      </c>
      <c r="G471" t="s">
        <v>14</v>
      </c>
      <c r="H471" t="s">
        <v>14</v>
      </c>
      <c r="I471" t="s">
        <v>14</v>
      </c>
      <c r="J471">
        <v>74.8</v>
      </c>
      <c r="K471">
        <v>89.9</v>
      </c>
      <c r="L471" t="s">
        <v>20</v>
      </c>
    </row>
    <row r="472" spans="1:12" x14ac:dyDescent="0.35">
      <c r="A472">
        <v>471</v>
      </c>
      <c r="B472" t="s">
        <v>12</v>
      </c>
      <c r="C472">
        <v>2.2999999999999998</v>
      </c>
      <c r="D472">
        <v>98.9</v>
      </c>
      <c r="E472">
        <v>5.9</v>
      </c>
      <c r="F472" t="s">
        <v>13</v>
      </c>
      <c r="G472" t="s">
        <v>14</v>
      </c>
      <c r="H472" t="s">
        <v>14</v>
      </c>
      <c r="I472" t="s">
        <v>15</v>
      </c>
      <c r="J472">
        <v>79.400000000000006</v>
      </c>
      <c r="K472">
        <v>87.6</v>
      </c>
      <c r="L472" t="s">
        <v>20</v>
      </c>
    </row>
    <row r="473" spans="1:12" x14ac:dyDescent="0.35">
      <c r="A473">
        <v>472</v>
      </c>
      <c r="B473" t="s">
        <v>17</v>
      </c>
      <c r="C473">
        <v>4.2</v>
      </c>
      <c r="D473">
        <v>82.5</v>
      </c>
      <c r="E473">
        <v>6.5</v>
      </c>
      <c r="F473" t="s">
        <v>19</v>
      </c>
      <c r="G473" t="s">
        <v>15</v>
      </c>
      <c r="H473" t="s">
        <v>14</v>
      </c>
      <c r="I473" t="s">
        <v>14</v>
      </c>
      <c r="J473">
        <v>48.7</v>
      </c>
      <c r="K473">
        <v>68</v>
      </c>
      <c r="L473" t="s">
        <v>21</v>
      </c>
    </row>
    <row r="474" spans="1:12" x14ac:dyDescent="0.35">
      <c r="A474">
        <v>473</v>
      </c>
      <c r="B474" t="s">
        <v>12</v>
      </c>
      <c r="C474">
        <v>2.7</v>
      </c>
      <c r="D474">
        <v>87.9</v>
      </c>
      <c r="E474">
        <v>8.1999999999999993</v>
      </c>
      <c r="F474" t="s">
        <v>23</v>
      </c>
      <c r="G474" t="s">
        <v>15</v>
      </c>
      <c r="H474" t="s">
        <v>14</v>
      </c>
      <c r="I474" t="s">
        <v>15</v>
      </c>
      <c r="J474">
        <v>78.599999999999994</v>
      </c>
      <c r="K474">
        <v>82.2</v>
      </c>
      <c r="L474" t="s">
        <v>20</v>
      </c>
    </row>
    <row r="475" spans="1:12" x14ac:dyDescent="0.35">
      <c r="A475">
        <v>474</v>
      </c>
      <c r="B475" t="s">
        <v>17</v>
      </c>
      <c r="C475">
        <v>4.4000000000000004</v>
      </c>
      <c r="D475">
        <v>87.6</v>
      </c>
      <c r="E475">
        <v>7</v>
      </c>
      <c r="F475" t="s">
        <v>18</v>
      </c>
      <c r="G475" t="s">
        <v>14</v>
      </c>
      <c r="H475" t="s">
        <v>14</v>
      </c>
      <c r="I475" t="s">
        <v>15</v>
      </c>
      <c r="J475">
        <v>67.2</v>
      </c>
      <c r="K475">
        <v>94</v>
      </c>
      <c r="L475" t="s">
        <v>16</v>
      </c>
    </row>
    <row r="476" spans="1:12" x14ac:dyDescent="0.35">
      <c r="A476">
        <v>475</v>
      </c>
      <c r="B476" t="s">
        <v>12</v>
      </c>
      <c r="C476">
        <v>3.8</v>
      </c>
      <c r="D476">
        <v>83.7</v>
      </c>
      <c r="E476">
        <v>6.2</v>
      </c>
      <c r="F476" t="s">
        <v>13</v>
      </c>
      <c r="G476" t="s">
        <v>15</v>
      </c>
      <c r="H476" t="s">
        <v>15</v>
      </c>
      <c r="I476" t="s">
        <v>15</v>
      </c>
      <c r="J476">
        <v>78.5</v>
      </c>
      <c r="K476">
        <v>90.9</v>
      </c>
      <c r="L476" t="s">
        <v>16</v>
      </c>
    </row>
    <row r="477" spans="1:12" x14ac:dyDescent="0.35">
      <c r="A477">
        <v>476</v>
      </c>
      <c r="B477" t="s">
        <v>17</v>
      </c>
      <c r="C477">
        <v>1.2</v>
      </c>
      <c r="D477">
        <v>93.1</v>
      </c>
      <c r="E477">
        <v>7.4</v>
      </c>
      <c r="F477" t="s">
        <v>19</v>
      </c>
      <c r="G477" t="s">
        <v>14</v>
      </c>
      <c r="H477" t="s">
        <v>15</v>
      </c>
      <c r="I477" t="s">
        <v>15</v>
      </c>
      <c r="J477">
        <v>79.3</v>
      </c>
      <c r="K477">
        <v>85</v>
      </c>
      <c r="L477" t="s">
        <v>20</v>
      </c>
    </row>
    <row r="478" spans="1:12" x14ac:dyDescent="0.35">
      <c r="A478">
        <v>477</v>
      </c>
      <c r="B478" t="s">
        <v>12</v>
      </c>
      <c r="C478">
        <v>5.8</v>
      </c>
      <c r="D478">
        <v>92.9</v>
      </c>
      <c r="E478">
        <v>5.5</v>
      </c>
      <c r="F478" t="s">
        <v>24</v>
      </c>
      <c r="G478" t="s">
        <v>14</v>
      </c>
      <c r="H478" t="s">
        <v>15</v>
      </c>
      <c r="I478" t="s">
        <v>14</v>
      </c>
      <c r="J478">
        <v>89.3</v>
      </c>
      <c r="K478">
        <v>100</v>
      </c>
      <c r="L478" t="s">
        <v>16</v>
      </c>
    </row>
    <row r="479" spans="1:12" x14ac:dyDescent="0.35">
      <c r="A479">
        <v>478</v>
      </c>
      <c r="B479" t="s">
        <v>17</v>
      </c>
      <c r="C479">
        <v>6.2</v>
      </c>
      <c r="D479">
        <v>67.5</v>
      </c>
      <c r="E479">
        <v>7.6</v>
      </c>
      <c r="F479" t="s">
        <v>18</v>
      </c>
      <c r="G479" t="s">
        <v>14</v>
      </c>
      <c r="H479" t="s">
        <v>14</v>
      </c>
      <c r="I479" t="s">
        <v>15</v>
      </c>
      <c r="J479">
        <v>86.2</v>
      </c>
      <c r="K479">
        <v>100</v>
      </c>
      <c r="L479" t="s">
        <v>16</v>
      </c>
    </row>
    <row r="480" spans="1:12" x14ac:dyDescent="0.35">
      <c r="A480">
        <v>479</v>
      </c>
      <c r="B480" t="s">
        <v>12</v>
      </c>
      <c r="C480">
        <v>2.6</v>
      </c>
      <c r="D480">
        <v>98</v>
      </c>
      <c r="E480">
        <v>7.3</v>
      </c>
      <c r="F480" t="s">
        <v>23</v>
      </c>
      <c r="G480" t="s">
        <v>14</v>
      </c>
      <c r="H480" t="s">
        <v>15</v>
      </c>
      <c r="I480" t="s">
        <v>14</v>
      </c>
      <c r="J480">
        <v>86.2</v>
      </c>
      <c r="K480">
        <v>87.4</v>
      </c>
      <c r="L480" t="s">
        <v>20</v>
      </c>
    </row>
    <row r="481" spans="1:12" x14ac:dyDescent="0.35">
      <c r="A481">
        <v>480</v>
      </c>
      <c r="B481" t="s">
        <v>17</v>
      </c>
      <c r="C481">
        <v>2.9</v>
      </c>
      <c r="D481">
        <v>68.400000000000006</v>
      </c>
      <c r="E481">
        <v>6.4</v>
      </c>
      <c r="F481" t="s">
        <v>18</v>
      </c>
      <c r="G481" t="s">
        <v>15</v>
      </c>
      <c r="H481" t="s">
        <v>14</v>
      </c>
      <c r="I481" t="s">
        <v>15</v>
      </c>
      <c r="J481">
        <v>87.3</v>
      </c>
      <c r="K481">
        <v>84.8</v>
      </c>
      <c r="L481" t="s">
        <v>20</v>
      </c>
    </row>
    <row r="482" spans="1:12" x14ac:dyDescent="0.35">
      <c r="A482">
        <v>481</v>
      </c>
      <c r="B482" t="s">
        <v>17</v>
      </c>
      <c r="C482">
        <v>3.9</v>
      </c>
      <c r="D482">
        <v>95.3</v>
      </c>
      <c r="E482">
        <v>5.8</v>
      </c>
      <c r="F482" t="s">
        <v>18</v>
      </c>
      <c r="G482" t="s">
        <v>14</v>
      </c>
      <c r="H482" t="s">
        <v>14</v>
      </c>
      <c r="I482" t="s">
        <v>15</v>
      </c>
      <c r="J482">
        <v>73.5</v>
      </c>
      <c r="K482">
        <v>89.5</v>
      </c>
      <c r="L482" t="s">
        <v>20</v>
      </c>
    </row>
    <row r="483" spans="1:12" x14ac:dyDescent="0.35">
      <c r="A483">
        <v>482</v>
      </c>
      <c r="B483" t="s">
        <v>17</v>
      </c>
      <c r="C483">
        <v>4</v>
      </c>
      <c r="D483">
        <v>96.3</v>
      </c>
      <c r="E483">
        <v>5.7</v>
      </c>
      <c r="F483" t="s">
        <v>13</v>
      </c>
      <c r="G483" t="s">
        <v>14</v>
      </c>
      <c r="H483" t="s">
        <v>15</v>
      </c>
      <c r="I483" t="s">
        <v>15</v>
      </c>
      <c r="J483">
        <v>70.400000000000006</v>
      </c>
      <c r="K483">
        <v>92.3</v>
      </c>
      <c r="L483" t="s">
        <v>16</v>
      </c>
    </row>
    <row r="484" spans="1:12" x14ac:dyDescent="0.35">
      <c r="A484">
        <v>483</v>
      </c>
      <c r="B484" t="s">
        <v>12</v>
      </c>
      <c r="C484">
        <v>4.5</v>
      </c>
      <c r="D484">
        <v>74.099999999999994</v>
      </c>
      <c r="E484">
        <v>7.4</v>
      </c>
      <c r="F484" t="s">
        <v>18</v>
      </c>
      <c r="G484" t="s">
        <v>14</v>
      </c>
      <c r="H484" t="s">
        <v>15</v>
      </c>
      <c r="I484" t="s">
        <v>14</v>
      </c>
      <c r="J484">
        <v>80.5</v>
      </c>
      <c r="K484">
        <v>86.6</v>
      </c>
      <c r="L484" t="s">
        <v>20</v>
      </c>
    </row>
    <row r="485" spans="1:12" x14ac:dyDescent="0.35">
      <c r="A485">
        <v>484</v>
      </c>
      <c r="B485" t="s">
        <v>17</v>
      </c>
      <c r="C485">
        <v>6.5</v>
      </c>
      <c r="D485">
        <v>80.900000000000006</v>
      </c>
      <c r="E485">
        <v>8.3000000000000007</v>
      </c>
      <c r="F485" t="s">
        <v>23</v>
      </c>
      <c r="G485" t="s">
        <v>14</v>
      </c>
      <c r="H485" t="s">
        <v>14</v>
      </c>
      <c r="I485" t="s">
        <v>15</v>
      </c>
      <c r="J485">
        <v>78.8</v>
      </c>
      <c r="K485">
        <v>100</v>
      </c>
      <c r="L485" t="s">
        <v>16</v>
      </c>
    </row>
    <row r="486" spans="1:12" x14ac:dyDescent="0.35">
      <c r="A486">
        <v>485</v>
      </c>
      <c r="B486" t="s">
        <v>12</v>
      </c>
      <c r="C486">
        <v>3.2</v>
      </c>
      <c r="D486">
        <v>73.900000000000006</v>
      </c>
      <c r="E486">
        <v>6</v>
      </c>
      <c r="F486" t="s">
        <v>18</v>
      </c>
      <c r="G486" t="s">
        <v>14</v>
      </c>
      <c r="H486" t="s">
        <v>14</v>
      </c>
      <c r="I486" t="s">
        <v>15</v>
      </c>
      <c r="J486">
        <v>66.3</v>
      </c>
      <c r="K486">
        <v>75.7</v>
      </c>
      <c r="L486" t="s">
        <v>22</v>
      </c>
    </row>
    <row r="487" spans="1:12" x14ac:dyDescent="0.35">
      <c r="A487">
        <v>486</v>
      </c>
      <c r="B487" t="s">
        <v>17</v>
      </c>
      <c r="C487">
        <v>2.2999999999999998</v>
      </c>
      <c r="D487">
        <v>82.9</v>
      </c>
      <c r="E487">
        <v>7.4</v>
      </c>
      <c r="F487" t="s">
        <v>23</v>
      </c>
      <c r="G487" t="s">
        <v>14</v>
      </c>
      <c r="H487" t="s">
        <v>14</v>
      </c>
      <c r="I487" t="s">
        <v>14</v>
      </c>
      <c r="J487">
        <v>74.900000000000006</v>
      </c>
      <c r="K487">
        <v>87.3</v>
      </c>
      <c r="L487" t="s">
        <v>20</v>
      </c>
    </row>
    <row r="488" spans="1:12" x14ac:dyDescent="0.35">
      <c r="A488">
        <v>487</v>
      </c>
      <c r="B488" t="s">
        <v>12</v>
      </c>
      <c r="C488">
        <v>1.4</v>
      </c>
      <c r="D488">
        <v>81.900000000000006</v>
      </c>
      <c r="E488">
        <v>4.3</v>
      </c>
      <c r="F488" t="s">
        <v>18</v>
      </c>
      <c r="G488" t="s">
        <v>14</v>
      </c>
      <c r="H488" t="s">
        <v>15</v>
      </c>
      <c r="I488" t="s">
        <v>15</v>
      </c>
      <c r="J488">
        <v>69.599999999999994</v>
      </c>
      <c r="K488">
        <v>66.599999999999994</v>
      </c>
      <c r="L488" t="s">
        <v>21</v>
      </c>
    </row>
    <row r="489" spans="1:12" x14ac:dyDescent="0.35">
      <c r="A489">
        <v>488</v>
      </c>
      <c r="B489" t="s">
        <v>17</v>
      </c>
      <c r="C489">
        <v>2.4</v>
      </c>
      <c r="D489">
        <v>92.8</v>
      </c>
      <c r="E489">
        <v>6.1</v>
      </c>
      <c r="F489" t="s">
        <v>18</v>
      </c>
      <c r="G489" t="s">
        <v>14</v>
      </c>
      <c r="H489" t="s">
        <v>14</v>
      </c>
      <c r="I489" t="s">
        <v>15</v>
      </c>
      <c r="J489">
        <v>59.8</v>
      </c>
      <c r="K489">
        <v>74.099999999999994</v>
      </c>
      <c r="L489" t="s">
        <v>22</v>
      </c>
    </row>
    <row r="490" spans="1:12" x14ac:dyDescent="0.35">
      <c r="A490">
        <v>489</v>
      </c>
      <c r="B490" t="s">
        <v>12</v>
      </c>
      <c r="C490">
        <v>3.5</v>
      </c>
      <c r="D490">
        <v>98.1</v>
      </c>
      <c r="E490">
        <v>6.8</v>
      </c>
      <c r="F490" t="s">
        <v>18</v>
      </c>
      <c r="G490" t="s">
        <v>14</v>
      </c>
      <c r="H490" t="s">
        <v>15</v>
      </c>
      <c r="I490" t="s">
        <v>15</v>
      </c>
      <c r="J490">
        <v>85.5</v>
      </c>
      <c r="K490">
        <v>100</v>
      </c>
      <c r="L490" t="s">
        <v>16</v>
      </c>
    </row>
    <row r="491" spans="1:12" x14ac:dyDescent="0.35">
      <c r="A491">
        <v>490</v>
      </c>
      <c r="B491" t="s">
        <v>12</v>
      </c>
      <c r="C491">
        <v>6.2</v>
      </c>
      <c r="D491">
        <v>99</v>
      </c>
      <c r="E491">
        <v>5.7</v>
      </c>
      <c r="F491" t="s">
        <v>18</v>
      </c>
      <c r="G491" t="s">
        <v>14</v>
      </c>
      <c r="H491" t="s">
        <v>14</v>
      </c>
      <c r="I491" t="s">
        <v>15</v>
      </c>
      <c r="J491">
        <v>70.7</v>
      </c>
      <c r="K491">
        <v>100</v>
      </c>
      <c r="L491" t="s">
        <v>16</v>
      </c>
    </row>
    <row r="492" spans="1:12" x14ac:dyDescent="0.35">
      <c r="A492">
        <v>491</v>
      </c>
      <c r="B492" t="s">
        <v>17</v>
      </c>
      <c r="C492">
        <v>2.7</v>
      </c>
      <c r="D492">
        <v>79.400000000000006</v>
      </c>
      <c r="E492">
        <v>5.7</v>
      </c>
      <c r="F492" t="s">
        <v>18</v>
      </c>
      <c r="G492" t="s">
        <v>14</v>
      </c>
      <c r="H492" t="s">
        <v>14</v>
      </c>
      <c r="I492" t="s">
        <v>15</v>
      </c>
      <c r="J492">
        <v>94.6</v>
      </c>
      <c r="K492">
        <v>74.3</v>
      </c>
      <c r="L492" t="s">
        <v>22</v>
      </c>
    </row>
    <row r="493" spans="1:12" x14ac:dyDescent="0.35">
      <c r="A493">
        <v>492</v>
      </c>
      <c r="B493" t="s">
        <v>12</v>
      </c>
      <c r="C493">
        <v>3.8</v>
      </c>
      <c r="D493">
        <v>82.9</v>
      </c>
      <c r="E493">
        <v>6</v>
      </c>
      <c r="F493" t="s">
        <v>18</v>
      </c>
      <c r="G493" t="s">
        <v>14</v>
      </c>
      <c r="H493" t="s">
        <v>14</v>
      </c>
      <c r="I493" t="s">
        <v>14</v>
      </c>
      <c r="J493">
        <v>50.5</v>
      </c>
      <c r="K493">
        <v>71.099999999999994</v>
      </c>
      <c r="L493" t="s">
        <v>22</v>
      </c>
    </row>
    <row r="494" spans="1:12" x14ac:dyDescent="0.35">
      <c r="A494">
        <v>493</v>
      </c>
      <c r="B494" t="s">
        <v>12</v>
      </c>
      <c r="C494">
        <v>3.5</v>
      </c>
      <c r="D494">
        <v>68.2</v>
      </c>
      <c r="E494">
        <v>7.2</v>
      </c>
      <c r="F494" t="s">
        <v>13</v>
      </c>
      <c r="G494" t="s">
        <v>14</v>
      </c>
      <c r="H494" t="s">
        <v>14</v>
      </c>
      <c r="I494" t="s">
        <v>15</v>
      </c>
      <c r="J494">
        <v>63.3</v>
      </c>
      <c r="K494">
        <v>66.7</v>
      </c>
      <c r="L494" t="s">
        <v>21</v>
      </c>
    </row>
    <row r="495" spans="1:12" x14ac:dyDescent="0.35">
      <c r="A495">
        <v>494</v>
      </c>
      <c r="B495" t="s">
        <v>17</v>
      </c>
      <c r="C495">
        <v>5.3</v>
      </c>
      <c r="D495">
        <v>76.900000000000006</v>
      </c>
      <c r="E495">
        <v>6.6</v>
      </c>
      <c r="F495" t="s">
        <v>18</v>
      </c>
      <c r="G495" t="s">
        <v>14</v>
      </c>
      <c r="H495" t="s">
        <v>14</v>
      </c>
      <c r="I495" t="s">
        <v>14</v>
      </c>
      <c r="J495">
        <v>70.400000000000006</v>
      </c>
      <c r="K495">
        <v>82.1</v>
      </c>
      <c r="L495" t="s">
        <v>20</v>
      </c>
    </row>
    <row r="496" spans="1:12" x14ac:dyDescent="0.35">
      <c r="A496">
        <v>495</v>
      </c>
      <c r="B496" t="s">
        <v>12</v>
      </c>
      <c r="C496">
        <v>7.3</v>
      </c>
      <c r="D496">
        <v>94.6</v>
      </c>
      <c r="E496">
        <v>4.0999999999999996</v>
      </c>
      <c r="F496" t="s">
        <v>13</v>
      </c>
      <c r="G496" t="s">
        <v>14</v>
      </c>
      <c r="H496" t="s">
        <v>15</v>
      </c>
      <c r="I496" t="s">
        <v>15</v>
      </c>
      <c r="J496">
        <v>83.6</v>
      </c>
      <c r="K496">
        <v>88.5</v>
      </c>
      <c r="L496" t="s">
        <v>20</v>
      </c>
    </row>
    <row r="497" spans="1:12" x14ac:dyDescent="0.35">
      <c r="A497">
        <v>496</v>
      </c>
      <c r="B497" t="s">
        <v>12</v>
      </c>
      <c r="C497">
        <v>2.7</v>
      </c>
      <c r="D497">
        <v>100</v>
      </c>
      <c r="E497">
        <v>4.3</v>
      </c>
      <c r="F497" t="s">
        <v>13</v>
      </c>
      <c r="G497" t="s">
        <v>15</v>
      </c>
      <c r="H497" t="s">
        <v>15</v>
      </c>
      <c r="I497" t="s">
        <v>15</v>
      </c>
      <c r="J497">
        <v>74.8</v>
      </c>
      <c r="K497">
        <v>79.400000000000006</v>
      </c>
      <c r="L497" t="s">
        <v>22</v>
      </c>
    </row>
    <row r="498" spans="1:12" x14ac:dyDescent="0.35">
      <c r="A498">
        <v>497</v>
      </c>
      <c r="B498" t="s">
        <v>12</v>
      </c>
      <c r="C498">
        <v>2.8</v>
      </c>
      <c r="D498">
        <v>72.7</v>
      </c>
      <c r="E498">
        <v>6.1</v>
      </c>
      <c r="F498" t="s">
        <v>24</v>
      </c>
      <c r="G498" t="s">
        <v>14</v>
      </c>
      <c r="H498" t="s">
        <v>15</v>
      </c>
      <c r="I498" t="s">
        <v>15</v>
      </c>
      <c r="J498">
        <v>73.7</v>
      </c>
      <c r="K498">
        <v>71</v>
      </c>
      <c r="L498" t="s">
        <v>22</v>
      </c>
    </row>
    <row r="499" spans="1:12" x14ac:dyDescent="0.35">
      <c r="A499">
        <v>498</v>
      </c>
      <c r="B499" t="s">
        <v>17</v>
      </c>
      <c r="C499">
        <v>5.0999999999999996</v>
      </c>
      <c r="D499">
        <v>79.099999999999994</v>
      </c>
      <c r="E499">
        <v>7.3</v>
      </c>
      <c r="F499" t="s">
        <v>19</v>
      </c>
      <c r="G499" t="s">
        <v>14</v>
      </c>
      <c r="H499" t="s">
        <v>15</v>
      </c>
      <c r="I499" t="s">
        <v>15</v>
      </c>
      <c r="J499">
        <v>56.5</v>
      </c>
      <c r="K499">
        <v>85.4</v>
      </c>
      <c r="L499" t="s">
        <v>20</v>
      </c>
    </row>
    <row r="500" spans="1:12" x14ac:dyDescent="0.35">
      <c r="A500">
        <v>499</v>
      </c>
      <c r="B500" t="s">
        <v>12</v>
      </c>
      <c r="C500">
        <v>4.5</v>
      </c>
      <c r="D500">
        <v>84.7</v>
      </c>
      <c r="E500">
        <v>3.5</v>
      </c>
      <c r="F500" t="s">
        <v>13</v>
      </c>
      <c r="G500" t="s">
        <v>15</v>
      </c>
      <c r="H500" t="s">
        <v>15</v>
      </c>
      <c r="I500" t="s">
        <v>14</v>
      </c>
      <c r="J500">
        <v>56.1</v>
      </c>
      <c r="K500">
        <v>61.8</v>
      </c>
      <c r="L500" t="s">
        <v>21</v>
      </c>
    </row>
    <row r="501" spans="1:12" x14ac:dyDescent="0.35">
      <c r="A501">
        <v>500</v>
      </c>
      <c r="B501" t="s">
        <v>17</v>
      </c>
      <c r="C501">
        <v>6.3</v>
      </c>
      <c r="D501">
        <v>87.8</v>
      </c>
      <c r="E501">
        <v>6.2</v>
      </c>
      <c r="F501" t="s">
        <v>18</v>
      </c>
      <c r="G501" t="s">
        <v>14</v>
      </c>
      <c r="H501" t="s">
        <v>15</v>
      </c>
      <c r="I501" t="s">
        <v>15</v>
      </c>
      <c r="J501">
        <v>73.900000000000006</v>
      </c>
      <c r="K501">
        <v>99.6</v>
      </c>
      <c r="L501" t="s">
        <v>16</v>
      </c>
    </row>
    <row r="502" spans="1:12" x14ac:dyDescent="0.35">
      <c r="A502">
        <v>501</v>
      </c>
      <c r="B502" t="s">
        <v>12</v>
      </c>
      <c r="C502">
        <v>4.4000000000000004</v>
      </c>
      <c r="D502">
        <v>76.900000000000006</v>
      </c>
      <c r="E502">
        <v>6.2</v>
      </c>
      <c r="F502" t="s">
        <v>18</v>
      </c>
      <c r="G502" t="s">
        <v>14</v>
      </c>
      <c r="H502" t="s">
        <v>15</v>
      </c>
      <c r="I502" t="s">
        <v>15</v>
      </c>
      <c r="J502">
        <v>53.6</v>
      </c>
      <c r="K502">
        <v>76.099999999999994</v>
      </c>
      <c r="L502" t="s">
        <v>22</v>
      </c>
    </row>
    <row r="503" spans="1:12" x14ac:dyDescent="0.35">
      <c r="A503">
        <v>502</v>
      </c>
      <c r="B503" t="s">
        <v>12</v>
      </c>
      <c r="C503">
        <v>3</v>
      </c>
      <c r="D503">
        <v>89.2</v>
      </c>
      <c r="E503">
        <v>8.5</v>
      </c>
      <c r="F503" t="s">
        <v>19</v>
      </c>
      <c r="G503" t="s">
        <v>14</v>
      </c>
      <c r="H503" t="s">
        <v>14</v>
      </c>
      <c r="I503" t="s">
        <v>14</v>
      </c>
      <c r="J503">
        <v>63.6</v>
      </c>
      <c r="K503">
        <v>90.4</v>
      </c>
      <c r="L503" t="s">
        <v>16</v>
      </c>
    </row>
    <row r="504" spans="1:12" x14ac:dyDescent="0.35">
      <c r="A504">
        <v>503</v>
      </c>
      <c r="B504" t="s">
        <v>12</v>
      </c>
      <c r="C504">
        <v>4.4000000000000004</v>
      </c>
      <c r="D504">
        <v>80.3</v>
      </c>
      <c r="E504">
        <v>6.3</v>
      </c>
      <c r="F504" t="s">
        <v>18</v>
      </c>
      <c r="G504" t="s">
        <v>15</v>
      </c>
      <c r="H504" t="s">
        <v>14</v>
      </c>
      <c r="I504" t="s">
        <v>15</v>
      </c>
      <c r="J504">
        <v>76</v>
      </c>
      <c r="K504">
        <v>93.3</v>
      </c>
      <c r="L504" t="s">
        <v>16</v>
      </c>
    </row>
    <row r="505" spans="1:12" x14ac:dyDescent="0.35">
      <c r="A505">
        <v>504</v>
      </c>
      <c r="B505" t="s">
        <v>17</v>
      </c>
      <c r="C505">
        <v>5.2</v>
      </c>
      <c r="D505">
        <v>84.9</v>
      </c>
      <c r="E505">
        <v>7.3</v>
      </c>
      <c r="F505" t="s">
        <v>18</v>
      </c>
      <c r="G505" t="s">
        <v>15</v>
      </c>
      <c r="H505" t="s">
        <v>14</v>
      </c>
      <c r="I505" t="s">
        <v>15</v>
      </c>
      <c r="J505">
        <v>58.2</v>
      </c>
      <c r="K505">
        <v>88.9</v>
      </c>
      <c r="L505" t="s">
        <v>20</v>
      </c>
    </row>
    <row r="506" spans="1:12" x14ac:dyDescent="0.35">
      <c r="A506">
        <v>505</v>
      </c>
      <c r="B506" t="s">
        <v>12</v>
      </c>
      <c r="C506">
        <v>4.7</v>
      </c>
      <c r="D506">
        <v>90.5</v>
      </c>
      <c r="E506">
        <v>7</v>
      </c>
      <c r="F506" t="s">
        <v>18</v>
      </c>
      <c r="G506" t="s">
        <v>14</v>
      </c>
      <c r="H506" t="s">
        <v>14</v>
      </c>
      <c r="I506" t="s">
        <v>15</v>
      </c>
      <c r="J506">
        <v>89.3</v>
      </c>
      <c r="K506">
        <v>99</v>
      </c>
      <c r="L506" t="s">
        <v>16</v>
      </c>
    </row>
    <row r="507" spans="1:12" x14ac:dyDescent="0.35">
      <c r="A507">
        <v>506</v>
      </c>
      <c r="B507" t="s">
        <v>12</v>
      </c>
      <c r="C507">
        <v>4.3</v>
      </c>
      <c r="D507">
        <v>85.1</v>
      </c>
      <c r="E507">
        <v>4.2</v>
      </c>
      <c r="F507" t="s">
        <v>18</v>
      </c>
      <c r="G507" t="s">
        <v>14</v>
      </c>
      <c r="H507" t="s">
        <v>14</v>
      </c>
      <c r="I507" t="s">
        <v>14</v>
      </c>
      <c r="J507">
        <v>84.7</v>
      </c>
      <c r="K507">
        <v>100</v>
      </c>
      <c r="L507" t="s">
        <v>16</v>
      </c>
    </row>
    <row r="508" spans="1:12" x14ac:dyDescent="0.35">
      <c r="A508">
        <v>507</v>
      </c>
      <c r="B508" t="s">
        <v>17</v>
      </c>
      <c r="C508">
        <v>5.0999999999999996</v>
      </c>
      <c r="D508">
        <v>80.599999999999994</v>
      </c>
      <c r="E508">
        <v>7.7</v>
      </c>
      <c r="F508" t="s">
        <v>18</v>
      </c>
      <c r="G508" t="s">
        <v>14</v>
      </c>
      <c r="H508" t="s">
        <v>15</v>
      </c>
      <c r="I508" t="s">
        <v>15</v>
      </c>
      <c r="J508">
        <v>51.1</v>
      </c>
      <c r="K508">
        <v>74.5</v>
      </c>
      <c r="L508" t="s">
        <v>22</v>
      </c>
    </row>
    <row r="509" spans="1:12" x14ac:dyDescent="0.35">
      <c r="A509">
        <v>508</v>
      </c>
      <c r="B509" t="s">
        <v>12</v>
      </c>
      <c r="C509">
        <v>5.3</v>
      </c>
      <c r="D509">
        <v>83.9</v>
      </c>
      <c r="E509">
        <v>7.1</v>
      </c>
      <c r="F509" t="s">
        <v>23</v>
      </c>
      <c r="G509" t="s">
        <v>15</v>
      </c>
      <c r="H509" t="s">
        <v>14</v>
      </c>
      <c r="I509" t="s">
        <v>14</v>
      </c>
      <c r="J509">
        <v>58.8</v>
      </c>
      <c r="K509">
        <v>72.8</v>
      </c>
      <c r="L509" t="s">
        <v>22</v>
      </c>
    </row>
    <row r="510" spans="1:12" x14ac:dyDescent="0.35">
      <c r="A510">
        <v>509</v>
      </c>
      <c r="B510" t="s">
        <v>17</v>
      </c>
      <c r="C510">
        <v>5.6</v>
      </c>
      <c r="D510">
        <v>84.1</v>
      </c>
      <c r="E510">
        <v>7.4</v>
      </c>
      <c r="F510" t="s">
        <v>18</v>
      </c>
      <c r="G510" t="s">
        <v>15</v>
      </c>
      <c r="H510" t="s">
        <v>14</v>
      </c>
      <c r="I510" t="s">
        <v>14</v>
      </c>
      <c r="J510">
        <v>42.6</v>
      </c>
      <c r="K510">
        <v>76.099999999999994</v>
      </c>
      <c r="L510" t="s">
        <v>22</v>
      </c>
    </row>
    <row r="511" spans="1:12" x14ac:dyDescent="0.35">
      <c r="A511">
        <v>510</v>
      </c>
      <c r="B511" t="s">
        <v>17</v>
      </c>
      <c r="C511">
        <v>4.5</v>
      </c>
      <c r="D511">
        <v>81.3</v>
      </c>
      <c r="E511">
        <v>10</v>
      </c>
      <c r="F511" t="s">
        <v>13</v>
      </c>
      <c r="G511" t="s">
        <v>14</v>
      </c>
      <c r="H511" t="s">
        <v>14</v>
      </c>
      <c r="I511" t="s">
        <v>14</v>
      </c>
      <c r="J511">
        <v>60.6</v>
      </c>
      <c r="K511">
        <v>99.5</v>
      </c>
      <c r="L511" t="s">
        <v>16</v>
      </c>
    </row>
    <row r="512" spans="1:12" x14ac:dyDescent="0.35">
      <c r="A512">
        <v>511</v>
      </c>
      <c r="B512" t="s">
        <v>12</v>
      </c>
      <c r="C512">
        <v>3.2</v>
      </c>
      <c r="D512">
        <v>82.4</v>
      </c>
      <c r="E512">
        <v>4.3</v>
      </c>
      <c r="F512" t="s">
        <v>18</v>
      </c>
      <c r="G512" t="s">
        <v>14</v>
      </c>
      <c r="H512" t="s">
        <v>14</v>
      </c>
      <c r="I512" t="s">
        <v>14</v>
      </c>
      <c r="J512">
        <v>79.2</v>
      </c>
      <c r="K512">
        <v>79.900000000000006</v>
      </c>
      <c r="L512" t="s">
        <v>22</v>
      </c>
    </row>
    <row r="513" spans="1:12" x14ac:dyDescent="0.35">
      <c r="A513">
        <v>512</v>
      </c>
      <c r="B513" t="s">
        <v>17</v>
      </c>
      <c r="C513">
        <v>3.7</v>
      </c>
      <c r="D513">
        <v>100</v>
      </c>
      <c r="E513">
        <v>8.9</v>
      </c>
      <c r="F513" t="s">
        <v>18</v>
      </c>
      <c r="G513" t="s">
        <v>14</v>
      </c>
      <c r="H513" t="s">
        <v>14</v>
      </c>
      <c r="I513" t="s">
        <v>14</v>
      </c>
      <c r="J513">
        <v>65</v>
      </c>
      <c r="K513">
        <v>88.2</v>
      </c>
      <c r="L513" t="s">
        <v>20</v>
      </c>
    </row>
    <row r="514" spans="1:12" x14ac:dyDescent="0.35">
      <c r="A514">
        <v>513</v>
      </c>
      <c r="B514" t="s">
        <v>12</v>
      </c>
      <c r="C514">
        <v>5.3</v>
      </c>
      <c r="D514">
        <v>90.6</v>
      </c>
      <c r="E514">
        <v>6.5</v>
      </c>
      <c r="F514" t="s">
        <v>19</v>
      </c>
      <c r="G514" t="s">
        <v>14</v>
      </c>
      <c r="H514" t="s">
        <v>14</v>
      </c>
      <c r="I514" t="s">
        <v>15</v>
      </c>
      <c r="J514">
        <v>75.5</v>
      </c>
      <c r="K514">
        <v>88.9</v>
      </c>
      <c r="L514" t="s">
        <v>20</v>
      </c>
    </row>
    <row r="515" spans="1:12" x14ac:dyDescent="0.35">
      <c r="A515">
        <v>514</v>
      </c>
      <c r="B515" t="s">
        <v>17</v>
      </c>
      <c r="C515">
        <v>2.2999999999999998</v>
      </c>
      <c r="D515">
        <v>82</v>
      </c>
      <c r="E515">
        <v>7.1</v>
      </c>
      <c r="F515" t="s">
        <v>18</v>
      </c>
      <c r="G515" t="s">
        <v>14</v>
      </c>
      <c r="H515" t="s">
        <v>14</v>
      </c>
      <c r="I515" t="s">
        <v>15</v>
      </c>
      <c r="J515">
        <v>51.7</v>
      </c>
      <c r="K515">
        <v>77.900000000000006</v>
      </c>
      <c r="L515" t="s">
        <v>22</v>
      </c>
    </row>
    <row r="516" spans="1:12" x14ac:dyDescent="0.35">
      <c r="A516">
        <v>515</v>
      </c>
      <c r="B516" t="s">
        <v>17</v>
      </c>
      <c r="C516">
        <v>4.0999999999999996</v>
      </c>
      <c r="D516">
        <v>92</v>
      </c>
      <c r="E516">
        <v>6.7</v>
      </c>
      <c r="F516" t="s">
        <v>23</v>
      </c>
      <c r="G516" t="s">
        <v>14</v>
      </c>
      <c r="H516" t="s">
        <v>14</v>
      </c>
      <c r="I516" t="s">
        <v>14</v>
      </c>
      <c r="J516">
        <v>79.599999999999994</v>
      </c>
      <c r="K516">
        <v>97.2</v>
      </c>
      <c r="L516" t="s">
        <v>16</v>
      </c>
    </row>
    <row r="517" spans="1:12" x14ac:dyDescent="0.35">
      <c r="A517">
        <v>516</v>
      </c>
      <c r="B517" t="s">
        <v>12</v>
      </c>
      <c r="C517">
        <v>2.9</v>
      </c>
      <c r="D517">
        <v>81.7</v>
      </c>
      <c r="E517">
        <v>6.3</v>
      </c>
      <c r="F517" t="s">
        <v>13</v>
      </c>
      <c r="G517" t="s">
        <v>14</v>
      </c>
      <c r="H517" t="s">
        <v>15</v>
      </c>
      <c r="I517" t="s">
        <v>14</v>
      </c>
      <c r="J517">
        <v>63.3</v>
      </c>
      <c r="K517">
        <v>79.3</v>
      </c>
      <c r="L517" t="s">
        <v>22</v>
      </c>
    </row>
    <row r="518" spans="1:12" x14ac:dyDescent="0.35">
      <c r="A518">
        <v>517</v>
      </c>
      <c r="B518" t="s">
        <v>17</v>
      </c>
      <c r="C518">
        <v>3.5</v>
      </c>
      <c r="D518">
        <v>96.7</v>
      </c>
      <c r="E518">
        <v>6.1</v>
      </c>
      <c r="F518" t="s">
        <v>18</v>
      </c>
      <c r="G518" t="s">
        <v>14</v>
      </c>
      <c r="H518" t="s">
        <v>15</v>
      </c>
      <c r="I518" t="s">
        <v>15</v>
      </c>
      <c r="J518">
        <v>70.099999999999994</v>
      </c>
      <c r="K518">
        <v>84.2</v>
      </c>
      <c r="L518" t="s">
        <v>20</v>
      </c>
    </row>
    <row r="519" spans="1:12" x14ac:dyDescent="0.35">
      <c r="A519">
        <v>518</v>
      </c>
      <c r="B519" t="s">
        <v>17</v>
      </c>
      <c r="C519">
        <v>5.4</v>
      </c>
      <c r="D519">
        <v>88.7</v>
      </c>
      <c r="E519">
        <v>7.2</v>
      </c>
      <c r="F519" t="s">
        <v>19</v>
      </c>
      <c r="G519" t="s">
        <v>15</v>
      </c>
      <c r="H519" t="s">
        <v>14</v>
      </c>
      <c r="I519" t="s">
        <v>15</v>
      </c>
      <c r="J519">
        <v>68.900000000000006</v>
      </c>
      <c r="K519">
        <v>86.3</v>
      </c>
      <c r="L519" t="s">
        <v>20</v>
      </c>
    </row>
    <row r="520" spans="1:12" x14ac:dyDescent="0.35">
      <c r="A520">
        <v>519</v>
      </c>
      <c r="B520" t="s">
        <v>17</v>
      </c>
      <c r="C520">
        <v>3.8</v>
      </c>
      <c r="D520">
        <v>83.9</v>
      </c>
      <c r="E520">
        <v>5</v>
      </c>
      <c r="F520" t="s">
        <v>18</v>
      </c>
      <c r="G520" t="s">
        <v>14</v>
      </c>
      <c r="H520" t="s">
        <v>14</v>
      </c>
      <c r="I520" t="s">
        <v>14</v>
      </c>
      <c r="J520">
        <v>54.7</v>
      </c>
      <c r="K520">
        <v>67.599999999999994</v>
      </c>
      <c r="L520" t="s">
        <v>21</v>
      </c>
    </row>
    <row r="521" spans="1:12" x14ac:dyDescent="0.35">
      <c r="A521">
        <v>520</v>
      </c>
      <c r="B521" t="s">
        <v>17</v>
      </c>
      <c r="C521">
        <v>3.6</v>
      </c>
      <c r="D521">
        <v>89.5</v>
      </c>
      <c r="E521">
        <v>7.7</v>
      </c>
      <c r="F521" t="s">
        <v>24</v>
      </c>
      <c r="G521" t="s">
        <v>14</v>
      </c>
      <c r="H521" t="s">
        <v>14</v>
      </c>
      <c r="I521" t="s">
        <v>14</v>
      </c>
      <c r="J521">
        <v>56.2</v>
      </c>
      <c r="K521">
        <v>80.7</v>
      </c>
      <c r="L521" t="s">
        <v>20</v>
      </c>
    </row>
    <row r="522" spans="1:12" x14ac:dyDescent="0.35">
      <c r="A522">
        <v>521</v>
      </c>
      <c r="B522" t="s">
        <v>17</v>
      </c>
      <c r="C522">
        <v>1.5</v>
      </c>
      <c r="D522">
        <v>69.3</v>
      </c>
      <c r="E522">
        <v>6.3</v>
      </c>
      <c r="F522" t="s">
        <v>18</v>
      </c>
      <c r="G522" t="s">
        <v>14</v>
      </c>
      <c r="H522" t="s">
        <v>15</v>
      </c>
      <c r="I522" t="s">
        <v>14</v>
      </c>
      <c r="J522">
        <v>81.599999999999994</v>
      </c>
      <c r="K522">
        <v>64.7</v>
      </c>
      <c r="L522" t="s">
        <v>21</v>
      </c>
    </row>
    <row r="523" spans="1:12" x14ac:dyDescent="0.35">
      <c r="A523">
        <v>522</v>
      </c>
      <c r="B523" t="s">
        <v>12</v>
      </c>
      <c r="C523">
        <v>4.5999999999999996</v>
      </c>
      <c r="D523">
        <v>73.7</v>
      </c>
      <c r="E523">
        <v>5.4</v>
      </c>
      <c r="F523" t="s">
        <v>24</v>
      </c>
      <c r="G523" t="s">
        <v>15</v>
      </c>
      <c r="H523" t="s">
        <v>14</v>
      </c>
      <c r="I523" t="s">
        <v>14</v>
      </c>
      <c r="J523">
        <v>74.8</v>
      </c>
      <c r="K523">
        <v>71.8</v>
      </c>
      <c r="L523" t="s">
        <v>22</v>
      </c>
    </row>
    <row r="524" spans="1:12" x14ac:dyDescent="0.35">
      <c r="A524">
        <v>523</v>
      </c>
      <c r="B524" t="s">
        <v>17</v>
      </c>
      <c r="C524">
        <v>4.5</v>
      </c>
      <c r="D524">
        <v>73.099999999999994</v>
      </c>
      <c r="E524">
        <v>6.3</v>
      </c>
      <c r="F524" t="s">
        <v>18</v>
      </c>
      <c r="G524" t="s">
        <v>14</v>
      </c>
      <c r="H524" t="s">
        <v>14</v>
      </c>
      <c r="I524" t="s">
        <v>14</v>
      </c>
      <c r="J524">
        <v>82.6</v>
      </c>
      <c r="K524">
        <v>84.9</v>
      </c>
      <c r="L524" t="s">
        <v>20</v>
      </c>
    </row>
    <row r="525" spans="1:12" x14ac:dyDescent="0.35">
      <c r="A525">
        <v>524</v>
      </c>
      <c r="B525" t="s">
        <v>12</v>
      </c>
      <c r="C525">
        <v>6.7</v>
      </c>
      <c r="D525">
        <v>86.4</v>
      </c>
      <c r="E525">
        <v>8.3000000000000007</v>
      </c>
      <c r="F525" t="s">
        <v>13</v>
      </c>
      <c r="G525" t="s">
        <v>14</v>
      </c>
      <c r="H525" t="s">
        <v>15</v>
      </c>
      <c r="I525" t="s">
        <v>15</v>
      </c>
      <c r="J525">
        <v>73.900000000000006</v>
      </c>
      <c r="K525">
        <v>100</v>
      </c>
      <c r="L525" t="s">
        <v>16</v>
      </c>
    </row>
    <row r="526" spans="1:12" x14ac:dyDescent="0.35">
      <c r="A526">
        <v>525</v>
      </c>
      <c r="B526" t="s">
        <v>17</v>
      </c>
      <c r="C526">
        <v>3</v>
      </c>
      <c r="D526">
        <v>100</v>
      </c>
      <c r="E526">
        <v>6.2</v>
      </c>
      <c r="F526" t="s">
        <v>23</v>
      </c>
      <c r="G526" t="s">
        <v>14</v>
      </c>
      <c r="H526" t="s">
        <v>14</v>
      </c>
      <c r="I526" t="s">
        <v>14</v>
      </c>
      <c r="J526">
        <v>71.7</v>
      </c>
      <c r="K526">
        <v>82.4</v>
      </c>
      <c r="L526" t="s">
        <v>20</v>
      </c>
    </row>
    <row r="527" spans="1:12" x14ac:dyDescent="0.35">
      <c r="A527">
        <v>526</v>
      </c>
      <c r="B527" t="s">
        <v>12</v>
      </c>
      <c r="C527">
        <v>3.8</v>
      </c>
      <c r="D527">
        <v>100</v>
      </c>
      <c r="E527">
        <v>7.2</v>
      </c>
      <c r="F527" t="s">
        <v>19</v>
      </c>
      <c r="G527" t="s">
        <v>14</v>
      </c>
      <c r="H527" t="s">
        <v>14</v>
      </c>
      <c r="I527" t="s">
        <v>15</v>
      </c>
      <c r="J527">
        <v>49.3</v>
      </c>
      <c r="K527">
        <v>87.3</v>
      </c>
      <c r="L527" t="s">
        <v>20</v>
      </c>
    </row>
    <row r="528" spans="1:12" x14ac:dyDescent="0.35">
      <c r="A528">
        <v>527</v>
      </c>
      <c r="B528" t="s">
        <v>12</v>
      </c>
      <c r="C528">
        <v>3.9</v>
      </c>
      <c r="D528">
        <v>91.4</v>
      </c>
      <c r="E528">
        <v>5.9</v>
      </c>
      <c r="F528" t="s">
        <v>19</v>
      </c>
      <c r="G528" t="s">
        <v>14</v>
      </c>
      <c r="H528" t="s">
        <v>14</v>
      </c>
      <c r="I528" t="s">
        <v>14</v>
      </c>
      <c r="J528">
        <v>66.8</v>
      </c>
      <c r="K528">
        <v>84.8</v>
      </c>
      <c r="L528" t="s">
        <v>20</v>
      </c>
    </row>
    <row r="529" spans="1:12" x14ac:dyDescent="0.35">
      <c r="A529">
        <v>528</v>
      </c>
      <c r="B529" t="s">
        <v>17</v>
      </c>
      <c r="C529">
        <v>5.9</v>
      </c>
      <c r="D529">
        <v>90</v>
      </c>
      <c r="E529">
        <v>7.7</v>
      </c>
      <c r="F529" t="s">
        <v>23</v>
      </c>
      <c r="G529" t="s">
        <v>14</v>
      </c>
      <c r="H529" t="s">
        <v>15</v>
      </c>
      <c r="I529" t="s">
        <v>15</v>
      </c>
      <c r="J529">
        <v>69.7</v>
      </c>
      <c r="K529">
        <v>96.4</v>
      </c>
      <c r="L529" t="s">
        <v>16</v>
      </c>
    </row>
    <row r="530" spans="1:12" x14ac:dyDescent="0.35">
      <c r="A530">
        <v>529</v>
      </c>
      <c r="B530" t="s">
        <v>17</v>
      </c>
      <c r="C530">
        <v>3.4</v>
      </c>
      <c r="D530">
        <v>67</v>
      </c>
      <c r="E530">
        <v>7.6</v>
      </c>
      <c r="F530" t="s">
        <v>24</v>
      </c>
      <c r="G530" t="s">
        <v>15</v>
      </c>
      <c r="H530" t="s">
        <v>15</v>
      </c>
      <c r="I530" t="s">
        <v>15</v>
      </c>
      <c r="J530">
        <v>93.4</v>
      </c>
      <c r="K530">
        <v>84.3</v>
      </c>
      <c r="L530" t="s">
        <v>20</v>
      </c>
    </row>
    <row r="531" spans="1:12" x14ac:dyDescent="0.35">
      <c r="A531">
        <v>530</v>
      </c>
      <c r="B531" t="s">
        <v>17</v>
      </c>
      <c r="C531">
        <v>3.9</v>
      </c>
      <c r="D531">
        <v>79.599999999999994</v>
      </c>
      <c r="E531">
        <v>9</v>
      </c>
      <c r="F531" t="s">
        <v>18</v>
      </c>
      <c r="G531" t="s">
        <v>14</v>
      </c>
      <c r="H531" t="s">
        <v>15</v>
      </c>
      <c r="I531" t="s">
        <v>15</v>
      </c>
      <c r="J531">
        <v>78.2</v>
      </c>
      <c r="K531">
        <v>84.5</v>
      </c>
      <c r="L531" t="s">
        <v>20</v>
      </c>
    </row>
    <row r="532" spans="1:12" x14ac:dyDescent="0.35">
      <c r="A532">
        <v>531</v>
      </c>
      <c r="B532" t="s">
        <v>12</v>
      </c>
      <c r="C532">
        <v>4.4000000000000004</v>
      </c>
      <c r="D532">
        <v>77.099999999999994</v>
      </c>
      <c r="E532">
        <v>6.6</v>
      </c>
      <c r="F532" t="s">
        <v>18</v>
      </c>
      <c r="G532" t="s">
        <v>14</v>
      </c>
      <c r="H532" t="s">
        <v>14</v>
      </c>
      <c r="I532" t="s">
        <v>15</v>
      </c>
      <c r="J532">
        <v>88.4</v>
      </c>
      <c r="K532">
        <v>94.7</v>
      </c>
      <c r="L532" t="s">
        <v>16</v>
      </c>
    </row>
    <row r="533" spans="1:12" x14ac:dyDescent="0.35">
      <c r="A533">
        <v>532</v>
      </c>
      <c r="B533" t="s">
        <v>17</v>
      </c>
      <c r="C533">
        <v>3.8</v>
      </c>
      <c r="D533">
        <v>78.8</v>
      </c>
      <c r="E533">
        <v>7.6</v>
      </c>
      <c r="F533" t="s">
        <v>18</v>
      </c>
      <c r="G533" t="s">
        <v>14</v>
      </c>
      <c r="H533" t="s">
        <v>14</v>
      </c>
      <c r="I533" t="s">
        <v>15</v>
      </c>
      <c r="J533">
        <v>77.2</v>
      </c>
      <c r="K533">
        <v>89.6</v>
      </c>
      <c r="L533" t="s">
        <v>20</v>
      </c>
    </row>
    <row r="534" spans="1:12" x14ac:dyDescent="0.35">
      <c r="A534">
        <v>533</v>
      </c>
      <c r="B534" t="s">
        <v>12</v>
      </c>
      <c r="C534">
        <v>2.8</v>
      </c>
      <c r="D534">
        <v>83.3</v>
      </c>
      <c r="E534">
        <v>6.9</v>
      </c>
      <c r="F534" t="s">
        <v>13</v>
      </c>
      <c r="G534" t="s">
        <v>14</v>
      </c>
      <c r="H534" t="s">
        <v>15</v>
      </c>
      <c r="I534" t="s">
        <v>15</v>
      </c>
      <c r="J534">
        <v>61.5</v>
      </c>
      <c r="K534">
        <v>68.599999999999994</v>
      </c>
      <c r="L534" t="s">
        <v>21</v>
      </c>
    </row>
    <row r="535" spans="1:12" x14ac:dyDescent="0.35">
      <c r="A535">
        <v>534</v>
      </c>
      <c r="B535" t="s">
        <v>12</v>
      </c>
      <c r="C535">
        <v>3.8</v>
      </c>
      <c r="D535">
        <v>80.3</v>
      </c>
      <c r="E535">
        <v>8.4</v>
      </c>
      <c r="F535" t="s">
        <v>13</v>
      </c>
      <c r="G535" t="s">
        <v>14</v>
      </c>
      <c r="H535" t="s">
        <v>15</v>
      </c>
      <c r="I535" t="s">
        <v>15</v>
      </c>
      <c r="J535">
        <v>71.400000000000006</v>
      </c>
      <c r="K535">
        <v>92.8</v>
      </c>
      <c r="L535" t="s">
        <v>16</v>
      </c>
    </row>
    <row r="536" spans="1:12" x14ac:dyDescent="0.35">
      <c r="A536">
        <v>535</v>
      </c>
      <c r="B536" t="s">
        <v>12</v>
      </c>
      <c r="C536">
        <v>5.0999999999999996</v>
      </c>
      <c r="D536">
        <v>65.2</v>
      </c>
      <c r="E536">
        <v>5.9</v>
      </c>
      <c r="F536" t="s">
        <v>13</v>
      </c>
      <c r="G536" t="s">
        <v>14</v>
      </c>
      <c r="H536" t="s">
        <v>14</v>
      </c>
      <c r="I536" t="s">
        <v>15</v>
      </c>
      <c r="J536">
        <v>72.8</v>
      </c>
      <c r="K536">
        <v>80.7</v>
      </c>
      <c r="L536" t="s">
        <v>20</v>
      </c>
    </row>
    <row r="537" spans="1:12" x14ac:dyDescent="0.35">
      <c r="A537">
        <v>536</v>
      </c>
      <c r="B537" t="s">
        <v>17</v>
      </c>
      <c r="C537">
        <v>2</v>
      </c>
      <c r="D537">
        <v>92.5</v>
      </c>
      <c r="E537">
        <v>7.7</v>
      </c>
      <c r="F537" t="s">
        <v>18</v>
      </c>
      <c r="G537" t="s">
        <v>14</v>
      </c>
      <c r="H537" t="s">
        <v>15</v>
      </c>
      <c r="I537" t="s">
        <v>15</v>
      </c>
      <c r="J537">
        <v>58.7</v>
      </c>
      <c r="K537">
        <v>77.599999999999994</v>
      </c>
      <c r="L537" t="s">
        <v>22</v>
      </c>
    </row>
    <row r="538" spans="1:12" x14ac:dyDescent="0.35">
      <c r="A538">
        <v>537</v>
      </c>
      <c r="B538" t="s">
        <v>17</v>
      </c>
      <c r="C538">
        <v>3.7</v>
      </c>
      <c r="D538">
        <v>74.3</v>
      </c>
      <c r="E538">
        <v>6.6</v>
      </c>
      <c r="F538" t="s">
        <v>23</v>
      </c>
      <c r="G538" t="s">
        <v>14</v>
      </c>
      <c r="H538" t="s">
        <v>14</v>
      </c>
      <c r="I538" t="s">
        <v>15</v>
      </c>
      <c r="J538">
        <v>65.400000000000006</v>
      </c>
      <c r="K538">
        <v>87.7</v>
      </c>
      <c r="L538" t="s">
        <v>20</v>
      </c>
    </row>
    <row r="539" spans="1:12" x14ac:dyDescent="0.35">
      <c r="A539">
        <v>538</v>
      </c>
      <c r="B539" t="s">
        <v>12</v>
      </c>
      <c r="C539">
        <v>2.4</v>
      </c>
      <c r="D539">
        <v>87.4</v>
      </c>
      <c r="E539">
        <v>6.7</v>
      </c>
      <c r="F539" t="s">
        <v>18</v>
      </c>
      <c r="G539" t="s">
        <v>14</v>
      </c>
      <c r="H539" t="s">
        <v>14</v>
      </c>
      <c r="I539" t="s">
        <v>15</v>
      </c>
      <c r="J539">
        <v>67.5</v>
      </c>
      <c r="K539">
        <v>86</v>
      </c>
      <c r="L539" t="s">
        <v>20</v>
      </c>
    </row>
    <row r="540" spans="1:12" x14ac:dyDescent="0.35">
      <c r="A540">
        <v>539</v>
      </c>
      <c r="B540" t="s">
        <v>12</v>
      </c>
      <c r="C540">
        <v>5.3</v>
      </c>
      <c r="D540">
        <v>100</v>
      </c>
      <c r="E540">
        <v>6.9</v>
      </c>
      <c r="F540" t="s">
        <v>18</v>
      </c>
      <c r="G540" t="s">
        <v>14</v>
      </c>
      <c r="H540" t="s">
        <v>15</v>
      </c>
      <c r="I540" t="s">
        <v>15</v>
      </c>
      <c r="J540">
        <v>89.3</v>
      </c>
      <c r="K540">
        <v>100</v>
      </c>
      <c r="L540" t="s">
        <v>16</v>
      </c>
    </row>
    <row r="541" spans="1:12" x14ac:dyDescent="0.35">
      <c r="A541">
        <v>540</v>
      </c>
      <c r="B541" t="s">
        <v>17</v>
      </c>
      <c r="C541">
        <v>1.2</v>
      </c>
      <c r="D541">
        <v>75.8</v>
      </c>
      <c r="E541">
        <v>7.1</v>
      </c>
      <c r="F541" t="s">
        <v>13</v>
      </c>
      <c r="G541" t="s">
        <v>14</v>
      </c>
      <c r="H541" t="s">
        <v>14</v>
      </c>
      <c r="I541" t="s">
        <v>14</v>
      </c>
      <c r="J541">
        <v>45</v>
      </c>
      <c r="K541">
        <v>57.3</v>
      </c>
      <c r="L541" t="s">
        <v>25</v>
      </c>
    </row>
    <row r="542" spans="1:12" x14ac:dyDescent="0.35">
      <c r="A542">
        <v>541</v>
      </c>
      <c r="B542" t="s">
        <v>12</v>
      </c>
      <c r="C542">
        <v>2.7</v>
      </c>
      <c r="D542">
        <v>59.7</v>
      </c>
      <c r="E542">
        <v>6.7</v>
      </c>
      <c r="F542" t="s">
        <v>23</v>
      </c>
      <c r="G542" t="s">
        <v>15</v>
      </c>
      <c r="H542" t="s">
        <v>15</v>
      </c>
      <c r="I542" t="s">
        <v>14</v>
      </c>
      <c r="J542">
        <v>84.5</v>
      </c>
      <c r="K542">
        <v>75.599999999999994</v>
      </c>
      <c r="L542" t="s">
        <v>22</v>
      </c>
    </row>
    <row r="543" spans="1:12" x14ac:dyDescent="0.35">
      <c r="A543">
        <v>542</v>
      </c>
      <c r="B543" t="s">
        <v>17</v>
      </c>
      <c r="C543">
        <v>4.0999999999999996</v>
      </c>
      <c r="D543">
        <v>82.1</v>
      </c>
      <c r="E543">
        <v>7.1</v>
      </c>
      <c r="F543" t="s">
        <v>23</v>
      </c>
      <c r="G543" t="s">
        <v>14</v>
      </c>
      <c r="H543" t="s">
        <v>14</v>
      </c>
      <c r="I543" t="s">
        <v>15</v>
      </c>
      <c r="J543">
        <v>58.8</v>
      </c>
      <c r="K543">
        <v>87.3</v>
      </c>
      <c r="L543" t="s">
        <v>20</v>
      </c>
    </row>
    <row r="544" spans="1:12" x14ac:dyDescent="0.35">
      <c r="A544">
        <v>543</v>
      </c>
      <c r="B544" t="s">
        <v>12</v>
      </c>
      <c r="C544">
        <v>5.8</v>
      </c>
      <c r="D544">
        <v>96</v>
      </c>
      <c r="E544">
        <v>8.6999999999999993</v>
      </c>
      <c r="F544" t="s">
        <v>13</v>
      </c>
      <c r="G544" t="s">
        <v>14</v>
      </c>
      <c r="H544" t="s">
        <v>14</v>
      </c>
      <c r="I544" t="s">
        <v>14</v>
      </c>
      <c r="J544">
        <v>53.5</v>
      </c>
      <c r="K544">
        <v>88.8</v>
      </c>
      <c r="L544" t="s">
        <v>20</v>
      </c>
    </row>
    <row r="545" spans="1:12" x14ac:dyDescent="0.35">
      <c r="A545">
        <v>544</v>
      </c>
      <c r="B545" t="s">
        <v>17</v>
      </c>
      <c r="C545">
        <v>3.4</v>
      </c>
      <c r="D545">
        <v>100</v>
      </c>
      <c r="E545">
        <v>8</v>
      </c>
      <c r="F545" t="s">
        <v>18</v>
      </c>
      <c r="G545" t="s">
        <v>14</v>
      </c>
      <c r="H545" t="s">
        <v>15</v>
      </c>
      <c r="I545" t="s">
        <v>15</v>
      </c>
      <c r="J545">
        <v>84.2</v>
      </c>
      <c r="K545">
        <v>91.8</v>
      </c>
      <c r="L545" t="s">
        <v>16</v>
      </c>
    </row>
    <row r="546" spans="1:12" x14ac:dyDescent="0.35">
      <c r="A546">
        <v>545</v>
      </c>
      <c r="B546" t="s">
        <v>12</v>
      </c>
      <c r="C546">
        <v>2.7</v>
      </c>
      <c r="D546">
        <v>72.7</v>
      </c>
      <c r="E546">
        <v>7.8</v>
      </c>
      <c r="F546" t="s">
        <v>13</v>
      </c>
      <c r="G546" t="s">
        <v>14</v>
      </c>
      <c r="H546" t="s">
        <v>15</v>
      </c>
      <c r="I546" t="s">
        <v>14</v>
      </c>
      <c r="J546">
        <v>78.8</v>
      </c>
      <c r="K546">
        <v>66</v>
      </c>
      <c r="L546" t="s">
        <v>21</v>
      </c>
    </row>
    <row r="547" spans="1:12" x14ac:dyDescent="0.35">
      <c r="A547">
        <v>546</v>
      </c>
      <c r="B547" t="s">
        <v>17</v>
      </c>
      <c r="C547">
        <v>6.3</v>
      </c>
      <c r="D547">
        <v>90</v>
      </c>
      <c r="E547">
        <v>6.3</v>
      </c>
      <c r="F547" t="s">
        <v>18</v>
      </c>
      <c r="G547" t="s">
        <v>14</v>
      </c>
      <c r="H547" t="s">
        <v>14</v>
      </c>
      <c r="I547" t="s">
        <v>15</v>
      </c>
      <c r="J547">
        <v>85.1</v>
      </c>
      <c r="K547">
        <v>100</v>
      </c>
      <c r="L547" t="s">
        <v>16</v>
      </c>
    </row>
    <row r="548" spans="1:12" x14ac:dyDescent="0.35">
      <c r="A548">
        <v>547</v>
      </c>
      <c r="B548" t="s">
        <v>12</v>
      </c>
      <c r="C548">
        <v>1.3</v>
      </c>
      <c r="D548">
        <v>80.3</v>
      </c>
      <c r="E548">
        <v>5.7</v>
      </c>
      <c r="F548" t="s">
        <v>13</v>
      </c>
      <c r="G548" t="s">
        <v>15</v>
      </c>
      <c r="H548" t="s">
        <v>14</v>
      </c>
      <c r="I548" t="s">
        <v>15</v>
      </c>
      <c r="J548">
        <v>79.599999999999994</v>
      </c>
      <c r="K548">
        <v>71.099999999999994</v>
      </c>
      <c r="L548" t="s">
        <v>22</v>
      </c>
    </row>
    <row r="549" spans="1:12" x14ac:dyDescent="0.35">
      <c r="A549">
        <v>548</v>
      </c>
      <c r="B549" t="s">
        <v>17</v>
      </c>
      <c r="C549">
        <v>0.5</v>
      </c>
      <c r="D549">
        <v>83.9</v>
      </c>
      <c r="E549">
        <v>7.9</v>
      </c>
      <c r="F549" t="s">
        <v>13</v>
      </c>
      <c r="G549" t="s">
        <v>14</v>
      </c>
      <c r="H549" t="s">
        <v>15</v>
      </c>
      <c r="I549" t="s">
        <v>15</v>
      </c>
      <c r="J549">
        <v>94.7</v>
      </c>
      <c r="K549">
        <v>88.8</v>
      </c>
      <c r="L549" t="s">
        <v>20</v>
      </c>
    </row>
    <row r="550" spans="1:12" x14ac:dyDescent="0.35">
      <c r="A550">
        <v>549</v>
      </c>
      <c r="B550" t="s">
        <v>17</v>
      </c>
      <c r="C550">
        <v>4.2</v>
      </c>
      <c r="D550">
        <v>100</v>
      </c>
      <c r="E550">
        <v>7.9</v>
      </c>
      <c r="F550" t="s">
        <v>18</v>
      </c>
      <c r="G550" t="s">
        <v>14</v>
      </c>
      <c r="H550" t="s">
        <v>14</v>
      </c>
      <c r="I550" t="s">
        <v>15</v>
      </c>
      <c r="J550">
        <v>76.7</v>
      </c>
      <c r="K550">
        <v>100</v>
      </c>
      <c r="L550" t="s">
        <v>16</v>
      </c>
    </row>
    <row r="551" spans="1:12" x14ac:dyDescent="0.35">
      <c r="A551">
        <v>550</v>
      </c>
      <c r="B551" t="s">
        <v>12</v>
      </c>
      <c r="C551">
        <v>2.7</v>
      </c>
      <c r="D551">
        <v>70</v>
      </c>
      <c r="E551">
        <v>8.6</v>
      </c>
      <c r="F551" t="s">
        <v>18</v>
      </c>
      <c r="G551" t="s">
        <v>14</v>
      </c>
      <c r="H551" t="s">
        <v>15</v>
      </c>
      <c r="I551" t="s">
        <v>15</v>
      </c>
      <c r="J551">
        <v>68.099999999999994</v>
      </c>
      <c r="K551">
        <v>85.2</v>
      </c>
      <c r="L551" t="s">
        <v>20</v>
      </c>
    </row>
    <row r="552" spans="1:12" x14ac:dyDescent="0.35">
      <c r="A552">
        <v>551</v>
      </c>
      <c r="B552" t="s">
        <v>12</v>
      </c>
      <c r="C552">
        <v>2</v>
      </c>
      <c r="D552">
        <v>87.5</v>
      </c>
      <c r="E552">
        <v>6.1</v>
      </c>
      <c r="F552" t="s">
        <v>19</v>
      </c>
      <c r="G552" t="s">
        <v>14</v>
      </c>
      <c r="H552" t="s">
        <v>15</v>
      </c>
      <c r="I552" t="s">
        <v>15</v>
      </c>
      <c r="J552">
        <v>74.099999999999994</v>
      </c>
      <c r="K552">
        <v>75.400000000000006</v>
      </c>
      <c r="L552" t="s">
        <v>22</v>
      </c>
    </row>
    <row r="553" spans="1:12" x14ac:dyDescent="0.35">
      <c r="A553">
        <v>552</v>
      </c>
      <c r="B553" t="s">
        <v>17</v>
      </c>
      <c r="C553">
        <v>4.5999999999999996</v>
      </c>
      <c r="D553">
        <v>89.7</v>
      </c>
      <c r="E553">
        <v>6.5</v>
      </c>
      <c r="F553" t="s">
        <v>19</v>
      </c>
      <c r="G553" t="s">
        <v>14</v>
      </c>
      <c r="H553" t="s">
        <v>14</v>
      </c>
      <c r="I553" t="s">
        <v>15</v>
      </c>
      <c r="J553">
        <v>84.9</v>
      </c>
      <c r="K553">
        <v>100</v>
      </c>
      <c r="L553" t="s">
        <v>16</v>
      </c>
    </row>
    <row r="554" spans="1:12" x14ac:dyDescent="0.35">
      <c r="A554">
        <v>553</v>
      </c>
      <c r="B554" t="s">
        <v>12</v>
      </c>
      <c r="C554">
        <v>3.9</v>
      </c>
      <c r="D554">
        <v>95.9</v>
      </c>
      <c r="E554">
        <v>4.8</v>
      </c>
      <c r="F554" t="s">
        <v>13</v>
      </c>
      <c r="G554" t="s">
        <v>14</v>
      </c>
      <c r="H554" t="s">
        <v>14</v>
      </c>
      <c r="I554" t="s">
        <v>14</v>
      </c>
      <c r="J554">
        <v>60.6</v>
      </c>
      <c r="K554">
        <v>78.900000000000006</v>
      </c>
      <c r="L554" t="s">
        <v>22</v>
      </c>
    </row>
    <row r="555" spans="1:12" x14ac:dyDescent="0.35">
      <c r="A555">
        <v>554</v>
      </c>
      <c r="B555" t="s">
        <v>17</v>
      </c>
      <c r="C555">
        <v>2.7</v>
      </c>
      <c r="D555">
        <v>86</v>
      </c>
      <c r="E555">
        <v>6.3</v>
      </c>
      <c r="F555" t="s">
        <v>18</v>
      </c>
      <c r="G555" t="s">
        <v>14</v>
      </c>
      <c r="H555" t="s">
        <v>14</v>
      </c>
      <c r="I555" t="s">
        <v>15</v>
      </c>
      <c r="J555">
        <v>62.2</v>
      </c>
      <c r="K555">
        <v>83.4</v>
      </c>
      <c r="L555" t="s">
        <v>20</v>
      </c>
    </row>
    <row r="556" spans="1:12" x14ac:dyDescent="0.35">
      <c r="A556">
        <v>555</v>
      </c>
      <c r="B556" t="s">
        <v>12</v>
      </c>
      <c r="C556">
        <v>1.6</v>
      </c>
      <c r="D556">
        <v>88.1</v>
      </c>
      <c r="E556">
        <v>8</v>
      </c>
      <c r="F556" t="s">
        <v>18</v>
      </c>
      <c r="G556" t="s">
        <v>15</v>
      </c>
      <c r="H556" t="s">
        <v>15</v>
      </c>
      <c r="I556" t="s">
        <v>15</v>
      </c>
      <c r="J556">
        <v>66.3</v>
      </c>
      <c r="K556">
        <v>63.4</v>
      </c>
      <c r="L556" t="s">
        <v>21</v>
      </c>
    </row>
    <row r="557" spans="1:12" x14ac:dyDescent="0.35">
      <c r="A557">
        <v>556</v>
      </c>
      <c r="B557" t="s">
        <v>17</v>
      </c>
      <c r="C557">
        <v>4.8</v>
      </c>
      <c r="D557">
        <v>81.099999999999994</v>
      </c>
      <c r="E557">
        <v>6.2</v>
      </c>
      <c r="F557" t="s">
        <v>13</v>
      </c>
      <c r="G557" t="s">
        <v>14</v>
      </c>
      <c r="H557" t="s">
        <v>14</v>
      </c>
      <c r="I557" t="s">
        <v>15</v>
      </c>
      <c r="J557">
        <v>44.7</v>
      </c>
      <c r="K557">
        <v>80.7</v>
      </c>
      <c r="L557" t="s">
        <v>20</v>
      </c>
    </row>
    <row r="558" spans="1:12" x14ac:dyDescent="0.35">
      <c r="A558">
        <v>557</v>
      </c>
      <c r="B558" t="s">
        <v>17</v>
      </c>
      <c r="C558">
        <v>4.5</v>
      </c>
      <c r="D558">
        <v>87.7</v>
      </c>
      <c r="E558">
        <v>7.6</v>
      </c>
      <c r="F558" t="s">
        <v>19</v>
      </c>
      <c r="G558" t="s">
        <v>14</v>
      </c>
      <c r="H558" t="s">
        <v>14</v>
      </c>
      <c r="I558" t="s">
        <v>15</v>
      </c>
      <c r="J558">
        <v>71.7</v>
      </c>
      <c r="K558">
        <v>80.8</v>
      </c>
      <c r="L558" t="s">
        <v>20</v>
      </c>
    </row>
    <row r="559" spans="1:12" x14ac:dyDescent="0.35">
      <c r="A559">
        <v>558</v>
      </c>
      <c r="B559" t="s">
        <v>17</v>
      </c>
      <c r="C559">
        <v>3.4</v>
      </c>
      <c r="D559">
        <v>81.599999999999994</v>
      </c>
      <c r="E559">
        <v>6.6</v>
      </c>
      <c r="F559" t="s">
        <v>18</v>
      </c>
      <c r="G559" t="s">
        <v>14</v>
      </c>
      <c r="H559" t="s">
        <v>14</v>
      </c>
      <c r="I559" t="s">
        <v>15</v>
      </c>
      <c r="J559">
        <v>47.4</v>
      </c>
      <c r="K559">
        <v>73.099999999999994</v>
      </c>
      <c r="L559" t="s">
        <v>22</v>
      </c>
    </row>
    <row r="560" spans="1:12" x14ac:dyDescent="0.35">
      <c r="A560">
        <v>559</v>
      </c>
      <c r="B560" t="s">
        <v>17</v>
      </c>
      <c r="C560">
        <v>6.3</v>
      </c>
      <c r="D560">
        <v>91.2</v>
      </c>
      <c r="E560">
        <v>7.2</v>
      </c>
      <c r="F560" t="s">
        <v>23</v>
      </c>
      <c r="G560" t="s">
        <v>14</v>
      </c>
      <c r="H560" t="s">
        <v>15</v>
      </c>
      <c r="I560" t="s">
        <v>14</v>
      </c>
      <c r="J560">
        <v>70.599999999999994</v>
      </c>
      <c r="K560">
        <v>99.8</v>
      </c>
      <c r="L560" t="s">
        <v>16</v>
      </c>
    </row>
    <row r="561" spans="1:12" x14ac:dyDescent="0.35">
      <c r="A561">
        <v>560</v>
      </c>
      <c r="B561" t="s">
        <v>17</v>
      </c>
      <c r="C561">
        <v>1.9</v>
      </c>
      <c r="D561">
        <v>81.3</v>
      </c>
      <c r="E561">
        <v>5.4</v>
      </c>
      <c r="F561" t="s">
        <v>18</v>
      </c>
      <c r="G561" t="s">
        <v>14</v>
      </c>
      <c r="H561" t="s">
        <v>14</v>
      </c>
      <c r="I561" t="s">
        <v>14</v>
      </c>
      <c r="J561">
        <v>80.400000000000006</v>
      </c>
      <c r="K561">
        <v>73.5</v>
      </c>
      <c r="L561" t="s">
        <v>22</v>
      </c>
    </row>
    <row r="562" spans="1:12" x14ac:dyDescent="0.35">
      <c r="A562">
        <v>561</v>
      </c>
      <c r="B562" t="s">
        <v>17</v>
      </c>
      <c r="C562">
        <v>1.2</v>
      </c>
      <c r="D562">
        <v>88.8</v>
      </c>
      <c r="E562">
        <v>6.9</v>
      </c>
      <c r="F562" t="s">
        <v>19</v>
      </c>
      <c r="G562" t="s">
        <v>14</v>
      </c>
      <c r="H562" t="s">
        <v>14</v>
      </c>
      <c r="I562" t="s">
        <v>15</v>
      </c>
      <c r="J562">
        <v>64.3</v>
      </c>
      <c r="K562">
        <v>68.2</v>
      </c>
      <c r="L562" t="s">
        <v>21</v>
      </c>
    </row>
    <row r="563" spans="1:12" x14ac:dyDescent="0.35">
      <c r="A563">
        <v>562</v>
      </c>
      <c r="B563" t="s">
        <v>12</v>
      </c>
      <c r="C563">
        <v>2.5</v>
      </c>
      <c r="D563">
        <v>84.7</v>
      </c>
      <c r="E563">
        <v>3.2</v>
      </c>
      <c r="F563" t="s">
        <v>13</v>
      </c>
      <c r="G563" t="s">
        <v>15</v>
      </c>
      <c r="H563" t="s">
        <v>15</v>
      </c>
      <c r="I563" t="s">
        <v>15</v>
      </c>
      <c r="J563">
        <v>90.1</v>
      </c>
      <c r="K563">
        <v>83.9</v>
      </c>
      <c r="L563" t="s">
        <v>20</v>
      </c>
    </row>
    <row r="564" spans="1:12" x14ac:dyDescent="0.35">
      <c r="A564">
        <v>563</v>
      </c>
      <c r="B564" t="s">
        <v>12</v>
      </c>
      <c r="C564">
        <v>3.4</v>
      </c>
      <c r="D564">
        <v>96.3</v>
      </c>
      <c r="E564">
        <v>6.6</v>
      </c>
      <c r="F564" t="s">
        <v>23</v>
      </c>
      <c r="G564" t="s">
        <v>15</v>
      </c>
      <c r="H564" t="s">
        <v>15</v>
      </c>
      <c r="I564" t="s">
        <v>15</v>
      </c>
      <c r="J564">
        <v>52.5</v>
      </c>
      <c r="K564">
        <v>75.3</v>
      </c>
      <c r="L564" t="s">
        <v>22</v>
      </c>
    </row>
    <row r="565" spans="1:12" x14ac:dyDescent="0.35">
      <c r="A565">
        <v>564</v>
      </c>
      <c r="B565" t="s">
        <v>12</v>
      </c>
      <c r="C565">
        <v>3.9</v>
      </c>
      <c r="D565">
        <v>84.5</v>
      </c>
      <c r="E565">
        <v>4.8</v>
      </c>
      <c r="F565" t="s">
        <v>18</v>
      </c>
      <c r="G565" t="s">
        <v>15</v>
      </c>
      <c r="H565" t="s">
        <v>15</v>
      </c>
      <c r="I565" t="s">
        <v>14</v>
      </c>
      <c r="J565">
        <v>84.3</v>
      </c>
      <c r="K565">
        <v>78.7</v>
      </c>
      <c r="L565" t="s">
        <v>22</v>
      </c>
    </row>
    <row r="566" spans="1:12" x14ac:dyDescent="0.35">
      <c r="A566">
        <v>565</v>
      </c>
      <c r="B566" t="s">
        <v>17</v>
      </c>
      <c r="C566">
        <v>3.1</v>
      </c>
      <c r="D566">
        <v>67.3</v>
      </c>
      <c r="E566">
        <v>8.1999999999999993</v>
      </c>
      <c r="F566" t="s">
        <v>13</v>
      </c>
      <c r="G566" t="s">
        <v>14</v>
      </c>
      <c r="H566" t="s">
        <v>14</v>
      </c>
      <c r="I566" t="s">
        <v>15</v>
      </c>
      <c r="J566">
        <v>78.099999999999994</v>
      </c>
      <c r="K566">
        <v>82.8</v>
      </c>
      <c r="L566" t="s">
        <v>20</v>
      </c>
    </row>
    <row r="567" spans="1:12" x14ac:dyDescent="0.35">
      <c r="A567">
        <v>566</v>
      </c>
      <c r="B567" t="s">
        <v>17</v>
      </c>
      <c r="C567">
        <v>4</v>
      </c>
      <c r="D567">
        <v>97.6</v>
      </c>
      <c r="E567">
        <v>7.7</v>
      </c>
      <c r="F567" t="s">
        <v>18</v>
      </c>
      <c r="G567" t="s">
        <v>14</v>
      </c>
      <c r="H567" t="s">
        <v>14</v>
      </c>
      <c r="I567" t="s">
        <v>15</v>
      </c>
      <c r="J567">
        <v>49.4</v>
      </c>
      <c r="K567">
        <v>100</v>
      </c>
      <c r="L567" t="s">
        <v>16</v>
      </c>
    </row>
    <row r="568" spans="1:12" x14ac:dyDescent="0.35">
      <c r="A568">
        <v>567</v>
      </c>
      <c r="B568" t="s">
        <v>17</v>
      </c>
      <c r="C568">
        <v>1.6</v>
      </c>
      <c r="D568">
        <v>75.900000000000006</v>
      </c>
      <c r="E568">
        <v>7.4</v>
      </c>
      <c r="F568" t="s">
        <v>18</v>
      </c>
      <c r="G568" t="s">
        <v>14</v>
      </c>
      <c r="H568" t="s">
        <v>15</v>
      </c>
      <c r="I568" t="s">
        <v>15</v>
      </c>
      <c r="J568">
        <v>100</v>
      </c>
      <c r="K568">
        <v>92.6</v>
      </c>
      <c r="L568" t="s">
        <v>16</v>
      </c>
    </row>
    <row r="569" spans="1:12" x14ac:dyDescent="0.35">
      <c r="A569">
        <v>568</v>
      </c>
      <c r="B569" t="s">
        <v>17</v>
      </c>
      <c r="C569">
        <v>5.7</v>
      </c>
      <c r="D569">
        <v>78.5</v>
      </c>
      <c r="E569">
        <v>8.6</v>
      </c>
      <c r="F569" t="s">
        <v>19</v>
      </c>
      <c r="G569" t="s">
        <v>14</v>
      </c>
      <c r="H569" t="s">
        <v>14</v>
      </c>
      <c r="I569" t="s">
        <v>14</v>
      </c>
      <c r="J569">
        <v>69.2</v>
      </c>
      <c r="K569">
        <v>99.1</v>
      </c>
      <c r="L569" t="s">
        <v>16</v>
      </c>
    </row>
    <row r="570" spans="1:12" x14ac:dyDescent="0.35">
      <c r="A570">
        <v>569</v>
      </c>
      <c r="B570" t="s">
        <v>12</v>
      </c>
      <c r="C570">
        <v>3.4</v>
      </c>
      <c r="D570">
        <v>79</v>
      </c>
      <c r="E570">
        <v>5.7</v>
      </c>
      <c r="F570" t="s">
        <v>19</v>
      </c>
      <c r="G570" t="s">
        <v>14</v>
      </c>
      <c r="H570" t="s">
        <v>15</v>
      </c>
      <c r="I570" t="s">
        <v>14</v>
      </c>
      <c r="J570">
        <v>59.5</v>
      </c>
      <c r="K570">
        <v>76.2</v>
      </c>
      <c r="L570" t="s">
        <v>22</v>
      </c>
    </row>
    <row r="571" spans="1:12" x14ac:dyDescent="0.35">
      <c r="A571">
        <v>570</v>
      </c>
      <c r="B571" t="s">
        <v>12</v>
      </c>
      <c r="C571">
        <v>5.2</v>
      </c>
      <c r="D571">
        <v>98.7</v>
      </c>
      <c r="E571">
        <v>8.9</v>
      </c>
      <c r="F571" t="s">
        <v>24</v>
      </c>
      <c r="G571" t="s">
        <v>14</v>
      </c>
      <c r="H571" t="s">
        <v>15</v>
      </c>
      <c r="I571" t="s">
        <v>14</v>
      </c>
      <c r="J571">
        <v>53.1</v>
      </c>
      <c r="K571">
        <v>90.9</v>
      </c>
      <c r="L571" t="s">
        <v>16</v>
      </c>
    </row>
    <row r="572" spans="1:12" x14ac:dyDescent="0.35">
      <c r="A572">
        <v>571</v>
      </c>
      <c r="B572" t="s">
        <v>17</v>
      </c>
      <c r="C572">
        <v>4</v>
      </c>
      <c r="D572">
        <v>63.6</v>
      </c>
      <c r="E572">
        <v>7.9</v>
      </c>
      <c r="F572" t="s">
        <v>13</v>
      </c>
      <c r="G572" t="s">
        <v>14</v>
      </c>
      <c r="H572" t="s">
        <v>14</v>
      </c>
      <c r="I572" t="s">
        <v>14</v>
      </c>
      <c r="J572">
        <v>67.400000000000006</v>
      </c>
      <c r="K572">
        <v>63.3</v>
      </c>
      <c r="L572" t="s">
        <v>21</v>
      </c>
    </row>
    <row r="573" spans="1:12" x14ac:dyDescent="0.35">
      <c r="A573">
        <v>572</v>
      </c>
      <c r="B573" t="s">
        <v>12</v>
      </c>
      <c r="C573">
        <v>4.2</v>
      </c>
      <c r="D573">
        <v>100</v>
      </c>
      <c r="E573">
        <v>6.5</v>
      </c>
      <c r="F573" t="s">
        <v>23</v>
      </c>
      <c r="G573" t="s">
        <v>14</v>
      </c>
      <c r="H573" t="s">
        <v>15</v>
      </c>
      <c r="I573" t="s">
        <v>14</v>
      </c>
      <c r="J573">
        <v>68.5</v>
      </c>
      <c r="K573">
        <v>85</v>
      </c>
      <c r="L573" t="s">
        <v>20</v>
      </c>
    </row>
    <row r="574" spans="1:12" x14ac:dyDescent="0.35">
      <c r="A574">
        <v>573</v>
      </c>
      <c r="B574" t="s">
        <v>12</v>
      </c>
      <c r="C574">
        <v>4.4000000000000004</v>
      </c>
      <c r="D574">
        <v>95.6</v>
      </c>
      <c r="E574">
        <v>8.1999999999999993</v>
      </c>
      <c r="F574" t="s">
        <v>18</v>
      </c>
      <c r="G574" t="s">
        <v>14</v>
      </c>
      <c r="H574" t="s">
        <v>15</v>
      </c>
      <c r="I574" t="s">
        <v>14</v>
      </c>
      <c r="J574">
        <v>71.2</v>
      </c>
      <c r="K574">
        <v>88.7</v>
      </c>
      <c r="L574" t="s">
        <v>20</v>
      </c>
    </row>
    <row r="575" spans="1:12" x14ac:dyDescent="0.35">
      <c r="A575">
        <v>574</v>
      </c>
      <c r="B575" t="s">
        <v>17</v>
      </c>
      <c r="C575">
        <v>4.2</v>
      </c>
      <c r="D575">
        <v>87.2</v>
      </c>
      <c r="E575">
        <v>5.5</v>
      </c>
      <c r="F575" t="s">
        <v>18</v>
      </c>
      <c r="G575" t="s">
        <v>14</v>
      </c>
      <c r="H575" t="s">
        <v>14</v>
      </c>
      <c r="I575" t="s">
        <v>15</v>
      </c>
      <c r="J575">
        <v>66.400000000000006</v>
      </c>
      <c r="K575">
        <v>75.3</v>
      </c>
      <c r="L575" t="s">
        <v>22</v>
      </c>
    </row>
    <row r="576" spans="1:12" x14ac:dyDescent="0.35">
      <c r="A576">
        <v>575</v>
      </c>
      <c r="B576" t="s">
        <v>12</v>
      </c>
      <c r="C576">
        <v>4.5</v>
      </c>
      <c r="D576">
        <v>84.5</v>
      </c>
      <c r="E576">
        <v>5.8</v>
      </c>
      <c r="F576" t="s">
        <v>18</v>
      </c>
      <c r="G576" t="s">
        <v>14</v>
      </c>
      <c r="H576" t="s">
        <v>14</v>
      </c>
      <c r="I576" t="s">
        <v>15</v>
      </c>
      <c r="J576">
        <v>77.599999999999994</v>
      </c>
      <c r="K576">
        <v>84.9</v>
      </c>
      <c r="L576" t="s">
        <v>20</v>
      </c>
    </row>
    <row r="577" spans="1:12" x14ac:dyDescent="0.35">
      <c r="A577">
        <v>576</v>
      </c>
      <c r="B577" t="s">
        <v>17</v>
      </c>
      <c r="C577">
        <v>5.5</v>
      </c>
      <c r="D577">
        <v>87.9</v>
      </c>
      <c r="E577">
        <v>6.1</v>
      </c>
      <c r="F577" t="s">
        <v>13</v>
      </c>
      <c r="G577" t="s">
        <v>14</v>
      </c>
      <c r="H577" t="s">
        <v>14</v>
      </c>
      <c r="I577" t="s">
        <v>15</v>
      </c>
      <c r="J577">
        <v>65.3</v>
      </c>
      <c r="K577">
        <v>81.099999999999994</v>
      </c>
      <c r="L577" t="s">
        <v>20</v>
      </c>
    </row>
    <row r="578" spans="1:12" x14ac:dyDescent="0.35">
      <c r="A578">
        <v>577</v>
      </c>
      <c r="B578" t="s">
        <v>12</v>
      </c>
      <c r="C578">
        <v>3.8</v>
      </c>
      <c r="D578">
        <v>90.2</v>
      </c>
      <c r="E578">
        <v>6.2</v>
      </c>
      <c r="F578" t="s">
        <v>13</v>
      </c>
      <c r="G578" t="s">
        <v>14</v>
      </c>
      <c r="H578" t="s">
        <v>14</v>
      </c>
      <c r="I578" t="s">
        <v>14</v>
      </c>
      <c r="J578">
        <v>46.8</v>
      </c>
      <c r="K578">
        <v>75.599999999999994</v>
      </c>
      <c r="L578" t="s">
        <v>22</v>
      </c>
    </row>
    <row r="579" spans="1:12" x14ac:dyDescent="0.35">
      <c r="A579">
        <v>578</v>
      </c>
      <c r="B579" t="s">
        <v>17</v>
      </c>
      <c r="C579">
        <v>4.5999999999999996</v>
      </c>
      <c r="D579">
        <v>91.5</v>
      </c>
      <c r="E579">
        <v>5.5</v>
      </c>
      <c r="F579" t="s">
        <v>18</v>
      </c>
      <c r="G579" t="s">
        <v>14</v>
      </c>
      <c r="H579" t="s">
        <v>14</v>
      </c>
      <c r="I579" t="s">
        <v>15</v>
      </c>
      <c r="J579">
        <v>68.2</v>
      </c>
      <c r="K579">
        <v>95.5</v>
      </c>
      <c r="L579" t="s">
        <v>16</v>
      </c>
    </row>
    <row r="580" spans="1:12" x14ac:dyDescent="0.35">
      <c r="A580">
        <v>579</v>
      </c>
      <c r="B580" t="s">
        <v>17</v>
      </c>
      <c r="C580">
        <v>3.4</v>
      </c>
      <c r="D580">
        <v>90.6</v>
      </c>
      <c r="E580">
        <v>8.3000000000000007</v>
      </c>
      <c r="F580" t="s">
        <v>13</v>
      </c>
      <c r="G580" t="s">
        <v>14</v>
      </c>
      <c r="H580" t="s">
        <v>15</v>
      </c>
      <c r="I580" t="s">
        <v>15</v>
      </c>
      <c r="J580">
        <v>41.6</v>
      </c>
      <c r="K580">
        <v>83.3</v>
      </c>
      <c r="L580" t="s">
        <v>20</v>
      </c>
    </row>
    <row r="581" spans="1:12" x14ac:dyDescent="0.35">
      <c r="A581">
        <v>580</v>
      </c>
      <c r="B581" t="s">
        <v>17</v>
      </c>
      <c r="C581">
        <v>5.7</v>
      </c>
      <c r="D581">
        <v>85.9</v>
      </c>
      <c r="E581">
        <v>6.5</v>
      </c>
      <c r="F581" t="s">
        <v>23</v>
      </c>
      <c r="G581" t="s">
        <v>14</v>
      </c>
      <c r="H581" t="s">
        <v>15</v>
      </c>
      <c r="I581" t="s">
        <v>14</v>
      </c>
      <c r="J581">
        <v>74.2</v>
      </c>
      <c r="K581">
        <v>95.7</v>
      </c>
      <c r="L581" t="s">
        <v>16</v>
      </c>
    </row>
    <row r="582" spans="1:12" x14ac:dyDescent="0.35">
      <c r="A582">
        <v>581</v>
      </c>
      <c r="B582" t="s">
        <v>17</v>
      </c>
      <c r="C582">
        <v>2.5</v>
      </c>
      <c r="D582">
        <v>83</v>
      </c>
      <c r="E582">
        <v>7.2</v>
      </c>
      <c r="F582" t="s">
        <v>13</v>
      </c>
      <c r="G582" t="s">
        <v>14</v>
      </c>
      <c r="H582" t="s">
        <v>14</v>
      </c>
      <c r="I582" t="s">
        <v>15</v>
      </c>
      <c r="J582">
        <v>58.2</v>
      </c>
      <c r="K582">
        <v>70.400000000000006</v>
      </c>
      <c r="L582" t="s">
        <v>22</v>
      </c>
    </row>
    <row r="583" spans="1:12" x14ac:dyDescent="0.35">
      <c r="A583">
        <v>582</v>
      </c>
      <c r="B583" t="s">
        <v>12</v>
      </c>
      <c r="C583">
        <v>6.2</v>
      </c>
      <c r="D583">
        <v>83.5</v>
      </c>
      <c r="E583">
        <v>6.1</v>
      </c>
      <c r="F583" t="s">
        <v>18</v>
      </c>
      <c r="G583" t="s">
        <v>14</v>
      </c>
      <c r="H583" t="s">
        <v>14</v>
      </c>
      <c r="I583" t="s">
        <v>14</v>
      </c>
      <c r="J583">
        <v>72</v>
      </c>
      <c r="K583">
        <v>82.7</v>
      </c>
      <c r="L583" t="s">
        <v>20</v>
      </c>
    </row>
    <row r="584" spans="1:12" x14ac:dyDescent="0.35">
      <c r="A584">
        <v>583</v>
      </c>
      <c r="B584" t="s">
        <v>17</v>
      </c>
      <c r="C584">
        <v>3.4</v>
      </c>
      <c r="D584">
        <v>83.1</v>
      </c>
      <c r="E584">
        <v>4.5999999999999996</v>
      </c>
      <c r="F584" t="s">
        <v>18</v>
      </c>
      <c r="G584" t="s">
        <v>14</v>
      </c>
      <c r="H584" t="s">
        <v>15</v>
      </c>
      <c r="I584" t="s">
        <v>15</v>
      </c>
      <c r="J584">
        <v>85.8</v>
      </c>
      <c r="K584">
        <v>76.7</v>
      </c>
      <c r="L584" t="s">
        <v>22</v>
      </c>
    </row>
    <row r="585" spans="1:12" x14ac:dyDescent="0.35">
      <c r="A585">
        <v>584</v>
      </c>
      <c r="B585" t="s">
        <v>17</v>
      </c>
      <c r="C585">
        <v>1.4</v>
      </c>
      <c r="D585">
        <v>96.3</v>
      </c>
      <c r="E585">
        <v>7.1</v>
      </c>
      <c r="F585" t="s">
        <v>18</v>
      </c>
      <c r="G585" t="s">
        <v>14</v>
      </c>
      <c r="H585" t="s">
        <v>14</v>
      </c>
      <c r="I585" t="s">
        <v>15</v>
      </c>
      <c r="J585">
        <v>58.6</v>
      </c>
      <c r="K585">
        <v>68.400000000000006</v>
      </c>
      <c r="L585" t="s">
        <v>21</v>
      </c>
    </row>
    <row r="586" spans="1:12" x14ac:dyDescent="0.35">
      <c r="A586">
        <v>585</v>
      </c>
      <c r="B586" t="s">
        <v>17</v>
      </c>
      <c r="C586">
        <v>3.7</v>
      </c>
      <c r="D586">
        <v>90.9</v>
      </c>
      <c r="E586">
        <v>4.5</v>
      </c>
      <c r="F586" t="s">
        <v>18</v>
      </c>
      <c r="G586" t="s">
        <v>14</v>
      </c>
      <c r="H586" t="s">
        <v>15</v>
      </c>
      <c r="I586" t="s">
        <v>15</v>
      </c>
      <c r="J586">
        <v>82.7</v>
      </c>
      <c r="K586">
        <v>84.6</v>
      </c>
      <c r="L586" t="s">
        <v>20</v>
      </c>
    </row>
    <row r="587" spans="1:12" x14ac:dyDescent="0.35">
      <c r="A587">
        <v>586</v>
      </c>
      <c r="B587" t="s">
        <v>12</v>
      </c>
      <c r="C587">
        <v>2.5</v>
      </c>
      <c r="D587">
        <v>55.6</v>
      </c>
      <c r="E587">
        <v>6.7</v>
      </c>
      <c r="F587" t="s">
        <v>13</v>
      </c>
      <c r="G587" t="s">
        <v>14</v>
      </c>
      <c r="H587" t="s">
        <v>14</v>
      </c>
      <c r="I587" t="s">
        <v>15</v>
      </c>
      <c r="J587">
        <v>64.8</v>
      </c>
      <c r="K587">
        <v>67.7</v>
      </c>
      <c r="L587" t="s">
        <v>21</v>
      </c>
    </row>
    <row r="588" spans="1:12" x14ac:dyDescent="0.35">
      <c r="A588">
        <v>587</v>
      </c>
      <c r="B588" t="s">
        <v>17</v>
      </c>
      <c r="C588">
        <v>4.8</v>
      </c>
      <c r="D588">
        <v>91.6</v>
      </c>
      <c r="E588">
        <v>5.2</v>
      </c>
      <c r="F588" t="s">
        <v>13</v>
      </c>
      <c r="G588" t="s">
        <v>15</v>
      </c>
      <c r="H588" t="s">
        <v>14</v>
      </c>
      <c r="I588" t="s">
        <v>15</v>
      </c>
      <c r="J588">
        <v>91</v>
      </c>
      <c r="K588">
        <v>89.2</v>
      </c>
      <c r="L588" t="s">
        <v>20</v>
      </c>
    </row>
    <row r="589" spans="1:12" x14ac:dyDescent="0.35">
      <c r="A589">
        <v>588</v>
      </c>
      <c r="B589" t="s">
        <v>12</v>
      </c>
      <c r="C589">
        <v>2.5</v>
      </c>
      <c r="D589">
        <v>86.9</v>
      </c>
      <c r="E589">
        <v>9.1999999999999993</v>
      </c>
      <c r="F589" t="s">
        <v>23</v>
      </c>
      <c r="G589" t="s">
        <v>14</v>
      </c>
      <c r="H589" t="s">
        <v>14</v>
      </c>
      <c r="I589" t="s">
        <v>15</v>
      </c>
      <c r="J589">
        <v>65.599999999999994</v>
      </c>
      <c r="K589">
        <v>85</v>
      </c>
      <c r="L589" t="s">
        <v>20</v>
      </c>
    </row>
    <row r="590" spans="1:12" x14ac:dyDescent="0.35">
      <c r="A590">
        <v>589</v>
      </c>
      <c r="B590" t="s">
        <v>17</v>
      </c>
      <c r="C590">
        <v>2.8</v>
      </c>
      <c r="D590">
        <v>84.8</v>
      </c>
      <c r="E590">
        <v>7.9</v>
      </c>
      <c r="F590" t="s">
        <v>13</v>
      </c>
      <c r="G590" t="s">
        <v>14</v>
      </c>
      <c r="H590" t="s">
        <v>15</v>
      </c>
      <c r="I590" t="s">
        <v>15</v>
      </c>
      <c r="J590">
        <v>59.9</v>
      </c>
      <c r="K590">
        <v>77.3</v>
      </c>
      <c r="L590" t="s">
        <v>22</v>
      </c>
    </row>
    <row r="591" spans="1:12" x14ac:dyDescent="0.35">
      <c r="A591">
        <v>590</v>
      </c>
      <c r="B591" t="s">
        <v>12</v>
      </c>
      <c r="C591">
        <v>0.7</v>
      </c>
      <c r="D591">
        <v>81.099999999999994</v>
      </c>
      <c r="E591">
        <v>6.9</v>
      </c>
      <c r="F591" t="s">
        <v>23</v>
      </c>
      <c r="G591" t="s">
        <v>14</v>
      </c>
      <c r="H591" t="s">
        <v>14</v>
      </c>
      <c r="I591" t="s">
        <v>14</v>
      </c>
      <c r="J591">
        <v>78.2</v>
      </c>
      <c r="K591">
        <v>72.2</v>
      </c>
      <c r="L591" t="s">
        <v>22</v>
      </c>
    </row>
    <row r="592" spans="1:12" x14ac:dyDescent="0.35">
      <c r="A592">
        <v>591</v>
      </c>
      <c r="B592" t="s">
        <v>12</v>
      </c>
      <c r="C592">
        <v>2.8</v>
      </c>
      <c r="D592">
        <v>96.2</v>
      </c>
      <c r="E592">
        <v>8.3000000000000007</v>
      </c>
      <c r="F592" t="s">
        <v>18</v>
      </c>
      <c r="G592" t="s">
        <v>14</v>
      </c>
      <c r="H592" t="s">
        <v>15</v>
      </c>
      <c r="I592" t="s">
        <v>14</v>
      </c>
      <c r="J592">
        <v>64.8</v>
      </c>
      <c r="K592">
        <v>89</v>
      </c>
      <c r="L592" t="s">
        <v>20</v>
      </c>
    </row>
    <row r="593" spans="1:12" x14ac:dyDescent="0.35">
      <c r="A593">
        <v>592</v>
      </c>
      <c r="B593" t="s">
        <v>17</v>
      </c>
      <c r="C593">
        <v>0.5</v>
      </c>
      <c r="D593">
        <v>94.5</v>
      </c>
      <c r="E593">
        <v>5.8</v>
      </c>
      <c r="F593" t="s">
        <v>13</v>
      </c>
      <c r="G593" t="s">
        <v>14</v>
      </c>
      <c r="H593" t="s">
        <v>14</v>
      </c>
      <c r="I593" t="s">
        <v>15</v>
      </c>
      <c r="J593">
        <v>59.9</v>
      </c>
      <c r="K593">
        <v>63.2</v>
      </c>
      <c r="L593" t="s">
        <v>21</v>
      </c>
    </row>
    <row r="594" spans="1:12" x14ac:dyDescent="0.35">
      <c r="A594">
        <v>593</v>
      </c>
      <c r="B594" t="s">
        <v>12</v>
      </c>
      <c r="C594">
        <v>1.1000000000000001</v>
      </c>
      <c r="D594">
        <v>77.3</v>
      </c>
      <c r="E594">
        <v>7.5</v>
      </c>
      <c r="F594" t="s">
        <v>23</v>
      </c>
      <c r="G594" t="s">
        <v>14</v>
      </c>
      <c r="H594" t="s">
        <v>14</v>
      </c>
      <c r="I594" t="s">
        <v>15</v>
      </c>
      <c r="J594">
        <v>64.3</v>
      </c>
      <c r="K594">
        <v>73.2</v>
      </c>
      <c r="L594" t="s">
        <v>22</v>
      </c>
    </row>
    <row r="595" spans="1:12" x14ac:dyDescent="0.35">
      <c r="A595">
        <v>594</v>
      </c>
      <c r="B595" t="s">
        <v>17</v>
      </c>
      <c r="C595">
        <v>4.5999999999999996</v>
      </c>
      <c r="D595">
        <v>89.1</v>
      </c>
      <c r="E595">
        <v>7</v>
      </c>
      <c r="F595" t="s">
        <v>18</v>
      </c>
      <c r="G595" t="s">
        <v>15</v>
      </c>
      <c r="H595" t="s">
        <v>14</v>
      </c>
      <c r="I595" t="s">
        <v>15</v>
      </c>
      <c r="J595">
        <v>69.5</v>
      </c>
      <c r="K595">
        <v>87</v>
      </c>
      <c r="L595" t="s">
        <v>20</v>
      </c>
    </row>
    <row r="596" spans="1:12" x14ac:dyDescent="0.35">
      <c r="A596">
        <v>595</v>
      </c>
      <c r="B596" t="s">
        <v>17</v>
      </c>
      <c r="C596">
        <v>4.7</v>
      </c>
      <c r="D596">
        <v>75.3</v>
      </c>
      <c r="E596">
        <v>7.1</v>
      </c>
      <c r="F596" t="s">
        <v>18</v>
      </c>
      <c r="G596" t="s">
        <v>14</v>
      </c>
      <c r="H596" t="s">
        <v>15</v>
      </c>
      <c r="I596" t="s">
        <v>14</v>
      </c>
      <c r="J596">
        <v>86.1</v>
      </c>
      <c r="K596">
        <v>88.5</v>
      </c>
      <c r="L596" t="s">
        <v>20</v>
      </c>
    </row>
    <row r="597" spans="1:12" x14ac:dyDescent="0.35">
      <c r="A597">
        <v>596</v>
      </c>
      <c r="B597" t="s">
        <v>17</v>
      </c>
      <c r="C597">
        <v>4.0999999999999996</v>
      </c>
      <c r="D597">
        <v>71.2</v>
      </c>
      <c r="E597">
        <v>8.3000000000000007</v>
      </c>
      <c r="F597" t="s">
        <v>24</v>
      </c>
      <c r="G597" t="s">
        <v>14</v>
      </c>
      <c r="H597" t="s">
        <v>15</v>
      </c>
      <c r="I597" t="s">
        <v>15</v>
      </c>
      <c r="J597">
        <v>46.8</v>
      </c>
      <c r="K597">
        <v>80.400000000000006</v>
      </c>
      <c r="L597" t="s">
        <v>20</v>
      </c>
    </row>
    <row r="598" spans="1:12" x14ac:dyDescent="0.35">
      <c r="A598">
        <v>597</v>
      </c>
      <c r="B598" t="s">
        <v>12</v>
      </c>
      <c r="C598">
        <v>2</v>
      </c>
      <c r="D598">
        <v>78.7</v>
      </c>
      <c r="E598">
        <v>7.7</v>
      </c>
      <c r="F598" t="s">
        <v>18</v>
      </c>
      <c r="G598" t="s">
        <v>14</v>
      </c>
      <c r="H598" t="s">
        <v>14</v>
      </c>
      <c r="I598" t="s">
        <v>14</v>
      </c>
      <c r="J598">
        <v>70.3</v>
      </c>
      <c r="K598">
        <v>80.2</v>
      </c>
      <c r="L598" t="s">
        <v>20</v>
      </c>
    </row>
    <row r="599" spans="1:12" x14ac:dyDescent="0.35">
      <c r="A599">
        <v>598</v>
      </c>
      <c r="B599" t="s">
        <v>12</v>
      </c>
      <c r="C599">
        <v>3.4</v>
      </c>
      <c r="D599">
        <v>93.6</v>
      </c>
      <c r="E599">
        <v>7.1</v>
      </c>
      <c r="F599" t="s">
        <v>23</v>
      </c>
      <c r="G599" t="s">
        <v>15</v>
      </c>
      <c r="H599" t="s">
        <v>14</v>
      </c>
      <c r="I599" t="s">
        <v>15</v>
      </c>
      <c r="J599">
        <v>77.5</v>
      </c>
      <c r="K599">
        <v>80.900000000000006</v>
      </c>
      <c r="L599" t="s">
        <v>20</v>
      </c>
    </row>
    <row r="600" spans="1:12" x14ac:dyDescent="0.35">
      <c r="A600">
        <v>599</v>
      </c>
      <c r="B600" t="s">
        <v>17</v>
      </c>
      <c r="C600">
        <v>3.5</v>
      </c>
      <c r="D600">
        <v>94.5</v>
      </c>
      <c r="E600">
        <v>4.8</v>
      </c>
      <c r="F600" t="s">
        <v>18</v>
      </c>
      <c r="G600" t="s">
        <v>14</v>
      </c>
      <c r="H600" t="s">
        <v>14</v>
      </c>
      <c r="I600" t="s">
        <v>15</v>
      </c>
      <c r="J600">
        <v>72.3</v>
      </c>
      <c r="K600">
        <v>86.4</v>
      </c>
      <c r="L600" t="s">
        <v>20</v>
      </c>
    </row>
    <row r="601" spans="1:12" x14ac:dyDescent="0.35">
      <c r="A601">
        <v>600</v>
      </c>
      <c r="B601" t="s">
        <v>17</v>
      </c>
      <c r="C601">
        <v>1.8</v>
      </c>
      <c r="D601">
        <v>90.1</v>
      </c>
      <c r="E601">
        <v>5.6</v>
      </c>
      <c r="F601" t="s">
        <v>23</v>
      </c>
      <c r="G601" t="s">
        <v>14</v>
      </c>
      <c r="H601" t="s">
        <v>14</v>
      </c>
      <c r="I601" t="s">
        <v>15</v>
      </c>
      <c r="J601">
        <v>85.7</v>
      </c>
      <c r="K601">
        <v>86.3</v>
      </c>
      <c r="L601" t="s">
        <v>20</v>
      </c>
    </row>
    <row r="602" spans="1:12" x14ac:dyDescent="0.35">
      <c r="A602">
        <v>601</v>
      </c>
      <c r="B602" t="s">
        <v>12</v>
      </c>
      <c r="C602">
        <v>5.8</v>
      </c>
      <c r="D602">
        <v>92.3</v>
      </c>
      <c r="E602">
        <v>6.7</v>
      </c>
      <c r="F602" t="s">
        <v>18</v>
      </c>
      <c r="G602" t="s">
        <v>14</v>
      </c>
      <c r="H602" t="s">
        <v>14</v>
      </c>
      <c r="I602" t="s">
        <v>14</v>
      </c>
      <c r="J602">
        <v>69.099999999999994</v>
      </c>
      <c r="K602">
        <v>93.4</v>
      </c>
      <c r="L602" t="s">
        <v>16</v>
      </c>
    </row>
    <row r="603" spans="1:12" x14ac:dyDescent="0.35">
      <c r="A603">
        <v>602</v>
      </c>
      <c r="B603" t="s">
        <v>17</v>
      </c>
      <c r="C603">
        <v>4.8</v>
      </c>
      <c r="D603">
        <v>90.2</v>
      </c>
      <c r="E603">
        <v>6.9</v>
      </c>
      <c r="F603" t="s">
        <v>18</v>
      </c>
      <c r="G603" t="s">
        <v>14</v>
      </c>
      <c r="H603" t="s">
        <v>15</v>
      </c>
      <c r="I603" t="s">
        <v>15</v>
      </c>
      <c r="J603">
        <v>67.8</v>
      </c>
      <c r="K603">
        <v>95.1</v>
      </c>
      <c r="L603" t="s">
        <v>16</v>
      </c>
    </row>
    <row r="604" spans="1:12" x14ac:dyDescent="0.35">
      <c r="A604">
        <v>603</v>
      </c>
      <c r="B604" t="s">
        <v>17</v>
      </c>
      <c r="C604">
        <v>3.2</v>
      </c>
      <c r="D604">
        <v>78.599999999999994</v>
      </c>
      <c r="E604">
        <v>5.4</v>
      </c>
      <c r="F604" t="s">
        <v>13</v>
      </c>
      <c r="G604" t="s">
        <v>14</v>
      </c>
      <c r="H604" t="s">
        <v>15</v>
      </c>
      <c r="I604" t="s">
        <v>15</v>
      </c>
      <c r="J604">
        <v>77.099999999999994</v>
      </c>
      <c r="K604">
        <v>83.9</v>
      </c>
      <c r="L604" t="s">
        <v>20</v>
      </c>
    </row>
    <row r="605" spans="1:12" x14ac:dyDescent="0.35">
      <c r="A605">
        <v>604</v>
      </c>
      <c r="B605" t="s">
        <v>17</v>
      </c>
      <c r="C605">
        <v>3.5</v>
      </c>
      <c r="D605">
        <v>89.3</v>
      </c>
      <c r="E605">
        <v>9.6999999999999993</v>
      </c>
      <c r="F605" t="s">
        <v>18</v>
      </c>
      <c r="G605" t="s">
        <v>14</v>
      </c>
      <c r="H605" t="s">
        <v>14</v>
      </c>
      <c r="I605" t="s">
        <v>15</v>
      </c>
      <c r="J605">
        <v>71.2</v>
      </c>
      <c r="K605">
        <v>100</v>
      </c>
      <c r="L605" t="s">
        <v>16</v>
      </c>
    </row>
    <row r="606" spans="1:12" x14ac:dyDescent="0.35">
      <c r="A606">
        <v>605</v>
      </c>
      <c r="B606" t="s">
        <v>12</v>
      </c>
      <c r="C606">
        <v>3.8</v>
      </c>
      <c r="D606">
        <v>93</v>
      </c>
      <c r="E606">
        <v>8.6</v>
      </c>
      <c r="F606" t="s">
        <v>13</v>
      </c>
      <c r="G606" t="s">
        <v>14</v>
      </c>
      <c r="H606" t="s">
        <v>14</v>
      </c>
      <c r="I606" t="s">
        <v>15</v>
      </c>
      <c r="J606">
        <v>65.3</v>
      </c>
      <c r="K606">
        <v>80.900000000000006</v>
      </c>
      <c r="L606" t="s">
        <v>20</v>
      </c>
    </row>
    <row r="607" spans="1:12" x14ac:dyDescent="0.35">
      <c r="A607">
        <v>606</v>
      </c>
      <c r="B607" t="s">
        <v>12</v>
      </c>
      <c r="C607">
        <v>0.5</v>
      </c>
      <c r="D607">
        <v>92.5</v>
      </c>
      <c r="E607">
        <v>7.5</v>
      </c>
      <c r="F607" t="s">
        <v>18</v>
      </c>
      <c r="G607" t="s">
        <v>14</v>
      </c>
      <c r="H607" t="s">
        <v>15</v>
      </c>
      <c r="I607" t="s">
        <v>15</v>
      </c>
      <c r="J607">
        <v>76.2</v>
      </c>
      <c r="K607">
        <v>76.400000000000006</v>
      </c>
      <c r="L607" t="s">
        <v>22</v>
      </c>
    </row>
    <row r="608" spans="1:12" x14ac:dyDescent="0.35">
      <c r="A608">
        <v>607</v>
      </c>
      <c r="B608" t="s">
        <v>12</v>
      </c>
      <c r="C608">
        <v>3.1</v>
      </c>
      <c r="D608">
        <v>96.9</v>
      </c>
      <c r="E608">
        <v>6.9</v>
      </c>
      <c r="F608" t="s">
        <v>18</v>
      </c>
      <c r="G608" t="s">
        <v>15</v>
      </c>
      <c r="H608" t="s">
        <v>15</v>
      </c>
      <c r="I608" t="s">
        <v>15</v>
      </c>
      <c r="J608">
        <v>62.2</v>
      </c>
      <c r="K608">
        <v>73.599999999999994</v>
      </c>
      <c r="L608" t="s">
        <v>22</v>
      </c>
    </row>
    <row r="609" spans="1:12" x14ac:dyDescent="0.35">
      <c r="A609">
        <v>608</v>
      </c>
      <c r="B609" t="s">
        <v>17</v>
      </c>
      <c r="C609">
        <v>2.5</v>
      </c>
      <c r="D609">
        <v>92.1</v>
      </c>
      <c r="E609">
        <v>6.5</v>
      </c>
      <c r="F609" t="s">
        <v>18</v>
      </c>
      <c r="G609" t="s">
        <v>14</v>
      </c>
      <c r="H609" t="s">
        <v>14</v>
      </c>
      <c r="I609" t="s">
        <v>15</v>
      </c>
      <c r="J609">
        <v>62.7</v>
      </c>
      <c r="K609">
        <v>84</v>
      </c>
      <c r="L609" t="s">
        <v>20</v>
      </c>
    </row>
    <row r="610" spans="1:12" x14ac:dyDescent="0.35">
      <c r="A610">
        <v>609</v>
      </c>
      <c r="B610" t="s">
        <v>17</v>
      </c>
      <c r="C610">
        <v>2</v>
      </c>
      <c r="D610">
        <v>88.5</v>
      </c>
      <c r="E610">
        <v>5.7</v>
      </c>
      <c r="F610" t="s">
        <v>18</v>
      </c>
      <c r="G610" t="s">
        <v>15</v>
      </c>
      <c r="H610" t="s">
        <v>14</v>
      </c>
      <c r="I610" t="s">
        <v>14</v>
      </c>
      <c r="J610">
        <v>63.7</v>
      </c>
      <c r="K610">
        <v>58.6</v>
      </c>
      <c r="L610" t="s">
        <v>25</v>
      </c>
    </row>
    <row r="611" spans="1:12" x14ac:dyDescent="0.35">
      <c r="A611">
        <v>610</v>
      </c>
      <c r="B611" t="s">
        <v>17</v>
      </c>
      <c r="C611">
        <v>3.1</v>
      </c>
      <c r="D611">
        <v>95.7</v>
      </c>
      <c r="E611">
        <v>6.9</v>
      </c>
      <c r="F611" t="s">
        <v>19</v>
      </c>
      <c r="G611" t="s">
        <v>14</v>
      </c>
      <c r="H611" t="s">
        <v>14</v>
      </c>
      <c r="I611" t="s">
        <v>15</v>
      </c>
      <c r="J611">
        <v>86.2</v>
      </c>
      <c r="K611">
        <v>96.3</v>
      </c>
      <c r="L611" t="s">
        <v>16</v>
      </c>
    </row>
    <row r="612" spans="1:12" x14ac:dyDescent="0.35">
      <c r="A612">
        <v>611</v>
      </c>
      <c r="B612" t="s">
        <v>12</v>
      </c>
      <c r="C612">
        <v>6.2</v>
      </c>
      <c r="D612">
        <v>84.7</v>
      </c>
      <c r="E612">
        <v>7.1</v>
      </c>
      <c r="F612" t="s">
        <v>18</v>
      </c>
      <c r="G612" t="s">
        <v>14</v>
      </c>
      <c r="H612" t="s">
        <v>14</v>
      </c>
      <c r="I612" t="s">
        <v>15</v>
      </c>
      <c r="J612">
        <v>31.3</v>
      </c>
      <c r="K612">
        <v>78.8</v>
      </c>
      <c r="L612" t="s">
        <v>22</v>
      </c>
    </row>
    <row r="613" spans="1:12" x14ac:dyDescent="0.35">
      <c r="A613">
        <v>612</v>
      </c>
      <c r="B613" t="s">
        <v>17</v>
      </c>
      <c r="C613">
        <v>4.5</v>
      </c>
      <c r="D613">
        <v>76.2</v>
      </c>
      <c r="E613">
        <v>5.3</v>
      </c>
      <c r="F613" t="s">
        <v>13</v>
      </c>
      <c r="G613" t="s">
        <v>14</v>
      </c>
      <c r="H613" t="s">
        <v>14</v>
      </c>
      <c r="I613" t="s">
        <v>14</v>
      </c>
      <c r="J613">
        <v>74.7</v>
      </c>
      <c r="K613">
        <v>79.8</v>
      </c>
      <c r="L613" t="s">
        <v>22</v>
      </c>
    </row>
    <row r="614" spans="1:12" x14ac:dyDescent="0.35">
      <c r="A614">
        <v>613</v>
      </c>
      <c r="B614" t="s">
        <v>17</v>
      </c>
      <c r="C614">
        <v>2.6</v>
      </c>
      <c r="D614">
        <v>83.4</v>
      </c>
      <c r="E614">
        <v>7.2</v>
      </c>
      <c r="F614" t="s">
        <v>18</v>
      </c>
      <c r="G614" t="s">
        <v>14</v>
      </c>
      <c r="H614" t="s">
        <v>14</v>
      </c>
      <c r="I614" t="s">
        <v>14</v>
      </c>
      <c r="J614">
        <v>70.400000000000006</v>
      </c>
      <c r="K614">
        <v>70</v>
      </c>
      <c r="L614" t="s">
        <v>22</v>
      </c>
    </row>
    <row r="615" spans="1:12" x14ac:dyDescent="0.35">
      <c r="A615">
        <v>614</v>
      </c>
      <c r="B615" t="s">
        <v>17</v>
      </c>
      <c r="C615">
        <v>4.4000000000000004</v>
      </c>
      <c r="D615">
        <v>77.599999999999994</v>
      </c>
      <c r="E615">
        <v>6.6</v>
      </c>
      <c r="F615" t="s">
        <v>18</v>
      </c>
      <c r="G615" t="s">
        <v>14</v>
      </c>
      <c r="H615" t="s">
        <v>15</v>
      </c>
      <c r="I615" t="s">
        <v>15</v>
      </c>
      <c r="J615">
        <v>49.8</v>
      </c>
      <c r="K615">
        <v>75</v>
      </c>
      <c r="L615" t="s">
        <v>22</v>
      </c>
    </row>
    <row r="616" spans="1:12" x14ac:dyDescent="0.35">
      <c r="A616">
        <v>615</v>
      </c>
      <c r="B616" t="s">
        <v>17</v>
      </c>
      <c r="C616">
        <v>5.6</v>
      </c>
      <c r="D616">
        <v>78.2</v>
      </c>
      <c r="E616">
        <v>4.5</v>
      </c>
      <c r="F616" t="s">
        <v>19</v>
      </c>
      <c r="G616" t="s">
        <v>14</v>
      </c>
      <c r="H616" t="s">
        <v>14</v>
      </c>
      <c r="I616" t="s">
        <v>14</v>
      </c>
      <c r="J616">
        <v>73.7</v>
      </c>
      <c r="K616">
        <v>95</v>
      </c>
      <c r="L616" t="s">
        <v>16</v>
      </c>
    </row>
    <row r="617" spans="1:12" x14ac:dyDescent="0.35">
      <c r="A617">
        <v>616</v>
      </c>
      <c r="B617" t="s">
        <v>12</v>
      </c>
      <c r="C617">
        <v>4.9000000000000004</v>
      </c>
      <c r="D617">
        <v>83.6</v>
      </c>
      <c r="E617">
        <v>5.8</v>
      </c>
      <c r="F617" t="s">
        <v>18</v>
      </c>
      <c r="G617" t="s">
        <v>14</v>
      </c>
      <c r="H617" t="s">
        <v>14</v>
      </c>
      <c r="I617" t="s">
        <v>15</v>
      </c>
      <c r="J617">
        <v>75.7</v>
      </c>
      <c r="K617">
        <v>92.4</v>
      </c>
      <c r="L617" t="s">
        <v>16</v>
      </c>
    </row>
    <row r="618" spans="1:12" x14ac:dyDescent="0.35">
      <c r="A618">
        <v>617</v>
      </c>
      <c r="B618" t="s">
        <v>12</v>
      </c>
      <c r="C618">
        <v>3.6</v>
      </c>
      <c r="D618">
        <v>77.099999999999994</v>
      </c>
      <c r="E618">
        <v>6.3</v>
      </c>
      <c r="F618" t="s">
        <v>19</v>
      </c>
      <c r="G618" t="s">
        <v>14</v>
      </c>
      <c r="H618" t="s">
        <v>14</v>
      </c>
      <c r="I618" t="s">
        <v>14</v>
      </c>
      <c r="J618">
        <v>77.099999999999994</v>
      </c>
      <c r="K618">
        <v>86.4</v>
      </c>
      <c r="L618" t="s">
        <v>20</v>
      </c>
    </row>
    <row r="619" spans="1:12" x14ac:dyDescent="0.35">
      <c r="A619">
        <v>618</v>
      </c>
      <c r="B619" t="s">
        <v>17</v>
      </c>
      <c r="C619">
        <v>2.5</v>
      </c>
      <c r="D619">
        <v>81.900000000000006</v>
      </c>
      <c r="E619">
        <v>9.1</v>
      </c>
      <c r="F619" t="s">
        <v>18</v>
      </c>
      <c r="G619" t="s">
        <v>14</v>
      </c>
      <c r="H619" t="s">
        <v>15</v>
      </c>
      <c r="I619" t="s">
        <v>15</v>
      </c>
      <c r="J619">
        <v>38.200000000000003</v>
      </c>
      <c r="K619">
        <v>79.099999999999994</v>
      </c>
      <c r="L619" t="s">
        <v>22</v>
      </c>
    </row>
    <row r="620" spans="1:12" x14ac:dyDescent="0.35">
      <c r="A620">
        <v>619</v>
      </c>
      <c r="B620" t="s">
        <v>12</v>
      </c>
      <c r="C620">
        <v>4.5</v>
      </c>
      <c r="D620">
        <v>66.099999999999994</v>
      </c>
      <c r="E620">
        <v>7.5</v>
      </c>
      <c r="F620" t="s">
        <v>23</v>
      </c>
      <c r="G620" t="s">
        <v>14</v>
      </c>
      <c r="H620" t="s">
        <v>15</v>
      </c>
      <c r="I620" t="s">
        <v>15</v>
      </c>
      <c r="J620">
        <v>86.4</v>
      </c>
      <c r="K620">
        <v>91.5</v>
      </c>
      <c r="L620" t="s">
        <v>16</v>
      </c>
    </row>
    <row r="621" spans="1:12" x14ac:dyDescent="0.35">
      <c r="A621">
        <v>620</v>
      </c>
      <c r="B621" t="s">
        <v>12</v>
      </c>
      <c r="C621">
        <v>4.0999999999999996</v>
      </c>
      <c r="D621">
        <v>87.1</v>
      </c>
      <c r="E621">
        <v>5.2</v>
      </c>
      <c r="F621" t="s">
        <v>13</v>
      </c>
      <c r="G621" t="s">
        <v>14</v>
      </c>
      <c r="H621" t="s">
        <v>14</v>
      </c>
      <c r="I621" t="s">
        <v>15</v>
      </c>
      <c r="J621">
        <v>61.1</v>
      </c>
      <c r="K621">
        <v>80.3</v>
      </c>
      <c r="L621" t="s">
        <v>20</v>
      </c>
    </row>
    <row r="622" spans="1:12" x14ac:dyDescent="0.35">
      <c r="A622">
        <v>621</v>
      </c>
      <c r="B622" t="s">
        <v>17</v>
      </c>
      <c r="C622">
        <v>4.8</v>
      </c>
      <c r="D622">
        <v>85</v>
      </c>
      <c r="E622">
        <v>7.4</v>
      </c>
      <c r="F622" t="s">
        <v>24</v>
      </c>
      <c r="G622" t="s">
        <v>14</v>
      </c>
      <c r="H622" t="s">
        <v>14</v>
      </c>
      <c r="I622" t="s">
        <v>15</v>
      </c>
      <c r="J622">
        <v>78.2</v>
      </c>
      <c r="K622">
        <v>98.3</v>
      </c>
      <c r="L622" t="s">
        <v>16</v>
      </c>
    </row>
    <row r="623" spans="1:12" x14ac:dyDescent="0.35">
      <c r="A623">
        <v>622</v>
      </c>
      <c r="B623" t="s">
        <v>17</v>
      </c>
      <c r="C623">
        <v>4.5</v>
      </c>
      <c r="D623">
        <v>76.8</v>
      </c>
      <c r="E623">
        <v>4.9000000000000004</v>
      </c>
      <c r="F623" t="s">
        <v>13</v>
      </c>
      <c r="G623" t="s">
        <v>15</v>
      </c>
      <c r="H623" t="s">
        <v>15</v>
      </c>
      <c r="I623" t="s">
        <v>15</v>
      </c>
      <c r="J623">
        <v>78.900000000000006</v>
      </c>
      <c r="K623">
        <v>79.3</v>
      </c>
      <c r="L623" t="s">
        <v>22</v>
      </c>
    </row>
    <row r="624" spans="1:12" x14ac:dyDescent="0.35">
      <c r="A624">
        <v>623</v>
      </c>
      <c r="B624" t="s">
        <v>12</v>
      </c>
      <c r="C624">
        <v>5.0999999999999996</v>
      </c>
      <c r="D624">
        <v>91.6</v>
      </c>
      <c r="E624">
        <v>8.1</v>
      </c>
      <c r="F624" t="s">
        <v>13</v>
      </c>
      <c r="G624" t="s">
        <v>14</v>
      </c>
      <c r="H624" t="s">
        <v>14</v>
      </c>
      <c r="I624" t="s">
        <v>15</v>
      </c>
      <c r="J624">
        <v>59.5</v>
      </c>
      <c r="K624">
        <v>89.5</v>
      </c>
      <c r="L624" t="s">
        <v>20</v>
      </c>
    </row>
    <row r="625" spans="1:12" x14ac:dyDescent="0.35">
      <c r="A625">
        <v>624</v>
      </c>
      <c r="B625" t="s">
        <v>17</v>
      </c>
      <c r="C625">
        <v>2.7</v>
      </c>
      <c r="D625">
        <v>94.4</v>
      </c>
      <c r="E625">
        <v>6.2</v>
      </c>
      <c r="F625" t="s">
        <v>18</v>
      </c>
      <c r="G625" t="s">
        <v>14</v>
      </c>
      <c r="H625" t="s">
        <v>14</v>
      </c>
      <c r="I625" t="s">
        <v>14</v>
      </c>
      <c r="J625">
        <v>77.900000000000006</v>
      </c>
      <c r="K625">
        <v>75.7</v>
      </c>
      <c r="L625" t="s">
        <v>22</v>
      </c>
    </row>
    <row r="626" spans="1:12" x14ac:dyDescent="0.35">
      <c r="A626">
        <v>625</v>
      </c>
      <c r="B626" t="s">
        <v>12</v>
      </c>
      <c r="C626">
        <v>5.5</v>
      </c>
      <c r="D626">
        <v>68.900000000000006</v>
      </c>
      <c r="E626">
        <v>6.7</v>
      </c>
      <c r="F626" t="s">
        <v>18</v>
      </c>
      <c r="G626" t="s">
        <v>14</v>
      </c>
      <c r="H626" t="s">
        <v>14</v>
      </c>
      <c r="I626" t="s">
        <v>14</v>
      </c>
      <c r="J626">
        <v>65.400000000000006</v>
      </c>
      <c r="K626">
        <v>89.6</v>
      </c>
      <c r="L626" t="s">
        <v>20</v>
      </c>
    </row>
    <row r="627" spans="1:12" x14ac:dyDescent="0.35">
      <c r="A627">
        <v>626</v>
      </c>
      <c r="B627" t="s">
        <v>17</v>
      </c>
      <c r="C627">
        <v>3.8</v>
      </c>
      <c r="D627">
        <v>77.400000000000006</v>
      </c>
      <c r="E627">
        <v>8.4</v>
      </c>
      <c r="F627" t="s">
        <v>19</v>
      </c>
      <c r="G627" t="s">
        <v>14</v>
      </c>
      <c r="H627" t="s">
        <v>14</v>
      </c>
      <c r="I627" t="s">
        <v>14</v>
      </c>
      <c r="J627">
        <v>45.1</v>
      </c>
      <c r="K627">
        <v>71</v>
      </c>
      <c r="L627" t="s">
        <v>22</v>
      </c>
    </row>
    <row r="628" spans="1:12" x14ac:dyDescent="0.35">
      <c r="A628">
        <v>627</v>
      </c>
      <c r="B628" t="s">
        <v>12</v>
      </c>
      <c r="C628">
        <v>6.6</v>
      </c>
      <c r="D628">
        <v>77.3</v>
      </c>
      <c r="E628">
        <v>5.3</v>
      </c>
      <c r="F628" t="s">
        <v>18</v>
      </c>
      <c r="G628" t="s">
        <v>15</v>
      </c>
      <c r="H628" t="s">
        <v>14</v>
      </c>
      <c r="I628" t="s">
        <v>15</v>
      </c>
      <c r="J628">
        <v>84</v>
      </c>
      <c r="K628">
        <v>96.8</v>
      </c>
      <c r="L628" t="s">
        <v>16</v>
      </c>
    </row>
    <row r="629" spans="1:12" x14ac:dyDescent="0.35">
      <c r="A629">
        <v>628</v>
      </c>
      <c r="B629" t="s">
        <v>17</v>
      </c>
      <c r="C629">
        <v>2.5</v>
      </c>
      <c r="D629">
        <v>75.599999999999994</v>
      </c>
      <c r="E629">
        <v>5.0999999999999996</v>
      </c>
      <c r="F629" t="s">
        <v>13</v>
      </c>
      <c r="G629" t="s">
        <v>14</v>
      </c>
      <c r="H629" t="s">
        <v>15</v>
      </c>
      <c r="I629" t="s">
        <v>14</v>
      </c>
      <c r="J629">
        <v>60.7</v>
      </c>
      <c r="K629">
        <v>61.9</v>
      </c>
      <c r="L629" t="s">
        <v>21</v>
      </c>
    </row>
    <row r="630" spans="1:12" x14ac:dyDescent="0.35">
      <c r="A630">
        <v>629</v>
      </c>
      <c r="B630" t="s">
        <v>12</v>
      </c>
      <c r="C630">
        <v>6.1</v>
      </c>
      <c r="D630">
        <v>93.3</v>
      </c>
      <c r="E630">
        <v>6.1</v>
      </c>
      <c r="F630" t="s">
        <v>23</v>
      </c>
      <c r="G630" t="s">
        <v>14</v>
      </c>
      <c r="H630" t="s">
        <v>15</v>
      </c>
      <c r="I630" t="s">
        <v>14</v>
      </c>
      <c r="J630">
        <v>59.7</v>
      </c>
      <c r="K630">
        <v>93.9</v>
      </c>
      <c r="L630" t="s">
        <v>16</v>
      </c>
    </row>
    <row r="631" spans="1:12" x14ac:dyDescent="0.35">
      <c r="A631">
        <v>630</v>
      </c>
      <c r="B631" t="s">
        <v>12</v>
      </c>
      <c r="C631">
        <v>3.8</v>
      </c>
      <c r="D631">
        <v>83.1</v>
      </c>
      <c r="E631">
        <v>8</v>
      </c>
      <c r="F631" t="s">
        <v>18</v>
      </c>
      <c r="G631" t="s">
        <v>14</v>
      </c>
      <c r="H631" t="s">
        <v>14</v>
      </c>
      <c r="I631" t="s">
        <v>15</v>
      </c>
      <c r="J631">
        <v>65.2</v>
      </c>
      <c r="K631">
        <v>81.3</v>
      </c>
      <c r="L631" t="s">
        <v>20</v>
      </c>
    </row>
    <row r="632" spans="1:12" x14ac:dyDescent="0.35">
      <c r="A632">
        <v>631</v>
      </c>
      <c r="B632" t="s">
        <v>12</v>
      </c>
      <c r="C632">
        <v>2.5</v>
      </c>
      <c r="D632">
        <v>82.4</v>
      </c>
      <c r="E632">
        <v>5</v>
      </c>
      <c r="F632" t="s">
        <v>19</v>
      </c>
      <c r="G632" t="s">
        <v>14</v>
      </c>
      <c r="H632" t="s">
        <v>15</v>
      </c>
      <c r="I632" t="s">
        <v>15</v>
      </c>
      <c r="J632">
        <v>73.3</v>
      </c>
      <c r="K632">
        <v>77.599999999999994</v>
      </c>
      <c r="L632" t="s">
        <v>22</v>
      </c>
    </row>
    <row r="633" spans="1:12" x14ac:dyDescent="0.35">
      <c r="A633">
        <v>632</v>
      </c>
      <c r="B633" t="s">
        <v>17</v>
      </c>
      <c r="C633">
        <v>2.8</v>
      </c>
      <c r="D633">
        <v>65</v>
      </c>
      <c r="E633">
        <v>3.4</v>
      </c>
      <c r="F633" t="s">
        <v>23</v>
      </c>
      <c r="G633" t="s">
        <v>15</v>
      </c>
      <c r="H633" t="s">
        <v>14</v>
      </c>
      <c r="I633" t="s">
        <v>15</v>
      </c>
      <c r="J633">
        <v>69.3</v>
      </c>
      <c r="K633">
        <v>71.400000000000006</v>
      </c>
      <c r="L633" t="s">
        <v>22</v>
      </c>
    </row>
    <row r="634" spans="1:12" x14ac:dyDescent="0.35">
      <c r="A634">
        <v>633</v>
      </c>
      <c r="B634" t="s">
        <v>12</v>
      </c>
      <c r="C634">
        <v>3</v>
      </c>
      <c r="D634">
        <v>91.4</v>
      </c>
      <c r="E634">
        <v>6.3</v>
      </c>
      <c r="F634" t="s">
        <v>13</v>
      </c>
      <c r="G634" t="s">
        <v>14</v>
      </c>
      <c r="H634" t="s">
        <v>14</v>
      </c>
      <c r="I634" t="s">
        <v>14</v>
      </c>
      <c r="J634">
        <v>76.599999999999994</v>
      </c>
      <c r="K634">
        <v>89.4</v>
      </c>
      <c r="L634" t="s">
        <v>20</v>
      </c>
    </row>
    <row r="635" spans="1:12" x14ac:dyDescent="0.35">
      <c r="A635">
        <v>634</v>
      </c>
      <c r="B635" t="s">
        <v>12</v>
      </c>
      <c r="C635">
        <v>4.0999999999999996</v>
      </c>
      <c r="D635">
        <v>72.599999999999994</v>
      </c>
      <c r="E635">
        <v>7.5</v>
      </c>
      <c r="F635" t="s">
        <v>24</v>
      </c>
      <c r="G635" t="s">
        <v>14</v>
      </c>
      <c r="H635" t="s">
        <v>15</v>
      </c>
      <c r="I635" t="s">
        <v>14</v>
      </c>
      <c r="J635">
        <v>53.9</v>
      </c>
      <c r="K635">
        <v>74.3</v>
      </c>
      <c r="L635" t="s">
        <v>22</v>
      </c>
    </row>
    <row r="636" spans="1:12" x14ac:dyDescent="0.35">
      <c r="A636">
        <v>635</v>
      </c>
      <c r="B636" t="s">
        <v>17</v>
      </c>
      <c r="C636">
        <v>4.3</v>
      </c>
      <c r="D636">
        <v>85.6</v>
      </c>
      <c r="E636">
        <v>8.1999999999999993</v>
      </c>
      <c r="F636" t="s">
        <v>18</v>
      </c>
      <c r="G636" t="s">
        <v>14</v>
      </c>
      <c r="H636" t="s">
        <v>15</v>
      </c>
      <c r="I636" t="s">
        <v>15</v>
      </c>
      <c r="J636">
        <v>61.1</v>
      </c>
      <c r="K636">
        <v>76</v>
      </c>
      <c r="L636" t="s">
        <v>22</v>
      </c>
    </row>
    <row r="637" spans="1:12" x14ac:dyDescent="0.35">
      <c r="A637">
        <v>636</v>
      </c>
      <c r="B637" t="s">
        <v>17</v>
      </c>
      <c r="C637">
        <v>2.6</v>
      </c>
      <c r="D637">
        <v>87.8</v>
      </c>
      <c r="E637">
        <v>6.2</v>
      </c>
      <c r="F637" t="s">
        <v>18</v>
      </c>
      <c r="G637" t="s">
        <v>14</v>
      </c>
      <c r="H637" t="s">
        <v>14</v>
      </c>
      <c r="I637" t="s">
        <v>14</v>
      </c>
      <c r="J637">
        <v>68.599999999999994</v>
      </c>
      <c r="K637">
        <v>96.3</v>
      </c>
      <c r="L637" t="s">
        <v>16</v>
      </c>
    </row>
    <row r="638" spans="1:12" x14ac:dyDescent="0.35">
      <c r="A638">
        <v>637</v>
      </c>
      <c r="B638" t="s">
        <v>12</v>
      </c>
      <c r="C638">
        <v>3.5</v>
      </c>
      <c r="D638">
        <v>98.6</v>
      </c>
      <c r="E638">
        <v>6.3</v>
      </c>
      <c r="F638" t="s">
        <v>13</v>
      </c>
      <c r="G638" t="s">
        <v>14</v>
      </c>
      <c r="H638" t="s">
        <v>14</v>
      </c>
      <c r="I638" t="s">
        <v>15</v>
      </c>
      <c r="J638">
        <v>92.8</v>
      </c>
      <c r="K638">
        <v>100</v>
      </c>
      <c r="L638" t="s">
        <v>16</v>
      </c>
    </row>
    <row r="639" spans="1:12" x14ac:dyDescent="0.35">
      <c r="A639">
        <v>638</v>
      </c>
      <c r="B639" t="s">
        <v>12</v>
      </c>
      <c r="C639">
        <v>6.7</v>
      </c>
      <c r="D639">
        <v>71.900000000000006</v>
      </c>
      <c r="E639">
        <v>8.1999999999999993</v>
      </c>
      <c r="F639" t="s">
        <v>18</v>
      </c>
      <c r="G639" t="s">
        <v>14</v>
      </c>
      <c r="H639" t="s">
        <v>15</v>
      </c>
      <c r="I639" t="s">
        <v>15</v>
      </c>
      <c r="J639">
        <v>68.599999999999994</v>
      </c>
      <c r="K639">
        <v>99.9</v>
      </c>
      <c r="L639" t="s">
        <v>16</v>
      </c>
    </row>
    <row r="640" spans="1:12" x14ac:dyDescent="0.35">
      <c r="A640">
        <v>639</v>
      </c>
      <c r="B640" t="s">
        <v>17</v>
      </c>
      <c r="C640">
        <v>6.1</v>
      </c>
      <c r="D640">
        <v>54.8</v>
      </c>
      <c r="E640">
        <v>4.5999999999999996</v>
      </c>
      <c r="F640" t="s">
        <v>23</v>
      </c>
      <c r="G640" t="s">
        <v>14</v>
      </c>
      <c r="H640" t="s">
        <v>15</v>
      </c>
      <c r="I640" t="s">
        <v>15</v>
      </c>
      <c r="J640">
        <v>83</v>
      </c>
      <c r="K640">
        <v>83.8</v>
      </c>
      <c r="L640" t="s">
        <v>20</v>
      </c>
    </row>
    <row r="641" spans="1:12" x14ac:dyDescent="0.35">
      <c r="A641">
        <v>640</v>
      </c>
      <c r="B641" t="s">
        <v>17</v>
      </c>
      <c r="C641">
        <v>4.2</v>
      </c>
      <c r="D641">
        <v>86.8</v>
      </c>
      <c r="E641">
        <v>6.3</v>
      </c>
      <c r="F641" t="s">
        <v>19</v>
      </c>
      <c r="G641" t="s">
        <v>15</v>
      </c>
      <c r="H641" t="s">
        <v>15</v>
      </c>
      <c r="I641" t="s">
        <v>14</v>
      </c>
      <c r="J641">
        <v>70.5</v>
      </c>
      <c r="K641">
        <v>79.400000000000006</v>
      </c>
      <c r="L641" t="s">
        <v>22</v>
      </c>
    </row>
    <row r="642" spans="1:12" x14ac:dyDescent="0.35">
      <c r="A642">
        <v>641</v>
      </c>
      <c r="B642" t="s">
        <v>17</v>
      </c>
      <c r="C642">
        <v>3.6</v>
      </c>
      <c r="D642">
        <v>100</v>
      </c>
      <c r="E642">
        <v>7</v>
      </c>
      <c r="F642" t="s">
        <v>13</v>
      </c>
      <c r="G642" t="s">
        <v>14</v>
      </c>
      <c r="H642" t="s">
        <v>14</v>
      </c>
      <c r="I642" t="s">
        <v>15</v>
      </c>
      <c r="J642">
        <v>64.2</v>
      </c>
      <c r="K642">
        <v>86</v>
      </c>
      <c r="L642" t="s">
        <v>20</v>
      </c>
    </row>
    <row r="643" spans="1:12" x14ac:dyDescent="0.35">
      <c r="A643">
        <v>642</v>
      </c>
      <c r="B643" t="s">
        <v>17</v>
      </c>
      <c r="C643">
        <v>3.7</v>
      </c>
      <c r="D643">
        <v>97.4</v>
      </c>
      <c r="E643">
        <v>7.3</v>
      </c>
      <c r="F643" t="s">
        <v>18</v>
      </c>
      <c r="G643" t="s">
        <v>14</v>
      </c>
      <c r="H643" t="s">
        <v>14</v>
      </c>
      <c r="I643" t="s">
        <v>15</v>
      </c>
      <c r="J643">
        <v>67</v>
      </c>
      <c r="K643">
        <v>97.9</v>
      </c>
      <c r="L643" t="s">
        <v>16</v>
      </c>
    </row>
    <row r="644" spans="1:12" x14ac:dyDescent="0.35">
      <c r="A644">
        <v>643</v>
      </c>
      <c r="B644" t="s">
        <v>17</v>
      </c>
      <c r="C644">
        <v>4.4000000000000004</v>
      </c>
      <c r="D644">
        <v>87.1</v>
      </c>
      <c r="E644">
        <v>6.2</v>
      </c>
      <c r="F644" t="s">
        <v>19</v>
      </c>
      <c r="G644" t="s">
        <v>14</v>
      </c>
      <c r="H644" t="s">
        <v>14</v>
      </c>
      <c r="I644" t="s">
        <v>15</v>
      </c>
      <c r="J644">
        <v>68</v>
      </c>
      <c r="K644">
        <v>90.5</v>
      </c>
      <c r="L644" t="s">
        <v>16</v>
      </c>
    </row>
    <row r="645" spans="1:12" x14ac:dyDescent="0.35">
      <c r="A645">
        <v>644</v>
      </c>
      <c r="B645" t="s">
        <v>12</v>
      </c>
      <c r="C645">
        <v>2</v>
      </c>
      <c r="D645">
        <v>80.099999999999994</v>
      </c>
      <c r="E645">
        <v>6.8</v>
      </c>
      <c r="F645" t="s">
        <v>13</v>
      </c>
      <c r="G645" t="s">
        <v>15</v>
      </c>
      <c r="H645" t="s">
        <v>14</v>
      </c>
      <c r="I645" t="s">
        <v>15</v>
      </c>
      <c r="J645">
        <v>77.2</v>
      </c>
      <c r="K645">
        <v>70.400000000000006</v>
      </c>
      <c r="L645" t="s">
        <v>22</v>
      </c>
    </row>
    <row r="646" spans="1:12" x14ac:dyDescent="0.35">
      <c r="A646">
        <v>645</v>
      </c>
      <c r="B646" t="s">
        <v>17</v>
      </c>
      <c r="C646">
        <v>3.1</v>
      </c>
      <c r="D646">
        <v>93.1</v>
      </c>
      <c r="E646">
        <v>3.8</v>
      </c>
      <c r="F646" t="s">
        <v>13</v>
      </c>
      <c r="G646" t="s">
        <v>14</v>
      </c>
      <c r="H646" t="s">
        <v>15</v>
      </c>
      <c r="I646" t="s">
        <v>14</v>
      </c>
      <c r="J646">
        <v>86.5</v>
      </c>
      <c r="K646">
        <v>82.9</v>
      </c>
      <c r="L646" t="s">
        <v>20</v>
      </c>
    </row>
    <row r="647" spans="1:12" x14ac:dyDescent="0.35">
      <c r="A647">
        <v>646</v>
      </c>
      <c r="B647" t="s">
        <v>12</v>
      </c>
      <c r="C647">
        <v>1</v>
      </c>
      <c r="D647">
        <v>75.3</v>
      </c>
      <c r="E647">
        <v>6</v>
      </c>
      <c r="F647" t="s">
        <v>13</v>
      </c>
      <c r="G647" t="s">
        <v>14</v>
      </c>
      <c r="H647" t="s">
        <v>14</v>
      </c>
      <c r="I647" t="s">
        <v>14</v>
      </c>
      <c r="J647">
        <v>74.3</v>
      </c>
      <c r="K647">
        <v>75.5</v>
      </c>
      <c r="L647" t="s">
        <v>22</v>
      </c>
    </row>
    <row r="648" spans="1:12" x14ac:dyDescent="0.35">
      <c r="A648">
        <v>647</v>
      </c>
      <c r="B648" t="s">
        <v>12</v>
      </c>
      <c r="C648">
        <v>4.0999999999999996</v>
      </c>
      <c r="D648">
        <v>89.8</v>
      </c>
      <c r="E648">
        <v>7.3</v>
      </c>
      <c r="F648" t="s">
        <v>19</v>
      </c>
      <c r="G648" t="s">
        <v>14</v>
      </c>
      <c r="H648" t="s">
        <v>14</v>
      </c>
      <c r="I648" t="s">
        <v>15</v>
      </c>
      <c r="J648">
        <v>84.2</v>
      </c>
      <c r="K648">
        <v>100</v>
      </c>
      <c r="L648" t="s">
        <v>16</v>
      </c>
    </row>
    <row r="649" spans="1:12" x14ac:dyDescent="0.35">
      <c r="A649">
        <v>648</v>
      </c>
      <c r="B649" t="s">
        <v>12</v>
      </c>
      <c r="C649">
        <v>4.5</v>
      </c>
      <c r="D649">
        <v>90.1</v>
      </c>
      <c r="E649">
        <v>5.6</v>
      </c>
      <c r="F649" t="s">
        <v>13</v>
      </c>
      <c r="G649" t="s">
        <v>14</v>
      </c>
      <c r="H649" t="s">
        <v>15</v>
      </c>
      <c r="I649" t="s">
        <v>15</v>
      </c>
      <c r="J649">
        <v>58.4</v>
      </c>
      <c r="K649">
        <v>94</v>
      </c>
      <c r="L649" t="s">
        <v>16</v>
      </c>
    </row>
    <row r="650" spans="1:12" x14ac:dyDescent="0.35">
      <c r="A650">
        <v>649</v>
      </c>
      <c r="B650" t="s">
        <v>17</v>
      </c>
      <c r="C650">
        <v>2.8</v>
      </c>
      <c r="D650">
        <v>95.6</v>
      </c>
      <c r="E650">
        <v>6.9</v>
      </c>
      <c r="F650" t="s">
        <v>23</v>
      </c>
      <c r="G650" t="s">
        <v>14</v>
      </c>
      <c r="H650" t="s">
        <v>14</v>
      </c>
      <c r="I650" t="s">
        <v>15</v>
      </c>
      <c r="J650">
        <v>65</v>
      </c>
      <c r="K650">
        <v>88.9</v>
      </c>
      <c r="L650" t="s">
        <v>20</v>
      </c>
    </row>
    <row r="651" spans="1:12" x14ac:dyDescent="0.35">
      <c r="A651">
        <v>650</v>
      </c>
      <c r="B651" t="s">
        <v>12</v>
      </c>
      <c r="C651">
        <v>5.9</v>
      </c>
      <c r="D651">
        <v>100</v>
      </c>
      <c r="E651">
        <v>7.3</v>
      </c>
      <c r="F651" t="s">
        <v>23</v>
      </c>
      <c r="G651" t="s">
        <v>14</v>
      </c>
      <c r="H651" t="s">
        <v>14</v>
      </c>
      <c r="I651" t="s">
        <v>15</v>
      </c>
      <c r="J651">
        <v>61.3</v>
      </c>
      <c r="K651">
        <v>97.3</v>
      </c>
      <c r="L651" t="s">
        <v>16</v>
      </c>
    </row>
    <row r="652" spans="1:12" x14ac:dyDescent="0.35">
      <c r="A652">
        <v>651</v>
      </c>
      <c r="B652" t="s">
        <v>12</v>
      </c>
      <c r="C652">
        <v>1.7</v>
      </c>
      <c r="D652">
        <v>88.9</v>
      </c>
      <c r="E652">
        <v>6.4</v>
      </c>
      <c r="F652" t="s">
        <v>18</v>
      </c>
      <c r="G652" t="s">
        <v>14</v>
      </c>
      <c r="H652" t="s">
        <v>15</v>
      </c>
      <c r="I652" t="s">
        <v>15</v>
      </c>
      <c r="J652">
        <v>73.8</v>
      </c>
      <c r="K652">
        <v>59.5</v>
      </c>
      <c r="L652" t="s">
        <v>25</v>
      </c>
    </row>
    <row r="653" spans="1:12" x14ac:dyDescent="0.35">
      <c r="A653">
        <v>652</v>
      </c>
      <c r="B653" t="s">
        <v>17</v>
      </c>
      <c r="C653">
        <v>1.3</v>
      </c>
      <c r="D653">
        <v>79.900000000000006</v>
      </c>
      <c r="E653">
        <v>7</v>
      </c>
      <c r="F653" t="s">
        <v>13</v>
      </c>
      <c r="G653" t="s">
        <v>14</v>
      </c>
      <c r="H653" t="s">
        <v>15</v>
      </c>
      <c r="I653" t="s">
        <v>15</v>
      </c>
      <c r="J653">
        <v>65.7</v>
      </c>
      <c r="K653">
        <v>73.3</v>
      </c>
      <c r="L653" t="s">
        <v>22</v>
      </c>
    </row>
    <row r="654" spans="1:12" x14ac:dyDescent="0.35">
      <c r="A654">
        <v>653</v>
      </c>
      <c r="B654" t="s">
        <v>12</v>
      </c>
      <c r="C654">
        <v>3.8</v>
      </c>
      <c r="D654">
        <v>84.7</v>
      </c>
      <c r="E654">
        <v>5.6</v>
      </c>
      <c r="F654" t="s">
        <v>23</v>
      </c>
      <c r="G654" t="s">
        <v>14</v>
      </c>
      <c r="H654" t="s">
        <v>15</v>
      </c>
      <c r="I654" t="s">
        <v>15</v>
      </c>
      <c r="J654">
        <v>78.8</v>
      </c>
      <c r="K654">
        <v>88</v>
      </c>
      <c r="L654" t="s">
        <v>20</v>
      </c>
    </row>
    <row r="655" spans="1:12" x14ac:dyDescent="0.35">
      <c r="A655">
        <v>654</v>
      </c>
      <c r="B655" t="s">
        <v>12</v>
      </c>
      <c r="C655">
        <v>5.0999999999999996</v>
      </c>
      <c r="D655">
        <v>67.3</v>
      </c>
      <c r="E655">
        <v>6.6</v>
      </c>
      <c r="F655" t="s">
        <v>13</v>
      </c>
      <c r="G655" t="s">
        <v>15</v>
      </c>
      <c r="H655" t="s">
        <v>14</v>
      </c>
      <c r="I655" t="s">
        <v>14</v>
      </c>
      <c r="J655">
        <v>58.8</v>
      </c>
      <c r="K655">
        <v>74.8</v>
      </c>
      <c r="L655" t="s">
        <v>22</v>
      </c>
    </row>
    <row r="656" spans="1:12" x14ac:dyDescent="0.35">
      <c r="A656">
        <v>655</v>
      </c>
      <c r="B656" t="s">
        <v>17</v>
      </c>
      <c r="C656">
        <v>6</v>
      </c>
      <c r="D656">
        <v>78.099999999999994</v>
      </c>
      <c r="E656">
        <v>7.5</v>
      </c>
      <c r="F656" t="s">
        <v>23</v>
      </c>
      <c r="G656" t="s">
        <v>15</v>
      </c>
      <c r="H656" t="s">
        <v>15</v>
      </c>
      <c r="I656" t="s">
        <v>15</v>
      </c>
      <c r="J656">
        <v>70.5</v>
      </c>
      <c r="K656">
        <v>89.9</v>
      </c>
      <c r="L656" t="s">
        <v>20</v>
      </c>
    </row>
    <row r="657" spans="1:12" x14ac:dyDescent="0.35">
      <c r="A657">
        <v>656</v>
      </c>
      <c r="B657" t="s">
        <v>12</v>
      </c>
      <c r="C657">
        <v>2.8</v>
      </c>
      <c r="D657">
        <v>80.900000000000006</v>
      </c>
      <c r="E657">
        <v>7</v>
      </c>
      <c r="F657" t="s">
        <v>19</v>
      </c>
      <c r="G657" t="s">
        <v>14</v>
      </c>
      <c r="H657" t="s">
        <v>15</v>
      </c>
      <c r="I657" t="s">
        <v>14</v>
      </c>
      <c r="J657">
        <v>78.2</v>
      </c>
      <c r="K657">
        <v>72.599999999999994</v>
      </c>
      <c r="L657" t="s">
        <v>22</v>
      </c>
    </row>
    <row r="658" spans="1:12" x14ac:dyDescent="0.35">
      <c r="A658">
        <v>657</v>
      </c>
      <c r="B658" t="s">
        <v>12</v>
      </c>
      <c r="C658">
        <v>5.0999999999999996</v>
      </c>
      <c r="D658">
        <v>79.8</v>
      </c>
      <c r="E658">
        <v>6.1</v>
      </c>
      <c r="F658" t="s">
        <v>13</v>
      </c>
      <c r="G658" t="s">
        <v>14</v>
      </c>
      <c r="H658" t="s">
        <v>14</v>
      </c>
      <c r="I658" t="s">
        <v>15</v>
      </c>
      <c r="J658">
        <v>45.2</v>
      </c>
      <c r="K658">
        <v>83.6</v>
      </c>
      <c r="L658" t="s">
        <v>20</v>
      </c>
    </row>
    <row r="659" spans="1:12" x14ac:dyDescent="0.35">
      <c r="A659">
        <v>658</v>
      </c>
      <c r="B659" t="s">
        <v>12</v>
      </c>
      <c r="C659">
        <v>3.4</v>
      </c>
      <c r="D659">
        <v>86.5</v>
      </c>
      <c r="E659">
        <v>7.1</v>
      </c>
      <c r="F659" t="s">
        <v>23</v>
      </c>
      <c r="G659" t="s">
        <v>14</v>
      </c>
      <c r="H659" t="s">
        <v>14</v>
      </c>
      <c r="I659" t="s">
        <v>15</v>
      </c>
      <c r="J659">
        <v>95.5</v>
      </c>
      <c r="K659">
        <v>100</v>
      </c>
      <c r="L659" t="s">
        <v>16</v>
      </c>
    </row>
    <row r="660" spans="1:12" x14ac:dyDescent="0.35">
      <c r="A660">
        <v>659</v>
      </c>
      <c r="B660" t="s">
        <v>17</v>
      </c>
      <c r="C660">
        <v>3.2</v>
      </c>
      <c r="D660">
        <v>76.8</v>
      </c>
      <c r="E660">
        <v>7.7</v>
      </c>
      <c r="F660" t="s">
        <v>23</v>
      </c>
      <c r="G660" t="s">
        <v>14</v>
      </c>
      <c r="H660" t="s">
        <v>15</v>
      </c>
      <c r="I660" t="s">
        <v>15</v>
      </c>
      <c r="J660">
        <v>66.599999999999994</v>
      </c>
      <c r="K660">
        <v>84.3</v>
      </c>
      <c r="L660" t="s">
        <v>20</v>
      </c>
    </row>
    <row r="661" spans="1:12" x14ac:dyDescent="0.35">
      <c r="A661">
        <v>660</v>
      </c>
      <c r="B661" t="s">
        <v>17</v>
      </c>
      <c r="C661">
        <v>4.8</v>
      </c>
      <c r="D661">
        <v>96.2</v>
      </c>
      <c r="E661">
        <v>4.3</v>
      </c>
      <c r="F661" t="s">
        <v>23</v>
      </c>
      <c r="G661" t="s">
        <v>14</v>
      </c>
      <c r="H661" t="s">
        <v>14</v>
      </c>
      <c r="I661" t="s">
        <v>14</v>
      </c>
      <c r="J661">
        <v>45.7</v>
      </c>
      <c r="K661">
        <v>85.4</v>
      </c>
      <c r="L661" t="s">
        <v>20</v>
      </c>
    </row>
    <row r="662" spans="1:12" x14ac:dyDescent="0.35">
      <c r="A662">
        <v>661</v>
      </c>
      <c r="B662" t="s">
        <v>17</v>
      </c>
      <c r="C662">
        <v>4.5</v>
      </c>
      <c r="D662">
        <v>85</v>
      </c>
      <c r="E662">
        <v>8.1999999999999993</v>
      </c>
      <c r="F662" t="s">
        <v>13</v>
      </c>
      <c r="G662" t="s">
        <v>14</v>
      </c>
      <c r="H662" t="s">
        <v>15</v>
      </c>
      <c r="I662" t="s">
        <v>15</v>
      </c>
      <c r="J662">
        <v>71.900000000000006</v>
      </c>
      <c r="K662">
        <v>95.2</v>
      </c>
      <c r="L662" t="s">
        <v>16</v>
      </c>
    </row>
    <row r="663" spans="1:12" x14ac:dyDescent="0.35">
      <c r="A663">
        <v>662</v>
      </c>
      <c r="B663" t="s">
        <v>12</v>
      </c>
      <c r="C663">
        <v>1.1000000000000001</v>
      </c>
      <c r="D663">
        <v>84.9</v>
      </c>
      <c r="E663">
        <v>6.4</v>
      </c>
      <c r="F663" t="s">
        <v>18</v>
      </c>
      <c r="G663" t="s">
        <v>14</v>
      </c>
      <c r="H663" t="s">
        <v>14</v>
      </c>
      <c r="I663" t="s">
        <v>14</v>
      </c>
      <c r="J663">
        <v>70.400000000000006</v>
      </c>
      <c r="K663">
        <v>69</v>
      </c>
      <c r="L663" t="s">
        <v>21</v>
      </c>
    </row>
    <row r="664" spans="1:12" x14ac:dyDescent="0.35">
      <c r="A664">
        <v>663</v>
      </c>
      <c r="B664" t="s">
        <v>12</v>
      </c>
      <c r="C664">
        <v>5.7</v>
      </c>
      <c r="D664">
        <v>81.7</v>
      </c>
      <c r="E664">
        <v>7.3</v>
      </c>
      <c r="F664" t="s">
        <v>13</v>
      </c>
      <c r="G664" t="s">
        <v>14</v>
      </c>
      <c r="H664" t="s">
        <v>14</v>
      </c>
      <c r="I664" t="s">
        <v>15</v>
      </c>
      <c r="J664">
        <v>69</v>
      </c>
      <c r="K664">
        <v>94.2</v>
      </c>
      <c r="L664" t="s">
        <v>16</v>
      </c>
    </row>
    <row r="665" spans="1:12" x14ac:dyDescent="0.35">
      <c r="A665">
        <v>664</v>
      </c>
      <c r="B665" t="s">
        <v>17</v>
      </c>
      <c r="C665">
        <v>5.6</v>
      </c>
      <c r="D665">
        <v>86.6</v>
      </c>
      <c r="E665">
        <v>8.1999999999999993</v>
      </c>
      <c r="F665" t="s">
        <v>23</v>
      </c>
      <c r="G665" t="s">
        <v>14</v>
      </c>
      <c r="H665" t="s">
        <v>14</v>
      </c>
      <c r="I665" t="s">
        <v>14</v>
      </c>
      <c r="J665">
        <v>81.900000000000006</v>
      </c>
      <c r="K665">
        <v>99.7</v>
      </c>
      <c r="L665" t="s">
        <v>16</v>
      </c>
    </row>
    <row r="666" spans="1:12" x14ac:dyDescent="0.35">
      <c r="A666">
        <v>665</v>
      </c>
      <c r="B666" t="s">
        <v>12</v>
      </c>
      <c r="C666">
        <v>2.6</v>
      </c>
      <c r="D666">
        <v>93.3</v>
      </c>
      <c r="E666">
        <v>5.2</v>
      </c>
      <c r="F666" t="s">
        <v>13</v>
      </c>
      <c r="G666" t="s">
        <v>14</v>
      </c>
      <c r="H666" t="s">
        <v>15</v>
      </c>
      <c r="I666" t="s">
        <v>15</v>
      </c>
      <c r="J666">
        <v>79</v>
      </c>
      <c r="K666">
        <v>85.8</v>
      </c>
      <c r="L666" t="s">
        <v>20</v>
      </c>
    </row>
    <row r="667" spans="1:12" x14ac:dyDescent="0.35">
      <c r="A667">
        <v>666</v>
      </c>
      <c r="B667" t="s">
        <v>12</v>
      </c>
      <c r="C667">
        <v>4.0999999999999996</v>
      </c>
      <c r="D667">
        <v>76.3</v>
      </c>
      <c r="E667">
        <v>5.9</v>
      </c>
      <c r="F667" t="s">
        <v>23</v>
      </c>
      <c r="G667" t="s">
        <v>14</v>
      </c>
      <c r="H667" t="s">
        <v>14</v>
      </c>
      <c r="I667" t="s">
        <v>15</v>
      </c>
      <c r="J667">
        <v>73.599999999999994</v>
      </c>
      <c r="K667">
        <v>91.7</v>
      </c>
      <c r="L667" t="s">
        <v>16</v>
      </c>
    </row>
    <row r="668" spans="1:12" x14ac:dyDescent="0.35">
      <c r="A668">
        <v>667</v>
      </c>
      <c r="B668" t="s">
        <v>17</v>
      </c>
      <c r="C668">
        <v>4.2</v>
      </c>
      <c r="D668">
        <v>78.400000000000006</v>
      </c>
      <c r="E668">
        <v>6.5</v>
      </c>
      <c r="F668" t="s">
        <v>13</v>
      </c>
      <c r="G668" t="s">
        <v>14</v>
      </c>
      <c r="H668" t="s">
        <v>14</v>
      </c>
      <c r="I668" t="s">
        <v>15</v>
      </c>
      <c r="J668">
        <v>75.400000000000006</v>
      </c>
      <c r="K668">
        <v>92.2</v>
      </c>
      <c r="L668" t="s">
        <v>16</v>
      </c>
    </row>
    <row r="669" spans="1:12" x14ac:dyDescent="0.35">
      <c r="A669">
        <v>668</v>
      </c>
      <c r="B669" t="s">
        <v>17</v>
      </c>
      <c r="C669">
        <v>3.9</v>
      </c>
      <c r="D669">
        <v>82</v>
      </c>
      <c r="E669">
        <v>5.9</v>
      </c>
      <c r="F669" t="s">
        <v>13</v>
      </c>
      <c r="G669" t="s">
        <v>14</v>
      </c>
      <c r="H669" t="s">
        <v>15</v>
      </c>
      <c r="I669" t="s">
        <v>15</v>
      </c>
      <c r="J669">
        <v>68.7</v>
      </c>
      <c r="K669">
        <v>96.3</v>
      </c>
      <c r="L669" t="s">
        <v>16</v>
      </c>
    </row>
    <row r="670" spans="1:12" x14ac:dyDescent="0.35">
      <c r="A670">
        <v>669</v>
      </c>
      <c r="B670" t="s">
        <v>12</v>
      </c>
      <c r="C670">
        <v>2.7</v>
      </c>
      <c r="D670">
        <v>71.5</v>
      </c>
      <c r="E670">
        <v>8.9</v>
      </c>
      <c r="F670" t="s">
        <v>18</v>
      </c>
      <c r="G670" t="s">
        <v>14</v>
      </c>
      <c r="H670" t="s">
        <v>15</v>
      </c>
      <c r="I670" t="s">
        <v>14</v>
      </c>
      <c r="J670">
        <v>91.3</v>
      </c>
      <c r="K670">
        <v>97.6</v>
      </c>
      <c r="L670" t="s">
        <v>16</v>
      </c>
    </row>
    <row r="671" spans="1:12" x14ac:dyDescent="0.35">
      <c r="A671">
        <v>670</v>
      </c>
      <c r="B671" t="s">
        <v>12</v>
      </c>
      <c r="C671">
        <v>2.5</v>
      </c>
      <c r="D671">
        <v>76.8</v>
      </c>
      <c r="E671">
        <v>5.8</v>
      </c>
      <c r="F671" t="s">
        <v>23</v>
      </c>
      <c r="G671" t="s">
        <v>14</v>
      </c>
      <c r="H671" t="s">
        <v>15</v>
      </c>
      <c r="I671" t="s">
        <v>14</v>
      </c>
      <c r="J671">
        <v>52.2</v>
      </c>
      <c r="K671">
        <v>66.400000000000006</v>
      </c>
      <c r="L671" t="s">
        <v>21</v>
      </c>
    </row>
    <row r="672" spans="1:12" x14ac:dyDescent="0.35">
      <c r="A672">
        <v>671</v>
      </c>
      <c r="B672" t="s">
        <v>12</v>
      </c>
      <c r="C672">
        <v>3.5</v>
      </c>
      <c r="D672">
        <v>80.2</v>
      </c>
      <c r="E672">
        <v>6.1</v>
      </c>
      <c r="F672" t="s">
        <v>13</v>
      </c>
      <c r="G672" t="s">
        <v>14</v>
      </c>
      <c r="H672" t="s">
        <v>14</v>
      </c>
      <c r="I672" t="s">
        <v>15</v>
      </c>
      <c r="J672">
        <v>71.7</v>
      </c>
      <c r="K672">
        <v>60.8</v>
      </c>
      <c r="L672" t="s">
        <v>21</v>
      </c>
    </row>
    <row r="673" spans="1:12" x14ac:dyDescent="0.35">
      <c r="A673">
        <v>672</v>
      </c>
      <c r="B673" t="s">
        <v>17</v>
      </c>
      <c r="C673">
        <v>5.3</v>
      </c>
      <c r="D673">
        <v>93.7</v>
      </c>
      <c r="E673">
        <v>7</v>
      </c>
      <c r="F673" t="s">
        <v>18</v>
      </c>
      <c r="G673" t="s">
        <v>15</v>
      </c>
      <c r="H673" t="s">
        <v>14</v>
      </c>
      <c r="I673" t="s">
        <v>15</v>
      </c>
      <c r="J673">
        <v>70.8</v>
      </c>
      <c r="K673">
        <v>99.8</v>
      </c>
      <c r="L673" t="s">
        <v>16</v>
      </c>
    </row>
    <row r="674" spans="1:12" x14ac:dyDescent="0.35">
      <c r="A674">
        <v>673</v>
      </c>
      <c r="B674" t="s">
        <v>17</v>
      </c>
      <c r="C674">
        <v>4.3</v>
      </c>
      <c r="D674">
        <v>87.6</v>
      </c>
      <c r="E674">
        <v>5.4</v>
      </c>
      <c r="F674" t="s">
        <v>18</v>
      </c>
      <c r="G674" t="s">
        <v>14</v>
      </c>
      <c r="H674" t="s">
        <v>15</v>
      </c>
      <c r="I674" t="s">
        <v>14</v>
      </c>
      <c r="J674">
        <v>79.8</v>
      </c>
      <c r="K674">
        <v>85.2</v>
      </c>
      <c r="L674" t="s">
        <v>20</v>
      </c>
    </row>
    <row r="675" spans="1:12" x14ac:dyDescent="0.35">
      <c r="A675">
        <v>674</v>
      </c>
      <c r="B675" t="s">
        <v>17</v>
      </c>
      <c r="C675">
        <v>2.9</v>
      </c>
      <c r="D675">
        <v>86.9</v>
      </c>
      <c r="E675">
        <v>6.3</v>
      </c>
      <c r="F675" t="s">
        <v>23</v>
      </c>
      <c r="G675" t="s">
        <v>14</v>
      </c>
      <c r="H675" t="s">
        <v>15</v>
      </c>
      <c r="I675" t="s">
        <v>15</v>
      </c>
      <c r="J675">
        <v>59.9</v>
      </c>
      <c r="K675">
        <v>73.2</v>
      </c>
      <c r="L675" t="s">
        <v>22</v>
      </c>
    </row>
    <row r="676" spans="1:12" x14ac:dyDescent="0.35">
      <c r="A676">
        <v>675</v>
      </c>
      <c r="B676" t="s">
        <v>17</v>
      </c>
      <c r="C676">
        <v>4.7</v>
      </c>
      <c r="D676">
        <v>93.5</v>
      </c>
      <c r="E676">
        <v>7.2</v>
      </c>
      <c r="F676" t="s">
        <v>13</v>
      </c>
      <c r="G676" t="s">
        <v>14</v>
      </c>
      <c r="H676" t="s">
        <v>14</v>
      </c>
      <c r="I676" t="s">
        <v>15</v>
      </c>
      <c r="J676">
        <v>49.1</v>
      </c>
      <c r="K676">
        <v>83.8</v>
      </c>
      <c r="L676" t="s">
        <v>20</v>
      </c>
    </row>
    <row r="677" spans="1:12" x14ac:dyDescent="0.35">
      <c r="A677">
        <v>676</v>
      </c>
      <c r="B677" t="s">
        <v>12</v>
      </c>
      <c r="C677">
        <v>0.5</v>
      </c>
      <c r="D677">
        <v>83.6</v>
      </c>
      <c r="E677">
        <v>6.4</v>
      </c>
      <c r="F677" t="s">
        <v>18</v>
      </c>
      <c r="G677" t="s">
        <v>15</v>
      </c>
      <c r="H677" t="s">
        <v>14</v>
      </c>
      <c r="I677" t="s">
        <v>14</v>
      </c>
      <c r="J677">
        <v>71.900000000000006</v>
      </c>
      <c r="K677">
        <v>61.3</v>
      </c>
      <c r="L677" t="s">
        <v>21</v>
      </c>
    </row>
    <row r="678" spans="1:12" x14ac:dyDescent="0.35">
      <c r="A678">
        <v>677</v>
      </c>
      <c r="B678" t="s">
        <v>17</v>
      </c>
      <c r="C678">
        <v>5.2</v>
      </c>
      <c r="D678">
        <v>88.9</v>
      </c>
      <c r="E678">
        <v>6.7</v>
      </c>
      <c r="F678" t="s">
        <v>19</v>
      </c>
      <c r="G678" t="s">
        <v>15</v>
      </c>
      <c r="H678" t="s">
        <v>15</v>
      </c>
      <c r="I678" t="s">
        <v>14</v>
      </c>
      <c r="J678">
        <v>73.400000000000006</v>
      </c>
      <c r="K678">
        <v>90.6</v>
      </c>
      <c r="L678" t="s">
        <v>16</v>
      </c>
    </row>
    <row r="679" spans="1:12" x14ac:dyDescent="0.35">
      <c r="A679">
        <v>678</v>
      </c>
      <c r="B679" t="s">
        <v>17</v>
      </c>
      <c r="C679">
        <v>0.9</v>
      </c>
      <c r="D679">
        <v>84</v>
      </c>
      <c r="E679">
        <v>6.2</v>
      </c>
      <c r="F679" t="s">
        <v>23</v>
      </c>
      <c r="G679" t="s">
        <v>14</v>
      </c>
      <c r="H679" t="s">
        <v>14</v>
      </c>
      <c r="I679" t="s">
        <v>14</v>
      </c>
      <c r="J679">
        <v>87.9</v>
      </c>
      <c r="K679">
        <v>67.7</v>
      </c>
      <c r="L679" t="s">
        <v>21</v>
      </c>
    </row>
    <row r="680" spans="1:12" x14ac:dyDescent="0.35">
      <c r="A680">
        <v>679</v>
      </c>
      <c r="B680" t="s">
        <v>17</v>
      </c>
      <c r="C680">
        <v>3</v>
      </c>
      <c r="D680">
        <v>87.7</v>
      </c>
      <c r="E680">
        <v>5</v>
      </c>
      <c r="F680" t="s">
        <v>19</v>
      </c>
      <c r="G680" t="s">
        <v>15</v>
      </c>
      <c r="H680" t="s">
        <v>15</v>
      </c>
      <c r="I680" t="s">
        <v>15</v>
      </c>
      <c r="J680">
        <v>54.8</v>
      </c>
      <c r="K680">
        <v>63.6</v>
      </c>
      <c r="L680" t="s">
        <v>21</v>
      </c>
    </row>
    <row r="681" spans="1:12" x14ac:dyDescent="0.35">
      <c r="A681">
        <v>680</v>
      </c>
      <c r="B681" t="s">
        <v>17</v>
      </c>
      <c r="C681">
        <v>1.8</v>
      </c>
      <c r="D681">
        <v>79.2</v>
      </c>
      <c r="E681">
        <v>7.2</v>
      </c>
      <c r="F681" t="s">
        <v>13</v>
      </c>
      <c r="G681" t="s">
        <v>14</v>
      </c>
      <c r="H681" t="s">
        <v>14</v>
      </c>
      <c r="I681" t="s">
        <v>15</v>
      </c>
      <c r="J681">
        <v>83.9</v>
      </c>
      <c r="K681">
        <v>84.1</v>
      </c>
      <c r="L681" t="s">
        <v>20</v>
      </c>
    </row>
    <row r="682" spans="1:12" x14ac:dyDescent="0.35">
      <c r="A682">
        <v>681</v>
      </c>
      <c r="B682" t="s">
        <v>17</v>
      </c>
      <c r="C682">
        <v>1.6</v>
      </c>
      <c r="D682">
        <v>60.6</v>
      </c>
      <c r="E682">
        <v>8.9</v>
      </c>
      <c r="F682" t="s">
        <v>13</v>
      </c>
      <c r="G682" t="s">
        <v>14</v>
      </c>
      <c r="H682" t="s">
        <v>14</v>
      </c>
      <c r="I682" t="s">
        <v>15</v>
      </c>
      <c r="J682">
        <v>98.4</v>
      </c>
      <c r="K682">
        <v>86.2</v>
      </c>
      <c r="L682" t="s">
        <v>20</v>
      </c>
    </row>
    <row r="683" spans="1:12" x14ac:dyDescent="0.35">
      <c r="A683">
        <v>682</v>
      </c>
      <c r="B683" t="s">
        <v>12</v>
      </c>
      <c r="C683">
        <v>5.2</v>
      </c>
      <c r="D683">
        <v>83.7</v>
      </c>
      <c r="E683">
        <v>6.8</v>
      </c>
      <c r="F683" t="s">
        <v>24</v>
      </c>
      <c r="G683" t="s">
        <v>14</v>
      </c>
      <c r="H683" t="s">
        <v>15</v>
      </c>
      <c r="I683" t="s">
        <v>15</v>
      </c>
      <c r="J683">
        <v>65.5</v>
      </c>
      <c r="K683">
        <v>93.9</v>
      </c>
      <c r="L683" t="s">
        <v>16</v>
      </c>
    </row>
    <row r="684" spans="1:12" x14ac:dyDescent="0.35">
      <c r="A684">
        <v>683</v>
      </c>
      <c r="B684" t="s">
        <v>12</v>
      </c>
      <c r="C684">
        <v>2.8</v>
      </c>
      <c r="D684">
        <v>99.2</v>
      </c>
      <c r="E684">
        <v>7.1</v>
      </c>
      <c r="F684" t="s">
        <v>13</v>
      </c>
      <c r="G684" t="s">
        <v>14</v>
      </c>
      <c r="H684" t="s">
        <v>14</v>
      </c>
      <c r="I684" t="s">
        <v>14</v>
      </c>
      <c r="J684">
        <v>54.5</v>
      </c>
      <c r="K684">
        <v>73.900000000000006</v>
      </c>
      <c r="L684" t="s">
        <v>22</v>
      </c>
    </row>
    <row r="685" spans="1:12" x14ac:dyDescent="0.35">
      <c r="A685">
        <v>684</v>
      </c>
      <c r="B685" t="s">
        <v>17</v>
      </c>
      <c r="C685">
        <v>4</v>
      </c>
      <c r="D685">
        <v>94.3</v>
      </c>
      <c r="E685">
        <v>7.6</v>
      </c>
      <c r="F685" t="s">
        <v>23</v>
      </c>
      <c r="G685" t="s">
        <v>15</v>
      </c>
      <c r="H685" t="s">
        <v>14</v>
      </c>
      <c r="I685" t="s">
        <v>15</v>
      </c>
      <c r="J685">
        <v>65.099999999999994</v>
      </c>
      <c r="K685">
        <v>79.3</v>
      </c>
      <c r="L685" t="s">
        <v>22</v>
      </c>
    </row>
    <row r="686" spans="1:12" x14ac:dyDescent="0.35">
      <c r="A686">
        <v>685</v>
      </c>
      <c r="B686" t="s">
        <v>12</v>
      </c>
      <c r="C686">
        <v>3.4</v>
      </c>
      <c r="D686">
        <v>94.7</v>
      </c>
      <c r="E686">
        <v>5.3</v>
      </c>
      <c r="F686" t="s">
        <v>18</v>
      </c>
      <c r="G686" t="s">
        <v>14</v>
      </c>
      <c r="H686" t="s">
        <v>14</v>
      </c>
      <c r="I686" t="s">
        <v>15</v>
      </c>
      <c r="J686">
        <v>70.2</v>
      </c>
      <c r="K686">
        <v>83.8</v>
      </c>
      <c r="L686" t="s">
        <v>20</v>
      </c>
    </row>
    <row r="687" spans="1:12" x14ac:dyDescent="0.35">
      <c r="A687">
        <v>686</v>
      </c>
      <c r="B687" t="s">
        <v>17</v>
      </c>
      <c r="C687">
        <v>4.2</v>
      </c>
      <c r="D687">
        <v>97.4</v>
      </c>
      <c r="E687">
        <v>8.8000000000000007</v>
      </c>
      <c r="F687" t="s">
        <v>13</v>
      </c>
      <c r="G687" t="s">
        <v>15</v>
      </c>
      <c r="H687" t="s">
        <v>14</v>
      </c>
      <c r="I687" t="s">
        <v>14</v>
      </c>
      <c r="J687">
        <v>76.8</v>
      </c>
      <c r="K687">
        <v>91.7</v>
      </c>
      <c r="L687" t="s">
        <v>16</v>
      </c>
    </row>
    <row r="688" spans="1:12" x14ac:dyDescent="0.35">
      <c r="A688">
        <v>687</v>
      </c>
      <c r="B688" t="s">
        <v>17</v>
      </c>
      <c r="C688">
        <v>3.6</v>
      </c>
      <c r="D688">
        <v>85.9</v>
      </c>
      <c r="E688">
        <v>7</v>
      </c>
      <c r="F688" t="s">
        <v>18</v>
      </c>
      <c r="G688" t="s">
        <v>14</v>
      </c>
      <c r="H688" t="s">
        <v>15</v>
      </c>
      <c r="I688" t="s">
        <v>15</v>
      </c>
      <c r="J688">
        <v>62.9</v>
      </c>
      <c r="K688">
        <v>91.7</v>
      </c>
      <c r="L688" t="s">
        <v>16</v>
      </c>
    </row>
    <row r="689" spans="1:12" x14ac:dyDescent="0.35">
      <c r="A689">
        <v>688</v>
      </c>
      <c r="B689" t="s">
        <v>12</v>
      </c>
      <c r="C689">
        <v>1.6</v>
      </c>
      <c r="D689">
        <v>87</v>
      </c>
      <c r="E689">
        <v>8.8000000000000007</v>
      </c>
      <c r="F689" t="s">
        <v>18</v>
      </c>
      <c r="G689" t="s">
        <v>14</v>
      </c>
      <c r="H689" t="s">
        <v>15</v>
      </c>
      <c r="I689" t="s">
        <v>15</v>
      </c>
      <c r="J689">
        <v>88.7</v>
      </c>
      <c r="K689">
        <v>74.400000000000006</v>
      </c>
      <c r="L689" t="s">
        <v>22</v>
      </c>
    </row>
    <row r="690" spans="1:12" x14ac:dyDescent="0.35">
      <c r="A690">
        <v>689</v>
      </c>
      <c r="B690" t="s">
        <v>12</v>
      </c>
      <c r="C690">
        <v>5</v>
      </c>
      <c r="D690">
        <v>78.8</v>
      </c>
      <c r="E690">
        <v>5.9</v>
      </c>
      <c r="F690" t="s">
        <v>18</v>
      </c>
      <c r="G690" t="s">
        <v>14</v>
      </c>
      <c r="H690" t="s">
        <v>15</v>
      </c>
      <c r="I690" t="s">
        <v>15</v>
      </c>
      <c r="J690">
        <v>56.6</v>
      </c>
      <c r="K690">
        <v>81.5</v>
      </c>
      <c r="L690" t="s">
        <v>20</v>
      </c>
    </row>
    <row r="691" spans="1:12" x14ac:dyDescent="0.35">
      <c r="A691">
        <v>690</v>
      </c>
      <c r="B691" t="s">
        <v>17</v>
      </c>
      <c r="C691">
        <v>2.8</v>
      </c>
      <c r="D691">
        <v>81.8</v>
      </c>
      <c r="E691">
        <v>9</v>
      </c>
      <c r="F691" t="s">
        <v>18</v>
      </c>
      <c r="G691" t="s">
        <v>14</v>
      </c>
      <c r="H691" t="s">
        <v>14</v>
      </c>
      <c r="I691" t="s">
        <v>15</v>
      </c>
      <c r="J691">
        <v>49.1</v>
      </c>
      <c r="K691">
        <v>67.7</v>
      </c>
      <c r="L691" t="s">
        <v>21</v>
      </c>
    </row>
    <row r="692" spans="1:12" x14ac:dyDescent="0.35">
      <c r="A692">
        <v>691</v>
      </c>
      <c r="B692" t="s">
        <v>17</v>
      </c>
      <c r="C692">
        <v>1.2</v>
      </c>
      <c r="D692">
        <v>91.2</v>
      </c>
      <c r="E692">
        <v>7.7</v>
      </c>
      <c r="F692" t="s">
        <v>19</v>
      </c>
      <c r="G692" t="s">
        <v>14</v>
      </c>
      <c r="H692" t="s">
        <v>14</v>
      </c>
      <c r="I692" t="s">
        <v>14</v>
      </c>
      <c r="J692">
        <v>83.3</v>
      </c>
      <c r="K692">
        <v>71</v>
      </c>
      <c r="L692" t="s">
        <v>22</v>
      </c>
    </row>
    <row r="693" spans="1:12" x14ac:dyDescent="0.35">
      <c r="A693">
        <v>692</v>
      </c>
      <c r="B693" t="s">
        <v>17</v>
      </c>
      <c r="C693">
        <v>2.9</v>
      </c>
      <c r="D693">
        <v>97</v>
      </c>
      <c r="E693">
        <v>7.5</v>
      </c>
      <c r="F693" t="s">
        <v>18</v>
      </c>
      <c r="G693" t="s">
        <v>14</v>
      </c>
      <c r="H693" t="s">
        <v>14</v>
      </c>
      <c r="I693" t="s">
        <v>14</v>
      </c>
      <c r="J693">
        <v>42.7</v>
      </c>
      <c r="K693">
        <v>79.900000000000006</v>
      </c>
      <c r="L693" t="s">
        <v>22</v>
      </c>
    </row>
    <row r="694" spans="1:12" x14ac:dyDescent="0.35">
      <c r="A694">
        <v>693</v>
      </c>
      <c r="B694" t="s">
        <v>12</v>
      </c>
      <c r="C694">
        <v>5.8</v>
      </c>
      <c r="D694">
        <v>83.6</v>
      </c>
      <c r="E694">
        <v>7.1</v>
      </c>
      <c r="F694" t="s">
        <v>23</v>
      </c>
      <c r="G694" t="s">
        <v>15</v>
      </c>
      <c r="H694" t="s">
        <v>15</v>
      </c>
      <c r="I694" t="s">
        <v>15</v>
      </c>
      <c r="J694">
        <v>67.599999999999994</v>
      </c>
      <c r="K694">
        <v>92.2</v>
      </c>
      <c r="L694" t="s">
        <v>16</v>
      </c>
    </row>
    <row r="695" spans="1:12" x14ac:dyDescent="0.35">
      <c r="A695">
        <v>694</v>
      </c>
      <c r="B695" t="s">
        <v>17</v>
      </c>
      <c r="C695">
        <v>4.8</v>
      </c>
      <c r="D695">
        <v>80.5</v>
      </c>
      <c r="E695">
        <v>6.5</v>
      </c>
      <c r="F695" t="s">
        <v>23</v>
      </c>
      <c r="G695" t="s">
        <v>14</v>
      </c>
      <c r="H695" t="s">
        <v>15</v>
      </c>
      <c r="I695" t="s">
        <v>14</v>
      </c>
      <c r="J695">
        <v>100</v>
      </c>
      <c r="K695">
        <v>100</v>
      </c>
      <c r="L695" t="s">
        <v>16</v>
      </c>
    </row>
    <row r="696" spans="1:12" x14ac:dyDescent="0.35">
      <c r="A696">
        <v>695</v>
      </c>
      <c r="B696" t="s">
        <v>17</v>
      </c>
      <c r="C696">
        <v>3</v>
      </c>
      <c r="D696">
        <v>85</v>
      </c>
      <c r="E696">
        <v>8.1999999999999993</v>
      </c>
      <c r="F696" t="s">
        <v>13</v>
      </c>
      <c r="G696" t="s">
        <v>14</v>
      </c>
      <c r="H696" t="s">
        <v>15</v>
      </c>
      <c r="I696" t="s">
        <v>15</v>
      </c>
      <c r="J696">
        <v>69.900000000000006</v>
      </c>
      <c r="K696">
        <v>89.6</v>
      </c>
      <c r="L696" t="s">
        <v>20</v>
      </c>
    </row>
    <row r="697" spans="1:12" x14ac:dyDescent="0.35">
      <c r="A697">
        <v>696</v>
      </c>
      <c r="B697" t="s">
        <v>17</v>
      </c>
      <c r="C697">
        <v>3</v>
      </c>
      <c r="D697">
        <v>91</v>
      </c>
      <c r="E697">
        <v>7</v>
      </c>
      <c r="F697" t="s">
        <v>18</v>
      </c>
      <c r="G697" t="s">
        <v>14</v>
      </c>
      <c r="H697" t="s">
        <v>14</v>
      </c>
      <c r="I697" t="s">
        <v>15</v>
      </c>
      <c r="J697">
        <v>56.6</v>
      </c>
      <c r="K697">
        <v>77.5</v>
      </c>
      <c r="L697" t="s">
        <v>22</v>
      </c>
    </row>
    <row r="698" spans="1:12" x14ac:dyDescent="0.35">
      <c r="A698">
        <v>697</v>
      </c>
      <c r="B698" t="s">
        <v>12</v>
      </c>
      <c r="C698">
        <v>3</v>
      </c>
      <c r="D698">
        <v>70.599999999999994</v>
      </c>
      <c r="E698">
        <v>4.4000000000000004</v>
      </c>
      <c r="F698" t="s">
        <v>23</v>
      </c>
      <c r="G698" t="s">
        <v>14</v>
      </c>
      <c r="H698" t="s">
        <v>14</v>
      </c>
      <c r="I698" t="s">
        <v>15</v>
      </c>
      <c r="J698">
        <v>69.3</v>
      </c>
      <c r="K698">
        <v>72.599999999999994</v>
      </c>
      <c r="L698" t="s">
        <v>22</v>
      </c>
    </row>
    <row r="699" spans="1:12" x14ac:dyDescent="0.35">
      <c r="A699">
        <v>698</v>
      </c>
      <c r="B699" t="s">
        <v>17</v>
      </c>
      <c r="C699">
        <v>6.6</v>
      </c>
      <c r="D699">
        <v>62</v>
      </c>
      <c r="E699">
        <v>5.5</v>
      </c>
      <c r="F699" t="s">
        <v>13</v>
      </c>
      <c r="G699" t="s">
        <v>15</v>
      </c>
      <c r="H699" t="s">
        <v>14</v>
      </c>
      <c r="I699" t="s">
        <v>15</v>
      </c>
      <c r="J699">
        <v>69.400000000000006</v>
      </c>
      <c r="K699">
        <v>97.9</v>
      </c>
      <c r="L699" t="s">
        <v>16</v>
      </c>
    </row>
    <row r="700" spans="1:12" x14ac:dyDescent="0.35">
      <c r="A700">
        <v>699</v>
      </c>
      <c r="B700" t="s">
        <v>17</v>
      </c>
      <c r="C700">
        <v>4.0999999999999996</v>
      </c>
      <c r="D700">
        <v>79.5</v>
      </c>
      <c r="E700">
        <v>6.6</v>
      </c>
      <c r="F700" t="s">
        <v>23</v>
      </c>
      <c r="G700" t="s">
        <v>14</v>
      </c>
      <c r="H700" t="s">
        <v>14</v>
      </c>
      <c r="I700" t="s">
        <v>15</v>
      </c>
      <c r="J700">
        <v>71.900000000000006</v>
      </c>
      <c r="K700">
        <v>85.5</v>
      </c>
      <c r="L700" t="s">
        <v>20</v>
      </c>
    </row>
    <row r="701" spans="1:12" x14ac:dyDescent="0.35">
      <c r="A701">
        <v>700</v>
      </c>
      <c r="B701" t="s">
        <v>12</v>
      </c>
      <c r="C701">
        <v>4.0999999999999996</v>
      </c>
      <c r="D701">
        <v>72.8</v>
      </c>
      <c r="E701">
        <v>7.2</v>
      </c>
      <c r="F701" t="s">
        <v>23</v>
      </c>
      <c r="G701" t="s">
        <v>14</v>
      </c>
      <c r="H701" t="s">
        <v>14</v>
      </c>
      <c r="I701" t="s">
        <v>15</v>
      </c>
      <c r="J701">
        <v>77.900000000000006</v>
      </c>
      <c r="K701">
        <v>92.1</v>
      </c>
      <c r="L701" t="s">
        <v>16</v>
      </c>
    </row>
    <row r="702" spans="1:12" x14ac:dyDescent="0.35">
      <c r="A702">
        <v>701</v>
      </c>
      <c r="B702" t="s">
        <v>17</v>
      </c>
      <c r="C702">
        <v>5</v>
      </c>
      <c r="D702">
        <v>79.900000000000006</v>
      </c>
      <c r="E702">
        <v>6.7</v>
      </c>
      <c r="F702" t="s">
        <v>19</v>
      </c>
      <c r="G702" t="s">
        <v>14</v>
      </c>
      <c r="H702" t="s">
        <v>15</v>
      </c>
      <c r="I702" t="s">
        <v>15</v>
      </c>
      <c r="J702">
        <v>57.5</v>
      </c>
      <c r="K702">
        <v>84.5</v>
      </c>
      <c r="L702" t="s">
        <v>20</v>
      </c>
    </row>
    <row r="703" spans="1:12" x14ac:dyDescent="0.35">
      <c r="A703">
        <v>702</v>
      </c>
      <c r="B703" t="s">
        <v>17</v>
      </c>
      <c r="C703">
        <v>3.9</v>
      </c>
      <c r="D703">
        <v>83.5</v>
      </c>
      <c r="E703">
        <v>8.3000000000000007</v>
      </c>
      <c r="F703" t="s">
        <v>13</v>
      </c>
      <c r="G703" t="s">
        <v>14</v>
      </c>
      <c r="H703" t="s">
        <v>14</v>
      </c>
      <c r="I703" t="s">
        <v>14</v>
      </c>
      <c r="J703">
        <v>90.3</v>
      </c>
      <c r="K703">
        <v>82.8</v>
      </c>
      <c r="L703" t="s">
        <v>20</v>
      </c>
    </row>
    <row r="704" spans="1:12" x14ac:dyDescent="0.35">
      <c r="A704">
        <v>703</v>
      </c>
      <c r="B704" t="s">
        <v>12</v>
      </c>
      <c r="C704">
        <v>3.1</v>
      </c>
      <c r="D704">
        <v>80.5</v>
      </c>
      <c r="E704">
        <v>4.5</v>
      </c>
      <c r="F704" t="s">
        <v>18</v>
      </c>
      <c r="G704" t="s">
        <v>14</v>
      </c>
      <c r="H704" t="s">
        <v>14</v>
      </c>
      <c r="I704" t="s">
        <v>14</v>
      </c>
      <c r="J704">
        <v>72.900000000000006</v>
      </c>
      <c r="K704">
        <v>65.400000000000006</v>
      </c>
      <c r="L704" t="s">
        <v>21</v>
      </c>
    </row>
    <row r="705" spans="1:12" x14ac:dyDescent="0.35">
      <c r="A705">
        <v>704</v>
      </c>
      <c r="B705" t="s">
        <v>17</v>
      </c>
      <c r="C705">
        <v>3.2</v>
      </c>
      <c r="D705">
        <v>99.5</v>
      </c>
      <c r="E705">
        <v>7</v>
      </c>
      <c r="F705" t="s">
        <v>13</v>
      </c>
      <c r="G705" t="s">
        <v>14</v>
      </c>
      <c r="H705" t="s">
        <v>14</v>
      </c>
      <c r="I705" t="s">
        <v>15</v>
      </c>
      <c r="J705">
        <v>78.7</v>
      </c>
      <c r="K705">
        <v>89.6</v>
      </c>
      <c r="L705" t="s">
        <v>20</v>
      </c>
    </row>
    <row r="706" spans="1:12" x14ac:dyDescent="0.35">
      <c r="A706">
        <v>705</v>
      </c>
      <c r="B706" t="s">
        <v>12</v>
      </c>
      <c r="C706">
        <v>3.4</v>
      </c>
      <c r="D706">
        <v>88.3</v>
      </c>
      <c r="E706">
        <v>4.5999999999999996</v>
      </c>
      <c r="F706" t="s">
        <v>18</v>
      </c>
      <c r="G706" t="s">
        <v>14</v>
      </c>
      <c r="H706" t="s">
        <v>15</v>
      </c>
      <c r="I706" t="s">
        <v>14</v>
      </c>
      <c r="J706">
        <v>62.5</v>
      </c>
      <c r="K706">
        <v>83.1</v>
      </c>
      <c r="L706" t="s">
        <v>20</v>
      </c>
    </row>
    <row r="707" spans="1:12" x14ac:dyDescent="0.35">
      <c r="A707">
        <v>706</v>
      </c>
      <c r="B707" t="s">
        <v>12</v>
      </c>
      <c r="C707">
        <v>3.4</v>
      </c>
      <c r="D707">
        <v>88</v>
      </c>
      <c r="E707">
        <v>7.7</v>
      </c>
      <c r="F707" t="s">
        <v>24</v>
      </c>
      <c r="G707" t="s">
        <v>14</v>
      </c>
      <c r="H707" t="s">
        <v>15</v>
      </c>
      <c r="I707" t="s">
        <v>14</v>
      </c>
      <c r="J707">
        <v>85.4</v>
      </c>
      <c r="K707">
        <v>94.2</v>
      </c>
      <c r="L707" t="s">
        <v>16</v>
      </c>
    </row>
    <row r="708" spans="1:12" x14ac:dyDescent="0.35">
      <c r="A708">
        <v>707</v>
      </c>
      <c r="B708" t="s">
        <v>17</v>
      </c>
      <c r="C708">
        <v>4.5999999999999996</v>
      </c>
      <c r="D708">
        <v>91.2</v>
      </c>
      <c r="E708">
        <v>6.7</v>
      </c>
      <c r="F708" t="s">
        <v>18</v>
      </c>
      <c r="G708" t="s">
        <v>14</v>
      </c>
      <c r="H708" t="s">
        <v>15</v>
      </c>
      <c r="I708" t="s">
        <v>14</v>
      </c>
      <c r="J708">
        <v>66.900000000000006</v>
      </c>
      <c r="K708">
        <v>92.9</v>
      </c>
      <c r="L708" t="s">
        <v>16</v>
      </c>
    </row>
    <row r="709" spans="1:12" x14ac:dyDescent="0.35">
      <c r="A709">
        <v>708</v>
      </c>
      <c r="B709" t="s">
        <v>17</v>
      </c>
      <c r="C709">
        <v>3.6</v>
      </c>
      <c r="D709">
        <v>73.599999999999994</v>
      </c>
      <c r="E709">
        <v>7.3</v>
      </c>
      <c r="F709" t="s">
        <v>18</v>
      </c>
      <c r="G709" t="s">
        <v>14</v>
      </c>
      <c r="H709" t="s">
        <v>15</v>
      </c>
      <c r="I709" t="s">
        <v>15</v>
      </c>
      <c r="J709">
        <v>73.3</v>
      </c>
      <c r="K709">
        <v>77.099999999999994</v>
      </c>
      <c r="L709" t="s">
        <v>22</v>
      </c>
    </row>
    <row r="710" spans="1:12" x14ac:dyDescent="0.35">
      <c r="A710">
        <v>709</v>
      </c>
      <c r="B710" t="s">
        <v>17</v>
      </c>
      <c r="C710">
        <v>4.5999999999999996</v>
      </c>
      <c r="D710">
        <v>95.4</v>
      </c>
      <c r="E710">
        <v>5.8</v>
      </c>
      <c r="F710" t="s">
        <v>23</v>
      </c>
      <c r="G710" t="s">
        <v>14</v>
      </c>
      <c r="H710" t="s">
        <v>14</v>
      </c>
      <c r="I710" t="s">
        <v>15</v>
      </c>
      <c r="J710">
        <v>58.8</v>
      </c>
      <c r="K710">
        <v>98.3</v>
      </c>
      <c r="L710" t="s">
        <v>16</v>
      </c>
    </row>
    <row r="711" spans="1:12" x14ac:dyDescent="0.35">
      <c r="A711">
        <v>710</v>
      </c>
      <c r="B711" t="s">
        <v>17</v>
      </c>
      <c r="C711">
        <v>3.4</v>
      </c>
      <c r="D711">
        <v>84.2</v>
      </c>
      <c r="E711">
        <v>8.3000000000000007</v>
      </c>
      <c r="F711" t="s">
        <v>13</v>
      </c>
      <c r="G711" t="s">
        <v>14</v>
      </c>
      <c r="H711" t="s">
        <v>15</v>
      </c>
      <c r="I711" t="s">
        <v>14</v>
      </c>
      <c r="J711">
        <v>58</v>
      </c>
      <c r="K711">
        <v>72.099999999999994</v>
      </c>
      <c r="L711" t="s">
        <v>22</v>
      </c>
    </row>
    <row r="712" spans="1:12" x14ac:dyDescent="0.35">
      <c r="A712">
        <v>711</v>
      </c>
      <c r="B712" t="s">
        <v>12</v>
      </c>
      <c r="C712">
        <v>3.6</v>
      </c>
      <c r="D712">
        <v>91.7</v>
      </c>
      <c r="E712">
        <v>8.1</v>
      </c>
      <c r="F712" t="s">
        <v>13</v>
      </c>
      <c r="G712" t="s">
        <v>14</v>
      </c>
      <c r="H712" t="s">
        <v>14</v>
      </c>
      <c r="I712" t="s">
        <v>15</v>
      </c>
      <c r="J712">
        <v>78.3</v>
      </c>
      <c r="K712">
        <v>94.6</v>
      </c>
      <c r="L712" t="s">
        <v>16</v>
      </c>
    </row>
    <row r="713" spans="1:12" x14ac:dyDescent="0.35">
      <c r="A713">
        <v>712</v>
      </c>
      <c r="B713" t="s">
        <v>17</v>
      </c>
      <c r="C713">
        <v>0.5</v>
      </c>
      <c r="D713">
        <v>74.3</v>
      </c>
      <c r="E713">
        <v>7.5</v>
      </c>
      <c r="F713" t="s">
        <v>13</v>
      </c>
      <c r="G713" t="s">
        <v>14</v>
      </c>
      <c r="H713" t="s">
        <v>14</v>
      </c>
      <c r="I713" t="s">
        <v>15</v>
      </c>
      <c r="J713">
        <v>64.7</v>
      </c>
      <c r="K713">
        <v>67.099999999999994</v>
      </c>
      <c r="L713" t="s">
        <v>21</v>
      </c>
    </row>
    <row r="714" spans="1:12" x14ac:dyDescent="0.35">
      <c r="A714">
        <v>713</v>
      </c>
      <c r="B714" t="s">
        <v>12</v>
      </c>
      <c r="C714">
        <v>4.9000000000000004</v>
      </c>
      <c r="D714">
        <v>69.5</v>
      </c>
      <c r="E714">
        <v>6.6</v>
      </c>
      <c r="F714" t="s">
        <v>24</v>
      </c>
      <c r="G714" t="s">
        <v>15</v>
      </c>
      <c r="H714" t="s">
        <v>15</v>
      </c>
      <c r="I714" t="s">
        <v>14</v>
      </c>
      <c r="J714">
        <v>59.8</v>
      </c>
      <c r="K714">
        <v>72.2</v>
      </c>
      <c r="L714" t="s">
        <v>22</v>
      </c>
    </row>
    <row r="715" spans="1:12" x14ac:dyDescent="0.35">
      <c r="A715">
        <v>714</v>
      </c>
      <c r="B715" t="s">
        <v>17</v>
      </c>
      <c r="C715">
        <v>4</v>
      </c>
      <c r="D715">
        <v>93.2</v>
      </c>
      <c r="E715">
        <v>7.5</v>
      </c>
      <c r="F715" t="s">
        <v>18</v>
      </c>
      <c r="G715" t="s">
        <v>14</v>
      </c>
      <c r="H715" t="s">
        <v>15</v>
      </c>
      <c r="I715" t="s">
        <v>15</v>
      </c>
      <c r="J715">
        <v>62.3</v>
      </c>
      <c r="K715">
        <v>95.6</v>
      </c>
      <c r="L715" t="s">
        <v>16</v>
      </c>
    </row>
    <row r="716" spans="1:12" x14ac:dyDescent="0.35">
      <c r="A716">
        <v>715</v>
      </c>
      <c r="B716" t="s">
        <v>17</v>
      </c>
      <c r="C716">
        <v>5</v>
      </c>
      <c r="D716">
        <v>88.8</v>
      </c>
      <c r="E716">
        <v>6</v>
      </c>
      <c r="F716" t="s">
        <v>24</v>
      </c>
      <c r="G716" t="s">
        <v>14</v>
      </c>
      <c r="H716" t="s">
        <v>14</v>
      </c>
      <c r="I716" t="s">
        <v>15</v>
      </c>
      <c r="J716">
        <v>78.400000000000006</v>
      </c>
      <c r="K716">
        <v>91.9</v>
      </c>
      <c r="L716" t="s">
        <v>16</v>
      </c>
    </row>
    <row r="717" spans="1:12" x14ac:dyDescent="0.35">
      <c r="A717">
        <v>716</v>
      </c>
      <c r="B717" t="s">
        <v>17</v>
      </c>
      <c r="C717">
        <v>0.5</v>
      </c>
      <c r="D717">
        <v>76</v>
      </c>
      <c r="E717">
        <v>7.8</v>
      </c>
      <c r="F717" t="s">
        <v>18</v>
      </c>
      <c r="G717" t="s">
        <v>15</v>
      </c>
      <c r="H717" t="s">
        <v>14</v>
      </c>
      <c r="I717" t="s">
        <v>15</v>
      </c>
      <c r="J717">
        <v>62.5</v>
      </c>
      <c r="K717">
        <v>54.1</v>
      </c>
      <c r="L717" t="s">
        <v>25</v>
      </c>
    </row>
    <row r="718" spans="1:12" x14ac:dyDescent="0.35">
      <c r="A718">
        <v>717</v>
      </c>
      <c r="B718" t="s">
        <v>12</v>
      </c>
      <c r="C718">
        <v>6.6</v>
      </c>
      <c r="D718">
        <v>76.3</v>
      </c>
      <c r="E718">
        <v>8.8000000000000007</v>
      </c>
      <c r="F718" t="s">
        <v>23</v>
      </c>
      <c r="G718" t="s">
        <v>14</v>
      </c>
      <c r="H718" t="s">
        <v>14</v>
      </c>
      <c r="I718" t="s">
        <v>15</v>
      </c>
      <c r="J718">
        <v>68.599999999999994</v>
      </c>
      <c r="K718">
        <v>98.5</v>
      </c>
      <c r="L718" t="s">
        <v>16</v>
      </c>
    </row>
    <row r="719" spans="1:12" x14ac:dyDescent="0.35">
      <c r="A719">
        <v>718</v>
      </c>
      <c r="B719" t="s">
        <v>17</v>
      </c>
      <c r="C719">
        <v>3.3</v>
      </c>
      <c r="D719">
        <v>96.3</v>
      </c>
      <c r="E719">
        <v>8.1</v>
      </c>
      <c r="F719" t="s">
        <v>23</v>
      </c>
      <c r="G719" t="s">
        <v>14</v>
      </c>
      <c r="H719" t="s">
        <v>14</v>
      </c>
      <c r="I719" t="s">
        <v>14</v>
      </c>
      <c r="J719">
        <v>70.2</v>
      </c>
      <c r="K719">
        <v>85</v>
      </c>
      <c r="L719" t="s">
        <v>20</v>
      </c>
    </row>
    <row r="720" spans="1:12" x14ac:dyDescent="0.35">
      <c r="A720">
        <v>719</v>
      </c>
      <c r="B720" t="s">
        <v>17</v>
      </c>
      <c r="C720">
        <v>5.2</v>
      </c>
      <c r="D720">
        <v>73.099999999999994</v>
      </c>
      <c r="E720">
        <v>5.9</v>
      </c>
      <c r="F720" t="s">
        <v>18</v>
      </c>
      <c r="G720" t="s">
        <v>14</v>
      </c>
      <c r="H720" t="s">
        <v>14</v>
      </c>
      <c r="I720" t="s">
        <v>15</v>
      </c>
      <c r="J720">
        <v>47</v>
      </c>
      <c r="K720">
        <v>99.1</v>
      </c>
      <c r="L720" t="s">
        <v>16</v>
      </c>
    </row>
    <row r="721" spans="1:12" x14ac:dyDescent="0.35">
      <c r="A721">
        <v>720</v>
      </c>
      <c r="B721" t="s">
        <v>17</v>
      </c>
      <c r="C721">
        <v>1.9</v>
      </c>
      <c r="D721">
        <v>100</v>
      </c>
      <c r="E721">
        <v>7.2</v>
      </c>
      <c r="F721" t="s">
        <v>13</v>
      </c>
      <c r="G721" t="s">
        <v>14</v>
      </c>
      <c r="H721" t="s">
        <v>14</v>
      </c>
      <c r="I721" t="s">
        <v>14</v>
      </c>
      <c r="J721">
        <v>52.3</v>
      </c>
      <c r="K721">
        <v>78.2</v>
      </c>
      <c r="L721" t="s">
        <v>22</v>
      </c>
    </row>
    <row r="722" spans="1:12" x14ac:dyDescent="0.35">
      <c r="A722">
        <v>721</v>
      </c>
      <c r="B722" t="s">
        <v>17</v>
      </c>
      <c r="C722">
        <v>4.4000000000000004</v>
      </c>
      <c r="D722">
        <v>76</v>
      </c>
      <c r="E722">
        <v>5.2</v>
      </c>
      <c r="F722" t="s">
        <v>18</v>
      </c>
      <c r="G722" t="s">
        <v>14</v>
      </c>
      <c r="H722" t="s">
        <v>14</v>
      </c>
      <c r="I722" t="s">
        <v>15</v>
      </c>
      <c r="J722">
        <v>74</v>
      </c>
      <c r="K722">
        <v>83.8</v>
      </c>
      <c r="L722" t="s">
        <v>20</v>
      </c>
    </row>
    <row r="723" spans="1:12" x14ac:dyDescent="0.35">
      <c r="A723">
        <v>722</v>
      </c>
      <c r="B723" t="s">
        <v>12</v>
      </c>
      <c r="C723">
        <v>1.9</v>
      </c>
      <c r="D723">
        <v>91.4</v>
      </c>
      <c r="E723">
        <v>7.5</v>
      </c>
      <c r="F723" t="s">
        <v>23</v>
      </c>
      <c r="G723" t="s">
        <v>14</v>
      </c>
      <c r="H723" t="s">
        <v>15</v>
      </c>
      <c r="I723" t="s">
        <v>15</v>
      </c>
      <c r="J723">
        <v>61.2</v>
      </c>
      <c r="K723">
        <v>70.7</v>
      </c>
      <c r="L723" t="s">
        <v>22</v>
      </c>
    </row>
    <row r="724" spans="1:12" x14ac:dyDescent="0.35">
      <c r="A724">
        <v>723</v>
      </c>
      <c r="B724" t="s">
        <v>17</v>
      </c>
      <c r="C724">
        <v>2.6</v>
      </c>
      <c r="D724">
        <v>81.7</v>
      </c>
      <c r="E724">
        <v>7.3</v>
      </c>
      <c r="F724" t="s">
        <v>13</v>
      </c>
      <c r="G724" t="s">
        <v>15</v>
      </c>
      <c r="H724" t="s">
        <v>14</v>
      </c>
      <c r="I724" t="s">
        <v>15</v>
      </c>
      <c r="J724">
        <v>82.7</v>
      </c>
      <c r="K724">
        <v>69.900000000000006</v>
      </c>
      <c r="L724" t="s">
        <v>21</v>
      </c>
    </row>
    <row r="725" spans="1:12" x14ac:dyDescent="0.35">
      <c r="A725">
        <v>724</v>
      </c>
      <c r="B725" t="s">
        <v>12</v>
      </c>
      <c r="C725">
        <v>6.4</v>
      </c>
      <c r="D725">
        <v>91</v>
      </c>
      <c r="E725">
        <v>4.5999999999999996</v>
      </c>
      <c r="F725" t="s">
        <v>13</v>
      </c>
      <c r="G725" t="s">
        <v>14</v>
      </c>
      <c r="H725" t="s">
        <v>14</v>
      </c>
      <c r="I725" t="s">
        <v>14</v>
      </c>
      <c r="J725">
        <v>81.599999999999994</v>
      </c>
      <c r="K725">
        <v>93.7</v>
      </c>
      <c r="L725" t="s">
        <v>16</v>
      </c>
    </row>
    <row r="726" spans="1:12" x14ac:dyDescent="0.35">
      <c r="A726">
        <v>725</v>
      </c>
      <c r="B726" t="s">
        <v>12</v>
      </c>
      <c r="C726">
        <v>3.2</v>
      </c>
      <c r="D726">
        <v>79.599999999999994</v>
      </c>
      <c r="E726">
        <v>5.4</v>
      </c>
      <c r="F726" t="s">
        <v>18</v>
      </c>
      <c r="G726" t="s">
        <v>14</v>
      </c>
      <c r="H726" t="s">
        <v>14</v>
      </c>
      <c r="I726" t="s">
        <v>15</v>
      </c>
      <c r="J726">
        <v>78.599999999999994</v>
      </c>
      <c r="K726">
        <v>84.9</v>
      </c>
      <c r="L726" t="s">
        <v>20</v>
      </c>
    </row>
    <row r="727" spans="1:12" x14ac:dyDescent="0.35">
      <c r="A727">
        <v>726</v>
      </c>
      <c r="B727" t="s">
        <v>12</v>
      </c>
      <c r="C727">
        <v>3.8</v>
      </c>
      <c r="D727">
        <v>83.4</v>
      </c>
      <c r="E727">
        <v>6.5</v>
      </c>
      <c r="F727" t="s">
        <v>18</v>
      </c>
      <c r="G727" t="s">
        <v>14</v>
      </c>
      <c r="H727" t="s">
        <v>15</v>
      </c>
      <c r="I727" t="s">
        <v>15</v>
      </c>
      <c r="J727">
        <v>91.8</v>
      </c>
      <c r="K727">
        <v>100</v>
      </c>
      <c r="L727" t="s">
        <v>16</v>
      </c>
    </row>
    <row r="728" spans="1:12" x14ac:dyDescent="0.35">
      <c r="A728">
        <v>727</v>
      </c>
      <c r="B728" t="s">
        <v>12</v>
      </c>
      <c r="C728">
        <v>4.8</v>
      </c>
      <c r="D728">
        <v>85.4</v>
      </c>
      <c r="E728">
        <v>6.4</v>
      </c>
      <c r="F728" t="s">
        <v>18</v>
      </c>
      <c r="G728" t="s">
        <v>14</v>
      </c>
      <c r="H728" t="s">
        <v>14</v>
      </c>
      <c r="I728" t="s">
        <v>15</v>
      </c>
      <c r="J728">
        <v>69</v>
      </c>
      <c r="K728">
        <v>97.5</v>
      </c>
      <c r="L728" t="s">
        <v>16</v>
      </c>
    </row>
    <row r="729" spans="1:12" x14ac:dyDescent="0.35">
      <c r="A729">
        <v>728</v>
      </c>
      <c r="B729" t="s">
        <v>12</v>
      </c>
      <c r="C729">
        <v>4.2</v>
      </c>
      <c r="D729">
        <v>75</v>
      </c>
      <c r="E729">
        <v>5.3</v>
      </c>
      <c r="F729" t="s">
        <v>18</v>
      </c>
      <c r="G729" t="s">
        <v>14</v>
      </c>
      <c r="H729" t="s">
        <v>14</v>
      </c>
      <c r="I729" t="s">
        <v>15</v>
      </c>
      <c r="J729">
        <v>77.8</v>
      </c>
      <c r="K729">
        <v>88</v>
      </c>
      <c r="L729" t="s">
        <v>20</v>
      </c>
    </row>
    <row r="730" spans="1:12" x14ac:dyDescent="0.35">
      <c r="A730">
        <v>729</v>
      </c>
      <c r="B730" t="s">
        <v>12</v>
      </c>
      <c r="C730">
        <v>3.7</v>
      </c>
      <c r="D730">
        <v>92.4</v>
      </c>
      <c r="E730">
        <v>7.3</v>
      </c>
      <c r="F730" t="s">
        <v>13</v>
      </c>
      <c r="G730" t="s">
        <v>14</v>
      </c>
      <c r="H730" t="s">
        <v>14</v>
      </c>
      <c r="I730" t="s">
        <v>15</v>
      </c>
      <c r="J730">
        <v>63</v>
      </c>
      <c r="K730">
        <v>85</v>
      </c>
      <c r="L730" t="s">
        <v>20</v>
      </c>
    </row>
    <row r="731" spans="1:12" x14ac:dyDescent="0.35">
      <c r="A731">
        <v>730</v>
      </c>
      <c r="B731" t="s">
        <v>17</v>
      </c>
      <c r="C731">
        <v>4</v>
      </c>
      <c r="D731">
        <v>79.900000000000006</v>
      </c>
      <c r="E731">
        <v>7.1</v>
      </c>
      <c r="F731" t="s">
        <v>24</v>
      </c>
      <c r="G731" t="s">
        <v>14</v>
      </c>
      <c r="H731" t="s">
        <v>15</v>
      </c>
      <c r="I731" t="s">
        <v>15</v>
      </c>
      <c r="J731">
        <v>99.4</v>
      </c>
      <c r="K731">
        <v>98.9</v>
      </c>
      <c r="L731" t="s">
        <v>16</v>
      </c>
    </row>
    <row r="732" spans="1:12" x14ac:dyDescent="0.35">
      <c r="A732">
        <v>731</v>
      </c>
      <c r="B732" t="s">
        <v>12</v>
      </c>
      <c r="C732">
        <v>7.1</v>
      </c>
      <c r="D732">
        <v>82.7</v>
      </c>
      <c r="E732">
        <v>6.6</v>
      </c>
      <c r="F732" t="s">
        <v>23</v>
      </c>
      <c r="G732" t="s">
        <v>14</v>
      </c>
      <c r="H732" t="s">
        <v>15</v>
      </c>
      <c r="I732" t="s">
        <v>15</v>
      </c>
      <c r="J732">
        <v>93.8</v>
      </c>
      <c r="K732">
        <v>100</v>
      </c>
      <c r="L732" t="s">
        <v>16</v>
      </c>
    </row>
    <row r="733" spans="1:12" x14ac:dyDescent="0.35">
      <c r="A733">
        <v>732</v>
      </c>
      <c r="B733" t="s">
        <v>12</v>
      </c>
      <c r="C733">
        <v>3.4</v>
      </c>
      <c r="D733">
        <v>75.099999999999994</v>
      </c>
      <c r="E733">
        <v>5.9</v>
      </c>
      <c r="F733" t="s">
        <v>13</v>
      </c>
      <c r="G733" t="s">
        <v>15</v>
      </c>
      <c r="H733" t="s">
        <v>15</v>
      </c>
      <c r="I733" t="s">
        <v>15</v>
      </c>
      <c r="J733">
        <v>70.099999999999994</v>
      </c>
      <c r="K733">
        <v>85</v>
      </c>
      <c r="L733" t="s">
        <v>20</v>
      </c>
    </row>
    <row r="734" spans="1:12" x14ac:dyDescent="0.35">
      <c r="A734">
        <v>733</v>
      </c>
      <c r="B734" t="s">
        <v>12</v>
      </c>
      <c r="C734">
        <v>3.8</v>
      </c>
      <c r="D734">
        <v>59.4</v>
      </c>
      <c r="E734">
        <v>8.1</v>
      </c>
      <c r="F734" t="s">
        <v>19</v>
      </c>
      <c r="G734" t="s">
        <v>15</v>
      </c>
      <c r="H734" t="s">
        <v>15</v>
      </c>
      <c r="I734" t="s">
        <v>15</v>
      </c>
      <c r="J734">
        <v>74.599999999999994</v>
      </c>
      <c r="K734">
        <v>74.3</v>
      </c>
      <c r="L734" t="s">
        <v>22</v>
      </c>
    </row>
    <row r="735" spans="1:12" x14ac:dyDescent="0.35">
      <c r="A735">
        <v>734</v>
      </c>
      <c r="B735" t="s">
        <v>17</v>
      </c>
      <c r="C735">
        <v>5.0999999999999996</v>
      </c>
      <c r="D735">
        <v>83.1</v>
      </c>
      <c r="E735">
        <v>8.8000000000000007</v>
      </c>
      <c r="F735" t="s">
        <v>23</v>
      </c>
      <c r="G735" t="s">
        <v>14</v>
      </c>
      <c r="H735" t="s">
        <v>15</v>
      </c>
      <c r="I735" t="s">
        <v>15</v>
      </c>
      <c r="J735">
        <v>86.3</v>
      </c>
      <c r="K735">
        <v>99.6</v>
      </c>
      <c r="L735" t="s">
        <v>16</v>
      </c>
    </row>
    <row r="736" spans="1:12" x14ac:dyDescent="0.35">
      <c r="A736">
        <v>735</v>
      </c>
      <c r="B736" t="s">
        <v>17</v>
      </c>
      <c r="C736">
        <v>5.2</v>
      </c>
      <c r="D736">
        <v>100</v>
      </c>
      <c r="E736">
        <v>6.2</v>
      </c>
      <c r="F736" t="s">
        <v>19</v>
      </c>
      <c r="G736" t="s">
        <v>14</v>
      </c>
      <c r="H736" t="s">
        <v>15</v>
      </c>
      <c r="I736" t="s">
        <v>14</v>
      </c>
      <c r="J736">
        <v>68.2</v>
      </c>
      <c r="K736">
        <v>79.8</v>
      </c>
      <c r="L736" t="s">
        <v>22</v>
      </c>
    </row>
    <row r="737" spans="1:12" x14ac:dyDescent="0.35">
      <c r="A737">
        <v>736</v>
      </c>
      <c r="B737" t="s">
        <v>12</v>
      </c>
      <c r="C737">
        <v>5.3</v>
      </c>
      <c r="D737">
        <v>92.8</v>
      </c>
      <c r="E737">
        <v>6.1</v>
      </c>
      <c r="F737" t="s">
        <v>13</v>
      </c>
      <c r="G737" t="s">
        <v>14</v>
      </c>
      <c r="H737" t="s">
        <v>14</v>
      </c>
      <c r="I737" t="s">
        <v>15</v>
      </c>
      <c r="J737">
        <v>62.1</v>
      </c>
      <c r="K737">
        <v>91.3</v>
      </c>
      <c r="L737" t="s">
        <v>16</v>
      </c>
    </row>
    <row r="738" spans="1:12" x14ac:dyDescent="0.35">
      <c r="A738">
        <v>737</v>
      </c>
      <c r="B738" t="s">
        <v>17</v>
      </c>
      <c r="C738">
        <v>4.5</v>
      </c>
      <c r="D738">
        <v>84.8</v>
      </c>
      <c r="E738">
        <v>7.4</v>
      </c>
      <c r="F738" t="s">
        <v>18</v>
      </c>
      <c r="G738" t="s">
        <v>15</v>
      </c>
      <c r="H738" t="s">
        <v>14</v>
      </c>
      <c r="I738" t="s">
        <v>15</v>
      </c>
      <c r="J738">
        <v>80.5</v>
      </c>
      <c r="K738">
        <v>95</v>
      </c>
      <c r="L738" t="s">
        <v>16</v>
      </c>
    </row>
    <row r="739" spans="1:12" x14ac:dyDescent="0.35">
      <c r="A739">
        <v>738</v>
      </c>
      <c r="B739" t="s">
        <v>12</v>
      </c>
      <c r="C739">
        <v>1.8</v>
      </c>
      <c r="D739">
        <v>82.4</v>
      </c>
      <c r="E739">
        <v>6.4</v>
      </c>
      <c r="F739" t="s">
        <v>18</v>
      </c>
      <c r="G739" t="s">
        <v>14</v>
      </c>
      <c r="H739" t="s">
        <v>15</v>
      </c>
      <c r="I739" t="s">
        <v>14</v>
      </c>
      <c r="J739">
        <v>70.900000000000006</v>
      </c>
      <c r="K739">
        <v>66.599999999999994</v>
      </c>
      <c r="L739" t="s">
        <v>21</v>
      </c>
    </row>
    <row r="740" spans="1:12" x14ac:dyDescent="0.35">
      <c r="A740">
        <v>739</v>
      </c>
      <c r="B740" t="s">
        <v>12</v>
      </c>
      <c r="C740">
        <v>6</v>
      </c>
      <c r="D740">
        <v>85.2</v>
      </c>
      <c r="E740">
        <v>6.6</v>
      </c>
      <c r="F740" t="s">
        <v>23</v>
      </c>
      <c r="G740" t="s">
        <v>14</v>
      </c>
      <c r="H740" t="s">
        <v>14</v>
      </c>
      <c r="I740" t="s">
        <v>15</v>
      </c>
      <c r="J740">
        <v>72.2</v>
      </c>
      <c r="K740">
        <v>93.1</v>
      </c>
      <c r="L740" t="s">
        <v>16</v>
      </c>
    </row>
    <row r="741" spans="1:12" x14ac:dyDescent="0.35">
      <c r="A741">
        <v>740</v>
      </c>
      <c r="B741" t="s">
        <v>17</v>
      </c>
      <c r="C741">
        <v>1.8</v>
      </c>
      <c r="D741">
        <v>90.5</v>
      </c>
      <c r="E741">
        <v>7.7</v>
      </c>
      <c r="F741" t="s">
        <v>18</v>
      </c>
      <c r="G741" t="s">
        <v>14</v>
      </c>
      <c r="H741" t="s">
        <v>14</v>
      </c>
      <c r="I741" t="s">
        <v>15</v>
      </c>
      <c r="J741">
        <v>60</v>
      </c>
      <c r="K741">
        <v>81.8</v>
      </c>
      <c r="L741" t="s">
        <v>20</v>
      </c>
    </row>
    <row r="742" spans="1:12" x14ac:dyDescent="0.35">
      <c r="A742">
        <v>741</v>
      </c>
      <c r="B742" t="s">
        <v>12</v>
      </c>
      <c r="C742">
        <v>4</v>
      </c>
      <c r="D742">
        <v>73.2</v>
      </c>
      <c r="E742">
        <v>4.5</v>
      </c>
      <c r="F742" t="s">
        <v>18</v>
      </c>
      <c r="G742" t="s">
        <v>14</v>
      </c>
      <c r="H742" t="s">
        <v>15</v>
      </c>
      <c r="I742" t="s">
        <v>15</v>
      </c>
      <c r="J742">
        <v>49.4</v>
      </c>
      <c r="K742">
        <v>62.9</v>
      </c>
      <c r="L742" t="s">
        <v>21</v>
      </c>
    </row>
    <row r="743" spans="1:12" x14ac:dyDescent="0.35">
      <c r="A743">
        <v>742</v>
      </c>
      <c r="B743" t="s">
        <v>17</v>
      </c>
      <c r="C743">
        <v>2.4</v>
      </c>
      <c r="D743">
        <v>96.1</v>
      </c>
      <c r="E743">
        <v>8.4</v>
      </c>
      <c r="F743" t="s">
        <v>13</v>
      </c>
      <c r="G743" t="s">
        <v>14</v>
      </c>
      <c r="H743" t="s">
        <v>14</v>
      </c>
      <c r="I743" t="s">
        <v>15</v>
      </c>
      <c r="J743">
        <v>72.8</v>
      </c>
      <c r="K743">
        <v>94</v>
      </c>
      <c r="L743" t="s">
        <v>16</v>
      </c>
    </row>
    <row r="744" spans="1:12" x14ac:dyDescent="0.35">
      <c r="A744">
        <v>743</v>
      </c>
      <c r="B744" t="s">
        <v>17</v>
      </c>
      <c r="C744">
        <v>3.4</v>
      </c>
      <c r="D744">
        <v>92.2</v>
      </c>
      <c r="E744">
        <v>6.9</v>
      </c>
      <c r="F744" t="s">
        <v>13</v>
      </c>
      <c r="G744" t="s">
        <v>14</v>
      </c>
      <c r="H744" t="s">
        <v>15</v>
      </c>
      <c r="I744" t="s">
        <v>14</v>
      </c>
      <c r="J744">
        <v>80.900000000000006</v>
      </c>
      <c r="K744">
        <v>85</v>
      </c>
      <c r="L744" t="s">
        <v>20</v>
      </c>
    </row>
    <row r="745" spans="1:12" x14ac:dyDescent="0.35">
      <c r="A745">
        <v>744</v>
      </c>
      <c r="B745" t="s">
        <v>12</v>
      </c>
      <c r="C745">
        <v>4</v>
      </c>
      <c r="D745">
        <v>92.2</v>
      </c>
      <c r="E745">
        <v>6.3</v>
      </c>
      <c r="F745" t="s">
        <v>13</v>
      </c>
      <c r="G745" t="s">
        <v>14</v>
      </c>
      <c r="H745" t="s">
        <v>15</v>
      </c>
      <c r="I745" t="s">
        <v>14</v>
      </c>
      <c r="J745">
        <v>67.3</v>
      </c>
      <c r="K745">
        <v>82.4</v>
      </c>
      <c r="L745" t="s">
        <v>20</v>
      </c>
    </row>
    <row r="746" spans="1:12" x14ac:dyDescent="0.35">
      <c r="A746">
        <v>745</v>
      </c>
      <c r="B746" t="s">
        <v>12</v>
      </c>
      <c r="C746">
        <v>4</v>
      </c>
      <c r="D746">
        <v>89.4</v>
      </c>
      <c r="E746">
        <v>6.7</v>
      </c>
      <c r="F746" t="s">
        <v>18</v>
      </c>
      <c r="G746" t="s">
        <v>14</v>
      </c>
      <c r="H746" t="s">
        <v>14</v>
      </c>
      <c r="I746" t="s">
        <v>15</v>
      </c>
      <c r="J746">
        <v>87.2</v>
      </c>
      <c r="K746">
        <v>89.5</v>
      </c>
      <c r="L746" t="s">
        <v>20</v>
      </c>
    </row>
    <row r="747" spans="1:12" x14ac:dyDescent="0.35">
      <c r="A747">
        <v>746</v>
      </c>
      <c r="B747" t="s">
        <v>17</v>
      </c>
      <c r="C747">
        <v>4.0999999999999996</v>
      </c>
      <c r="D747">
        <v>85.2</v>
      </c>
      <c r="E747">
        <v>6.8</v>
      </c>
      <c r="F747" t="s">
        <v>13</v>
      </c>
      <c r="G747" t="s">
        <v>14</v>
      </c>
      <c r="H747" t="s">
        <v>15</v>
      </c>
      <c r="I747" t="s">
        <v>14</v>
      </c>
      <c r="J747">
        <v>61.6</v>
      </c>
      <c r="K747">
        <v>83.3</v>
      </c>
      <c r="L747" t="s">
        <v>20</v>
      </c>
    </row>
    <row r="748" spans="1:12" x14ac:dyDescent="0.35">
      <c r="A748">
        <v>747</v>
      </c>
      <c r="B748" t="s">
        <v>12</v>
      </c>
      <c r="C748">
        <v>5.9</v>
      </c>
      <c r="D748">
        <v>91.7</v>
      </c>
      <c r="E748">
        <v>4.7</v>
      </c>
      <c r="F748" t="s">
        <v>13</v>
      </c>
      <c r="G748" t="s">
        <v>14</v>
      </c>
      <c r="H748" t="s">
        <v>14</v>
      </c>
      <c r="I748" t="s">
        <v>14</v>
      </c>
      <c r="J748">
        <v>57.3</v>
      </c>
      <c r="K748">
        <v>100</v>
      </c>
      <c r="L748" t="s">
        <v>16</v>
      </c>
    </row>
    <row r="749" spans="1:12" x14ac:dyDescent="0.35">
      <c r="A749">
        <v>748</v>
      </c>
      <c r="B749" t="s">
        <v>12</v>
      </c>
      <c r="C749">
        <v>4.2</v>
      </c>
      <c r="D749">
        <v>90.9</v>
      </c>
      <c r="E749">
        <v>8.6</v>
      </c>
      <c r="F749" t="s">
        <v>19</v>
      </c>
      <c r="G749" t="s">
        <v>15</v>
      </c>
      <c r="H749" t="s">
        <v>14</v>
      </c>
      <c r="I749" t="s">
        <v>15</v>
      </c>
      <c r="J749">
        <v>69.2</v>
      </c>
      <c r="K749">
        <v>92.4</v>
      </c>
      <c r="L749" t="s">
        <v>16</v>
      </c>
    </row>
    <row r="750" spans="1:12" x14ac:dyDescent="0.35">
      <c r="A750">
        <v>749</v>
      </c>
      <c r="B750" t="s">
        <v>12</v>
      </c>
      <c r="C750">
        <v>3.1</v>
      </c>
      <c r="D750">
        <v>81.5</v>
      </c>
      <c r="E750">
        <v>6.8</v>
      </c>
      <c r="F750" t="s">
        <v>23</v>
      </c>
      <c r="G750" t="s">
        <v>14</v>
      </c>
      <c r="H750" t="s">
        <v>14</v>
      </c>
      <c r="I750" t="s">
        <v>15</v>
      </c>
      <c r="J750">
        <v>69</v>
      </c>
      <c r="K750">
        <v>77</v>
      </c>
      <c r="L750" t="s">
        <v>22</v>
      </c>
    </row>
    <row r="751" spans="1:12" x14ac:dyDescent="0.35">
      <c r="A751">
        <v>750</v>
      </c>
      <c r="B751" t="s">
        <v>17</v>
      </c>
      <c r="C751">
        <v>4.9000000000000004</v>
      </c>
      <c r="D751">
        <v>79.3</v>
      </c>
      <c r="E751">
        <v>7.3</v>
      </c>
      <c r="F751" t="s">
        <v>19</v>
      </c>
      <c r="G751" t="s">
        <v>15</v>
      </c>
      <c r="H751" t="s">
        <v>15</v>
      </c>
      <c r="I751" t="s">
        <v>15</v>
      </c>
      <c r="J751">
        <v>79.2</v>
      </c>
      <c r="K751">
        <v>95.1</v>
      </c>
      <c r="L751" t="s">
        <v>16</v>
      </c>
    </row>
    <row r="752" spans="1:12" x14ac:dyDescent="0.35">
      <c r="A752">
        <v>751</v>
      </c>
      <c r="B752" t="s">
        <v>17</v>
      </c>
      <c r="C752">
        <v>5.3</v>
      </c>
      <c r="D752">
        <v>86</v>
      </c>
      <c r="E752">
        <v>7.9</v>
      </c>
      <c r="F752" t="s">
        <v>23</v>
      </c>
      <c r="G752" t="s">
        <v>14</v>
      </c>
      <c r="H752" t="s">
        <v>15</v>
      </c>
      <c r="I752" t="s">
        <v>15</v>
      </c>
      <c r="J752">
        <v>60.7</v>
      </c>
      <c r="K752">
        <v>88.8</v>
      </c>
      <c r="L752" t="s">
        <v>20</v>
      </c>
    </row>
    <row r="753" spans="1:12" x14ac:dyDescent="0.35">
      <c r="A753">
        <v>752</v>
      </c>
      <c r="B753" t="s">
        <v>12</v>
      </c>
      <c r="C753">
        <v>1.7</v>
      </c>
      <c r="D753">
        <v>100</v>
      </c>
      <c r="E753">
        <v>5.6</v>
      </c>
      <c r="F753" t="s">
        <v>13</v>
      </c>
      <c r="G753" t="s">
        <v>14</v>
      </c>
      <c r="H753" t="s">
        <v>14</v>
      </c>
      <c r="I753" t="s">
        <v>14</v>
      </c>
      <c r="J753">
        <v>86.4</v>
      </c>
      <c r="K753">
        <v>93.2</v>
      </c>
      <c r="L753" t="s">
        <v>16</v>
      </c>
    </row>
    <row r="754" spans="1:12" x14ac:dyDescent="0.35">
      <c r="A754">
        <v>753</v>
      </c>
      <c r="B754" t="s">
        <v>17</v>
      </c>
      <c r="C754">
        <v>4.4000000000000004</v>
      </c>
      <c r="D754">
        <v>72.599999999999994</v>
      </c>
      <c r="E754">
        <v>7.4</v>
      </c>
      <c r="F754" t="s">
        <v>18</v>
      </c>
      <c r="G754" t="s">
        <v>14</v>
      </c>
      <c r="H754" t="s">
        <v>15</v>
      </c>
      <c r="I754" t="s">
        <v>14</v>
      </c>
      <c r="J754">
        <v>93.6</v>
      </c>
      <c r="K754">
        <v>96.4</v>
      </c>
      <c r="L754" t="s">
        <v>16</v>
      </c>
    </row>
    <row r="755" spans="1:12" x14ac:dyDescent="0.35">
      <c r="A755">
        <v>754</v>
      </c>
      <c r="B755" t="s">
        <v>17</v>
      </c>
      <c r="C755">
        <v>4.5999999999999996</v>
      </c>
      <c r="D755">
        <v>70.3</v>
      </c>
      <c r="E755">
        <v>6.5</v>
      </c>
      <c r="F755" t="s">
        <v>23</v>
      </c>
      <c r="G755" t="s">
        <v>14</v>
      </c>
      <c r="H755" t="s">
        <v>14</v>
      </c>
      <c r="I755" t="s">
        <v>15</v>
      </c>
      <c r="J755">
        <v>69.5</v>
      </c>
      <c r="K755">
        <v>67.2</v>
      </c>
      <c r="L755" t="s">
        <v>21</v>
      </c>
    </row>
    <row r="756" spans="1:12" x14ac:dyDescent="0.35">
      <c r="A756">
        <v>755</v>
      </c>
      <c r="B756" t="s">
        <v>17</v>
      </c>
      <c r="C756">
        <v>3.1</v>
      </c>
      <c r="D756">
        <v>86.6</v>
      </c>
      <c r="E756">
        <v>7.8</v>
      </c>
      <c r="F756" t="s">
        <v>13</v>
      </c>
      <c r="G756" t="s">
        <v>14</v>
      </c>
      <c r="H756" t="s">
        <v>15</v>
      </c>
      <c r="I756" t="s">
        <v>15</v>
      </c>
      <c r="J756">
        <v>85</v>
      </c>
      <c r="K756">
        <v>84.6</v>
      </c>
      <c r="L756" t="s">
        <v>20</v>
      </c>
    </row>
    <row r="757" spans="1:12" x14ac:dyDescent="0.35">
      <c r="A757">
        <v>756</v>
      </c>
      <c r="B757" t="s">
        <v>17</v>
      </c>
      <c r="C757">
        <v>5.6</v>
      </c>
      <c r="D757">
        <v>85.5</v>
      </c>
      <c r="E757">
        <v>4.2</v>
      </c>
      <c r="F757" t="s">
        <v>13</v>
      </c>
      <c r="G757" t="s">
        <v>14</v>
      </c>
      <c r="H757" t="s">
        <v>14</v>
      </c>
      <c r="I757" t="s">
        <v>14</v>
      </c>
      <c r="J757">
        <v>57.3</v>
      </c>
      <c r="K757">
        <v>89.8</v>
      </c>
      <c r="L757" t="s">
        <v>20</v>
      </c>
    </row>
    <row r="758" spans="1:12" x14ac:dyDescent="0.35">
      <c r="A758">
        <v>757</v>
      </c>
      <c r="B758" t="s">
        <v>17</v>
      </c>
      <c r="C758">
        <v>3.3</v>
      </c>
      <c r="D758">
        <v>86.7</v>
      </c>
      <c r="E758">
        <v>6.7</v>
      </c>
      <c r="F758" t="s">
        <v>13</v>
      </c>
      <c r="G758" t="s">
        <v>14</v>
      </c>
      <c r="H758" t="s">
        <v>15</v>
      </c>
      <c r="I758" t="s">
        <v>15</v>
      </c>
      <c r="J758">
        <v>82.9</v>
      </c>
      <c r="K758">
        <v>90.3</v>
      </c>
      <c r="L758" t="s">
        <v>16</v>
      </c>
    </row>
    <row r="759" spans="1:12" x14ac:dyDescent="0.35">
      <c r="A759">
        <v>758</v>
      </c>
      <c r="B759" t="s">
        <v>12</v>
      </c>
      <c r="C759">
        <v>3.7</v>
      </c>
      <c r="D759">
        <v>87.4</v>
      </c>
      <c r="E759">
        <v>6.1</v>
      </c>
      <c r="F759" t="s">
        <v>13</v>
      </c>
      <c r="G759" t="s">
        <v>14</v>
      </c>
      <c r="H759" t="s">
        <v>14</v>
      </c>
      <c r="I759" t="s">
        <v>14</v>
      </c>
      <c r="J759">
        <v>82.6</v>
      </c>
      <c r="K759">
        <v>82.5</v>
      </c>
      <c r="L759" t="s">
        <v>20</v>
      </c>
    </row>
    <row r="760" spans="1:12" x14ac:dyDescent="0.35">
      <c r="A760">
        <v>759</v>
      </c>
      <c r="B760" t="s">
        <v>12</v>
      </c>
      <c r="C760">
        <v>3.2</v>
      </c>
      <c r="D760">
        <v>82.8</v>
      </c>
      <c r="E760">
        <v>7.3</v>
      </c>
      <c r="F760" t="s">
        <v>18</v>
      </c>
      <c r="G760" t="s">
        <v>14</v>
      </c>
      <c r="H760" t="s">
        <v>14</v>
      </c>
      <c r="I760" t="s">
        <v>15</v>
      </c>
      <c r="J760">
        <v>80.400000000000006</v>
      </c>
      <c r="K760">
        <v>84.5</v>
      </c>
      <c r="L760" t="s">
        <v>20</v>
      </c>
    </row>
    <row r="761" spans="1:12" x14ac:dyDescent="0.35">
      <c r="A761">
        <v>760</v>
      </c>
      <c r="B761" t="s">
        <v>12</v>
      </c>
      <c r="C761">
        <v>3.5</v>
      </c>
      <c r="D761">
        <v>99.9</v>
      </c>
      <c r="E761">
        <v>7.4</v>
      </c>
      <c r="F761" t="s">
        <v>13</v>
      </c>
      <c r="G761" t="s">
        <v>15</v>
      </c>
      <c r="H761" t="s">
        <v>14</v>
      </c>
      <c r="I761" t="s">
        <v>14</v>
      </c>
      <c r="J761">
        <v>69.8</v>
      </c>
      <c r="K761">
        <v>72.099999999999994</v>
      </c>
      <c r="L761" t="s">
        <v>22</v>
      </c>
    </row>
    <row r="762" spans="1:12" x14ac:dyDescent="0.35">
      <c r="A762">
        <v>761</v>
      </c>
      <c r="B762" t="s">
        <v>17</v>
      </c>
      <c r="C762">
        <v>1.9</v>
      </c>
      <c r="D762">
        <v>69</v>
      </c>
      <c r="E762">
        <v>6</v>
      </c>
      <c r="F762" t="s">
        <v>18</v>
      </c>
      <c r="G762" t="s">
        <v>14</v>
      </c>
      <c r="H762" t="s">
        <v>15</v>
      </c>
      <c r="I762" t="s">
        <v>14</v>
      </c>
      <c r="J762">
        <v>34.5</v>
      </c>
      <c r="K762">
        <v>53.2</v>
      </c>
      <c r="L762" t="s">
        <v>25</v>
      </c>
    </row>
    <row r="763" spans="1:12" x14ac:dyDescent="0.35">
      <c r="A763">
        <v>762</v>
      </c>
      <c r="B763" t="s">
        <v>17</v>
      </c>
      <c r="C763">
        <v>1.3</v>
      </c>
      <c r="D763">
        <v>76.7</v>
      </c>
      <c r="E763">
        <v>5.9</v>
      </c>
      <c r="F763" t="s">
        <v>23</v>
      </c>
      <c r="G763" t="s">
        <v>15</v>
      </c>
      <c r="H763" t="s">
        <v>14</v>
      </c>
      <c r="I763" t="s">
        <v>14</v>
      </c>
      <c r="J763">
        <v>62.3</v>
      </c>
      <c r="K763">
        <v>74</v>
      </c>
      <c r="L763" t="s">
        <v>22</v>
      </c>
    </row>
    <row r="764" spans="1:12" x14ac:dyDescent="0.35">
      <c r="A764">
        <v>763</v>
      </c>
      <c r="B764" t="s">
        <v>12</v>
      </c>
      <c r="C764">
        <v>5.9</v>
      </c>
      <c r="D764">
        <v>84</v>
      </c>
      <c r="E764">
        <v>6.7</v>
      </c>
      <c r="F764" t="s">
        <v>18</v>
      </c>
      <c r="G764" t="s">
        <v>14</v>
      </c>
      <c r="H764" t="s">
        <v>15</v>
      </c>
      <c r="I764" t="s">
        <v>15</v>
      </c>
      <c r="J764">
        <v>62.5</v>
      </c>
      <c r="K764">
        <v>96.8</v>
      </c>
      <c r="L764" t="s">
        <v>16</v>
      </c>
    </row>
    <row r="765" spans="1:12" x14ac:dyDescent="0.35">
      <c r="A765">
        <v>764</v>
      </c>
      <c r="B765" t="s">
        <v>17</v>
      </c>
      <c r="C765">
        <v>2.2000000000000002</v>
      </c>
      <c r="D765">
        <v>68.599999999999994</v>
      </c>
      <c r="E765">
        <v>5.7</v>
      </c>
      <c r="F765" t="s">
        <v>18</v>
      </c>
      <c r="G765" t="s">
        <v>14</v>
      </c>
      <c r="H765" t="s">
        <v>14</v>
      </c>
      <c r="I765" t="s">
        <v>15</v>
      </c>
      <c r="J765">
        <v>58.3</v>
      </c>
      <c r="K765">
        <v>81.2</v>
      </c>
      <c r="L765" t="s">
        <v>20</v>
      </c>
    </row>
    <row r="766" spans="1:12" x14ac:dyDescent="0.35">
      <c r="A766">
        <v>765</v>
      </c>
      <c r="B766" t="s">
        <v>12</v>
      </c>
      <c r="C766">
        <v>2</v>
      </c>
      <c r="D766">
        <v>83.2</v>
      </c>
      <c r="E766">
        <v>7.8</v>
      </c>
      <c r="F766" t="s">
        <v>13</v>
      </c>
      <c r="G766" t="s">
        <v>14</v>
      </c>
      <c r="H766" t="s">
        <v>14</v>
      </c>
      <c r="I766" t="s">
        <v>15</v>
      </c>
      <c r="J766">
        <v>71.5</v>
      </c>
      <c r="K766">
        <v>85.4</v>
      </c>
      <c r="L766" t="s">
        <v>20</v>
      </c>
    </row>
    <row r="767" spans="1:12" x14ac:dyDescent="0.35">
      <c r="A767">
        <v>766</v>
      </c>
      <c r="B767" t="s">
        <v>12</v>
      </c>
      <c r="C767">
        <v>0.5</v>
      </c>
      <c r="D767">
        <v>100</v>
      </c>
      <c r="E767">
        <v>6.4</v>
      </c>
      <c r="F767" t="s">
        <v>23</v>
      </c>
      <c r="G767" t="s">
        <v>14</v>
      </c>
      <c r="H767" t="s">
        <v>14</v>
      </c>
      <c r="I767" t="s">
        <v>15</v>
      </c>
      <c r="J767">
        <v>65</v>
      </c>
      <c r="K767">
        <v>81.099999999999994</v>
      </c>
      <c r="L767" t="s">
        <v>20</v>
      </c>
    </row>
    <row r="768" spans="1:12" x14ac:dyDescent="0.35">
      <c r="A768">
        <v>767</v>
      </c>
      <c r="B768" t="s">
        <v>12</v>
      </c>
      <c r="C768">
        <v>2.5</v>
      </c>
      <c r="D768">
        <v>85.2</v>
      </c>
      <c r="E768">
        <v>3.3</v>
      </c>
      <c r="F768" t="s">
        <v>13</v>
      </c>
      <c r="G768" t="s">
        <v>14</v>
      </c>
      <c r="H768" t="s">
        <v>15</v>
      </c>
      <c r="I768" t="s">
        <v>15</v>
      </c>
      <c r="J768">
        <v>60.1</v>
      </c>
      <c r="K768">
        <v>83.9</v>
      </c>
      <c r="L768" t="s">
        <v>20</v>
      </c>
    </row>
    <row r="769" spans="1:12" x14ac:dyDescent="0.35">
      <c r="A769">
        <v>768</v>
      </c>
      <c r="B769" t="s">
        <v>17</v>
      </c>
      <c r="C769">
        <v>1.5</v>
      </c>
      <c r="D769">
        <v>87.3</v>
      </c>
      <c r="E769">
        <v>6.4</v>
      </c>
      <c r="F769" t="s">
        <v>18</v>
      </c>
      <c r="G769" t="s">
        <v>14</v>
      </c>
      <c r="H769" t="s">
        <v>14</v>
      </c>
      <c r="I769" t="s">
        <v>14</v>
      </c>
      <c r="J769">
        <v>57.3</v>
      </c>
      <c r="K769">
        <v>71.2</v>
      </c>
      <c r="L769" t="s">
        <v>22</v>
      </c>
    </row>
    <row r="770" spans="1:12" x14ac:dyDescent="0.35">
      <c r="A770">
        <v>769</v>
      </c>
      <c r="B770" t="s">
        <v>17</v>
      </c>
      <c r="C770">
        <v>6</v>
      </c>
      <c r="D770">
        <v>72.400000000000006</v>
      </c>
      <c r="E770">
        <v>5.6</v>
      </c>
      <c r="F770" t="s">
        <v>13</v>
      </c>
      <c r="G770" t="s">
        <v>14</v>
      </c>
      <c r="H770" t="s">
        <v>15</v>
      </c>
      <c r="I770" t="s">
        <v>15</v>
      </c>
      <c r="J770">
        <v>61.4</v>
      </c>
      <c r="K770">
        <v>85.5</v>
      </c>
      <c r="L770" t="s">
        <v>20</v>
      </c>
    </row>
    <row r="771" spans="1:12" x14ac:dyDescent="0.35">
      <c r="A771">
        <v>770</v>
      </c>
      <c r="B771" t="s">
        <v>12</v>
      </c>
      <c r="C771">
        <v>5</v>
      </c>
      <c r="D771">
        <v>78.8</v>
      </c>
      <c r="E771">
        <v>4.8</v>
      </c>
      <c r="F771" t="s">
        <v>18</v>
      </c>
      <c r="G771" t="s">
        <v>14</v>
      </c>
      <c r="H771" t="s">
        <v>15</v>
      </c>
      <c r="I771" t="s">
        <v>15</v>
      </c>
      <c r="J771">
        <v>83.5</v>
      </c>
      <c r="K771">
        <v>98.4</v>
      </c>
      <c r="L771" t="s">
        <v>16</v>
      </c>
    </row>
    <row r="772" spans="1:12" x14ac:dyDescent="0.35">
      <c r="A772">
        <v>771</v>
      </c>
      <c r="B772" t="s">
        <v>12</v>
      </c>
      <c r="C772">
        <v>2.5</v>
      </c>
      <c r="D772">
        <v>81.2</v>
      </c>
      <c r="E772">
        <v>5.3</v>
      </c>
      <c r="F772" t="s">
        <v>19</v>
      </c>
      <c r="G772" t="s">
        <v>14</v>
      </c>
      <c r="H772" t="s">
        <v>15</v>
      </c>
      <c r="I772" t="s">
        <v>15</v>
      </c>
      <c r="J772">
        <v>62.1</v>
      </c>
      <c r="K772">
        <v>82.6</v>
      </c>
      <c r="L772" t="s">
        <v>20</v>
      </c>
    </row>
    <row r="773" spans="1:12" x14ac:dyDescent="0.35">
      <c r="A773">
        <v>772</v>
      </c>
      <c r="B773" t="s">
        <v>12</v>
      </c>
      <c r="C773">
        <v>6.9</v>
      </c>
      <c r="D773">
        <v>81.8</v>
      </c>
      <c r="E773">
        <v>6.9</v>
      </c>
      <c r="F773" t="s">
        <v>19</v>
      </c>
      <c r="G773" t="s">
        <v>14</v>
      </c>
      <c r="H773" t="s">
        <v>14</v>
      </c>
      <c r="I773" t="s">
        <v>14</v>
      </c>
      <c r="J773">
        <v>63.8</v>
      </c>
      <c r="K773">
        <v>91.6</v>
      </c>
      <c r="L773" t="s">
        <v>16</v>
      </c>
    </row>
    <row r="774" spans="1:12" x14ac:dyDescent="0.35">
      <c r="A774">
        <v>773</v>
      </c>
      <c r="B774" t="s">
        <v>12</v>
      </c>
      <c r="C774">
        <v>5</v>
      </c>
      <c r="D774">
        <v>97.8</v>
      </c>
      <c r="E774">
        <v>8.4</v>
      </c>
      <c r="F774" t="s">
        <v>13</v>
      </c>
      <c r="G774" t="s">
        <v>14</v>
      </c>
      <c r="H774" t="s">
        <v>15</v>
      </c>
      <c r="I774" t="s">
        <v>15</v>
      </c>
      <c r="J774">
        <v>64.5</v>
      </c>
      <c r="K774">
        <v>91.3</v>
      </c>
      <c r="L774" t="s">
        <v>16</v>
      </c>
    </row>
    <row r="775" spans="1:12" x14ac:dyDescent="0.35">
      <c r="A775">
        <v>774</v>
      </c>
      <c r="B775" t="s">
        <v>17</v>
      </c>
      <c r="C775">
        <v>3</v>
      </c>
      <c r="D775">
        <v>90.6</v>
      </c>
      <c r="E775">
        <v>7.2</v>
      </c>
      <c r="F775" t="s">
        <v>18</v>
      </c>
      <c r="G775" t="s">
        <v>14</v>
      </c>
      <c r="H775" t="s">
        <v>15</v>
      </c>
      <c r="I775" t="s">
        <v>14</v>
      </c>
      <c r="J775">
        <v>74.099999999999994</v>
      </c>
      <c r="K775">
        <v>84.3</v>
      </c>
      <c r="L775" t="s">
        <v>20</v>
      </c>
    </row>
    <row r="776" spans="1:12" x14ac:dyDescent="0.35">
      <c r="A776">
        <v>775</v>
      </c>
      <c r="B776" t="s">
        <v>17</v>
      </c>
      <c r="C776">
        <v>0.5</v>
      </c>
      <c r="D776">
        <v>73.900000000000006</v>
      </c>
      <c r="E776">
        <v>6.1</v>
      </c>
      <c r="F776" t="s">
        <v>23</v>
      </c>
      <c r="G776" t="s">
        <v>14</v>
      </c>
      <c r="H776" t="s">
        <v>14</v>
      </c>
      <c r="I776" t="s">
        <v>15</v>
      </c>
      <c r="J776">
        <v>75.5</v>
      </c>
      <c r="K776">
        <v>74.599999999999994</v>
      </c>
      <c r="L776" t="s">
        <v>22</v>
      </c>
    </row>
    <row r="777" spans="1:12" x14ac:dyDescent="0.35">
      <c r="A777">
        <v>776</v>
      </c>
      <c r="B777" t="s">
        <v>12</v>
      </c>
      <c r="C777">
        <v>6.9</v>
      </c>
      <c r="D777">
        <v>87.5</v>
      </c>
      <c r="E777">
        <v>7.3</v>
      </c>
      <c r="F777" t="s">
        <v>18</v>
      </c>
      <c r="G777" t="s">
        <v>14</v>
      </c>
      <c r="H777" t="s">
        <v>15</v>
      </c>
      <c r="I777" t="s">
        <v>14</v>
      </c>
      <c r="J777">
        <v>33.5</v>
      </c>
      <c r="K777">
        <v>88.6</v>
      </c>
      <c r="L777" t="s">
        <v>20</v>
      </c>
    </row>
    <row r="778" spans="1:12" x14ac:dyDescent="0.35">
      <c r="A778">
        <v>777</v>
      </c>
      <c r="B778" t="s">
        <v>12</v>
      </c>
      <c r="C778">
        <v>1.4</v>
      </c>
      <c r="D778">
        <v>90</v>
      </c>
      <c r="E778">
        <v>6.2</v>
      </c>
      <c r="F778" t="s">
        <v>13</v>
      </c>
      <c r="G778" t="s">
        <v>14</v>
      </c>
      <c r="H778" t="s">
        <v>14</v>
      </c>
      <c r="I778" t="s">
        <v>15</v>
      </c>
      <c r="J778">
        <v>82.3</v>
      </c>
      <c r="K778">
        <v>73.599999999999994</v>
      </c>
      <c r="L778" t="s">
        <v>22</v>
      </c>
    </row>
    <row r="779" spans="1:12" x14ac:dyDescent="0.35">
      <c r="A779">
        <v>778</v>
      </c>
      <c r="B779" t="s">
        <v>17</v>
      </c>
      <c r="C779">
        <v>1</v>
      </c>
      <c r="D779">
        <v>96.4</v>
      </c>
      <c r="E779">
        <v>6</v>
      </c>
      <c r="F779" t="s">
        <v>18</v>
      </c>
      <c r="G779" t="s">
        <v>14</v>
      </c>
      <c r="H779" t="s">
        <v>14</v>
      </c>
      <c r="I779" t="s">
        <v>15</v>
      </c>
      <c r="J779">
        <v>87.2</v>
      </c>
      <c r="K779">
        <v>95.8</v>
      </c>
      <c r="L779" t="s">
        <v>16</v>
      </c>
    </row>
    <row r="780" spans="1:12" x14ac:dyDescent="0.35">
      <c r="A780">
        <v>779</v>
      </c>
      <c r="B780" t="s">
        <v>17</v>
      </c>
      <c r="C780">
        <v>5</v>
      </c>
      <c r="D780">
        <v>100</v>
      </c>
      <c r="E780">
        <v>5.4</v>
      </c>
      <c r="F780" t="s">
        <v>19</v>
      </c>
      <c r="G780" t="s">
        <v>14</v>
      </c>
      <c r="H780" t="s">
        <v>14</v>
      </c>
      <c r="I780" t="s">
        <v>15</v>
      </c>
      <c r="J780">
        <v>57.4</v>
      </c>
      <c r="K780">
        <v>87.1</v>
      </c>
      <c r="L780" t="s">
        <v>20</v>
      </c>
    </row>
    <row r="781" spans="1:12" x14ac:dyDescent="0.35">
      <c r="A781">
        <v>780</v>
      </c>
      <c r="B781" t="s">
        <v>12</v>
      </c>
      <c r="C781">
        <v>7.2</v>
      </c>
      <c r="D781">
        <v>74.8</v>
      </c>
      <c r="E781">
        <v>4.7</v>
      </c>
      <c r="F781" t="s">
        <v>18</v>
      </c>
      <c r="G781" t="s">
        <v>14</v>
      </c>
      <c r="H781" t="s">
        <v>14</v>
      </c>
      <c r="I781" t="s">
        <v>15</v>
      </c>
      <c r="J781">
        <v>58.3</v>
      </c>
      <c r="K781">
        <v>89.9</v>
      </c>
      <c r="L781" t="s">
        <v>20</v>
      </c>
    </row>
    <row r="782" spans="1:12" x14ac:dyDescent="0.35">
      <c r="A782">
        <v>781</v>
      </c>
      <c r="B782" t="s">
        <v>12</v>
      </c>
      <c r="C782">
        <v>5.6</v>
      </c>
      <c r="D782">
        <v>76.900000000000006</v>
      </c>
      <c r="E782">
        <v>6.3</v>
      </c>
      <c r="F782" t="s">
        <v>13</v>
      </c>
      <c r="G782" t="s">
        <v>15</v>
      </c>
      <c r="H782" t="s">
        <v>14</v>
      </c>
      <c r="I782" t="s">
        <v>15</v>
      </c>
      <c r="J782">
        <v>64.599999999999994</v>
      </c>
      <c r="K782">
        <v>79.099999999999994</v>
      </c>
      <c r="L782" t="s">
        <v>22</v>
      </c>
    </row>
    <row r="783" spans="1:12" x14ac:dyDescent="0.35">
      <c r="A783">
        <v>782</v>
      </c>
      <c r="B783" t="s">
        <v>12</v>
      </c>
      <c r="C783">
        <v>4.3</v>
      </c>
      <c r="D783">
        <v>72.400000000000006</v>
      </c>
      <c r="E783">
        <v>7</v>
      </c>
      <c r="F783" t="s">
        <v>23</v>
      </c>
      <c r="G783" t="s">
        <v>14</v>
      </c>
      <c r="H783" t="s">
        <v>14</v>
      </c>
      <c r="I783" t="s">
        <v>15</v>
      </c>
      <c r="J783">
        <v>60.9</v>
      </c>
      <c r="K783">
        <v>97.6</v>
      </c>
      <c r="L783" t="s">
        <v>16</v>
      </c>
    </row>
    <row r="784" spans="1:12" x14ac:dyDescent="0.35">
      <c r="A784">
        <v>783</v>
      </c>
      <c r="B784" t="s">
        <v>17</v>
      </c>
      <c r="C784">
        <v>4.4000000000000004</v>
      </c>
      <c r="D784">
        <v>82.7</v>
      </c>
      <c r="E784">
        <v>6.7</v>
      </c>
      <c r="F784" t="s">
        <v>13</v>
      </c>
      <c r="G784" t="s">
        <v>14</v>
      </c>
      <c r="H784" t="s">
        <v>15</v>
      </c>
      <c r="I784" t="s">
        <v>15</v>
      </c>
      <c r="J784">
        <v>72.7</v>
      </c>
      <c r="K784">
        <v>90.3</v>
      </c>
      <c r="L784" t="s">
        <v>16</v>
      </c>
    </row>
    <row r="785" spans="1:12" x14ac:dyDescent="0.35">
      <c r="A785">
        <v>784</v>
      </c>
      <c r="B785" t="s">
        <v>17</v>
      </c>
      <c r="C785">
        <v>4.8</v>
      </c>
      <c r="D785">
        <v>89.7</v>
      </c>
      <c r="E785">
        <v>6.3</v>
      </c>
      <c r="F785" t="s">
        <v>18</v>
      </c>
      <c r="G785" t="s">
        <v>14</v>
      </c>
      <c r="H785" t="s">
        <v>14</v>
      </c>
      <c r="I785" t="s">
        <v>15</v>
      </c>
      <c r="J785">
        <v>46.6</v>
      </c>
      <c r="K785">
        <v>78.099999999999994</v>
      </c>
      <c r="L785" t="s">
        <v>22</v>
      </c>
    </row>
    <row r="786" spans="1:12" x14ac:dyDescent="0.35">
      <c r="A786">
        <v>785</v>
      </c>
      <c r="B786" t="s">
        <v>17</v>
      </c>
      <c r="C786">
        <v>4.5999999999999996</v>
      </c>
      <c r="D786">
        <v>94.9</v>
      </c>
      <c r="E786">
        <v>5.7</v>
      </c>
      <c r="F786" t="s">
        <v>19</v>
      </c>
      <c r="G786" t="s">
        <v>14</v>
      </c>
      <c r="H786" t="s">
        <v>14</v>
      </c>
      <c r="I786" t="s">
        <v>15</v>
      </c>
      <c r="J786">
        <v>56.6</v>
      </c>
      <c r="K786">
        <v>92.6</v>
      </c>
      <c r="L786" t="s">
        <v>16</v>
      </c>
    </row>
    <row r="787" spans="1:12" x14ac:dyDescent="0.35">
      <c r="A787">
        <v>786</v>
      </c>
      <c r="B787" t="s">
        <v>12</v>
      </c>
      <c r="C787">
        <v>3.9</v>
      </c>
      <c r="D787">
        <v>84.2</v>
      </c>
      <c r="E787">
        <v>7.5</v>
      </c>
      <c r="F787" t="s">
        <v>13</v>
      </c>
      <c r="G787" t="s">
        <v>14</v>
      </c>
      <c r="H787" t="s">
        <v>14</v>
      </c>
      <c r="I787" t="s">
        <v>14</v>
      </c>
      <c r="J787">
        <v>88.5</v>
      </c>
      <c r="K787">
        <v>97</v>
      </c>
      <c r="L787" t="s">
        <v>16</v>
      </c>
    </row>
    <row r="788" spans="1:12" x14ac:dyDescent="0.35">
      <c r="A788">
        <v>787</v>
      </c>
      <c r="B788" t="s">
        <v>12</v>
      </c>
      <c r="C788">
        <v>3.7</v>
      </c>
      <c r="D788">
        <v>81.8</v>
      </c>
      <c r="E788">
        <v>5.2</v>
      </c>
      <c r="F788" t="s">
        <v>13</v>
      </c>
      <c r="G788" t="s">
        <v>14</v>
      </c>
      <c r="H788" t="s">
        <v>15</v>
      </c>
      <c r="I788" t="s">
        <v>15</v>
      </c>
      <c r="J788">
        <v>58.9</v>
      </c>
      <c r="K788">
        <v>77</v>
      </c>
      <c r="L788" t="s">
        <v>22</v>
      </c>
    </row>
    <row r="789" spans="1:12" x14ac:dyDescent="0.35">
      <c r="A789">
        <v>788</v>
      </c>
      <c r="B789" t="s">
        <v>17</v>
      </c>
      <c r="C789">
        <v>3.4</v>
      </c>
      <c r="D789">
        <v>86.5</v>
      </c>
      <c r="E789">
        <v>7.7</v>
      </c>
      <c r="F789" t="s">
        <v>18</v>
      </c>
      <c r="G789" t="s">
        <v>14</v>
      </c>
      <c r="H789" t="s">
        <v>15</v>
      </c>
      <c r="I789" t="s">
        <v>15</v>
      </c>
      <c r="J789">
        <v>84.9</v>
      </c>
      <c r="K789">
        <v>96.8</v>
      </c>
      <c r="L789" t="s">
        <v>16</v>
      </c>
    </row>
    <row r="790" spans="1:12" x14ac:dyDescent="0.35">
      <c r="A790">
        <v>789</v>
      </c>
      <c r="B790" t="s">
        <v>17</v>
      </c>
      <c r="C790">
        <v>2.4</v>
      </c>
      <c r="D790">
        <v>76.599999999999994</v>
      </c>
      <c r="E790">
        <v>5.6</v>
      </c>
      <c r="F790" t="s">
        <v>13</v>
      </c>
      <c r="G790" t="s">
        <v>14</v>
      </c>
      <c r="H790" t="s">
        <v>15</v>
      </c>
      <c r="I790" t="s">
        <v>15</v>
      </c>
      <c r="J790">
        <v>74.3</v>
      </c>
      <c r="K790">
        <v>72.099999999999994</v>
      </c>
      <c r="L790" t="s">
        <v>22</v>
      </c>
    </row>
    <row r="791" spans="1:12" x14ac:dyDescent="0.35">
      <c r="A791">
        <v>790</v>
      </c>
      <c r="B791" t="s">
        <v>12</v>
      </c>
      <c r="C791">
        <v>3.1</v>
      </c>
      <c r="D791">
        <v>100</v>
      </c>
      <c r="E791">
        <v>5.9</v>
      </c>
      <c r="F791" t="s">
        <v>13</v>
      </c>
      <c r="G791" t="s">
        <v>14</v>
      </c>
      <c r="H791" t="s">
        <v>15</v>
      </c>
      <c r="I791" t="s">
        <v>15</v>
      </c>
      <c r="J791">
        <v>48.3</v>
      </c>
      <c r="K791">
        <v>75.400000000000006</v>
      </c>
      <c r="L791" t="s">
        <v>22</v>
      </c>
    </row>
    <row r="792" spans="1:12" x14ac:dyDescent="0.35">
      <c r="A792">
        <v>791</v>
      </c>
      <c r="B792" t="s">
        <v>17</v>
      </c>
      <c r="C792">
        <v>1</v>
      </c>
      <c r="D792">
        <v>68.900000000000006</v>
      </c>
      <c r="E792">
        <v>5</v>
      </c>
      <c r="F792" t="s">
        <v>18</v>
      </c>
      <c r="G792" t="s">
        <v>14</v>
      </c>
      <c r="H792" t="s">
        <v>14</v>
      </c>
      <c r="I792" t="s">
        <v>15</v>
      </c>
      <c r="J792">
        <v>77.599999999999994</v>
      </c>
      <c r="K792">
        <v>57.6</v>
      </c>
      <c r="L792" t="s">
        <v>25</v>
      </c>
    </row>
    <row r="793" spans="1:12" x14ac:dyDescent="0.35">
      <c r="A793">
        <v>792</v>
      </c>
      <c r="B793" t="s">
        <v>17</v>
      </c>
      <c r="C793">
        <v>3.4</v>
      </c>
      <c r="D793">
        <v>86.8</v>
      </c>
      <c r="E793">
        <v>6.2</v>
      </c>
      <c r="F793" t="s">
        <v>18</v>
      </c>
      <c r="G793" t="s">
        <v>15</v>
      </c>
      <c r="H793" t="s">
        <v>15</v>
      </c>
      <c r="I793" t="s">
        <v>14</v>
      </c>
      <c r="J793">
        <v>68.599999999999994</v>
      </c>
      <c r="K793">
        <v>67.599999999999994</v>
      </c>
      <c r="L793" t="s">
        <v>21</v>
      </c>
    </row>
    <row r="794" spans="1:12" x14ac:dyDescent="0.35">
      <c r="A794">
        <v>793</v>
      </c>
      <c r="B794" t="s">
        <v>12</v>
      </c>
      <c r="C794">
        <v>2</v>
      </c>
      <c r="D794">
        <v>100</v>
      </c>
      <c r="E794">
        <v>8</v>
      </c>
      <c r="F794" t="s">
        <v>23</v>
      </c>
      <c r="G794" t="s">
        <v>14</v>
      </c>
      <c r="H794" t="s">
        <v>14</v>
      </c>
      <c r="I794" t="s">
        <v>14</v>
      </c>
      <c r="J794">
        <v>64.5</v>
      </c>
      <c r="K794">
        <v>91.2</v>
      </c>
      <c r="L794" t="s">
        <v>16</v>
      </c>
    </row>
    <row r="795" spans="1:12" x14ac:dyDescent="0.35">
      <c r="A795">
        <v>794</v>
      </c>
      <c r="B795" t="s">
        <v>17</v>
      </c>
      <c r="C795">
        <v>1.8</v>
      </c>
      <c r="D795">
        <v>85.1</v>
      </c>
      <c r="E795">
        <v>7.4</v>
      </c>
      <c r="F795" t="s">
        <v>18</v>
      </c>
      <c r="G795" t="s">
        <v>14</v>
      </c>
      <c r="H795" t="s">
        <v>14</v>
      </c>
      <c r="I795" t="s">
        <v>14</v>
      </c>
      <c r="J795">
        <v>72.900000000000006</v>
      </c>
      <c r="K795">
        <v>86.8</v>
      </c>
      <c r="L795" t="s">
        <v>20</v>
      </c>
    </row>
    <row r="796" spans="1:12" x14ac:dyDescent="0.35">
      <c r="A796">
        <v>795</v>
      </c>
      <c r="B796" t="s">
        <v>12</v>
      </c>
      <c r="C796">
        <v>3.8</v>
      </c>
      <c r="D796">
        <v>83.1</v>
      </c>
      <c r="E796">
        <v>8</v>
      </c>
      <c r="F796" t="s">
        <v>18</v>
      </c>
      <c r="G796" t="s">
        <v>14</v>
      </c>
      <c r="H796" t="s">
        <v>15</v>
      </c>
      <c r="I796" t="s">
        <v>15</v>
      </c>
      <c r="J796">
        <v>75.7</v>
      </c>
      <c r="K796">
        <v>89.5</v>
      </c>
      <c r="L796" t="s">
        <v>20</v>
      </c>
    </row>
    <row r="797" spans="1:12" x14ac:dyDescent="0.35">
      <c r="A797">
        <v>796</v>
      </c>
      <c r="B797" t="s">
        <v>12</v>
      </c>
      <c r="C797">
        <v>5.6</v>
      </c>
      <c r="D797">
        <v>81.400000000000006</v>
      </c>
      <c r="E797">
        <v>7.4</v>
      </c>
      <c r="F797" t="s">
        <v>13</v>
      </c>
      <c r="G797" t="s">
        <v>14</v>
      </c>
      <c r="H797" t="s">
        <v>14</v>
      </c>
      <c r="I797" t="s">
        <v>15</v>
      </c>
      <c r="J797">
        <v>78.5</v>
      </c>
      <c r="K797">
        <v>100</v>
      </c>
      <c r="L797" t="s">
        <v>16</v>
      </c>
    </row>
    <row r="798" spans="1:12" x14ac:dyDescent="0.35">
      <c r="A798">
        <v>797</v>
      </c>
      <c r="B798" t="s">
        <v>12</v>
      </c>
      <c r="C798">
        <v>4.9000000000000004</v>
      </c>
      <c r="D798">
        <v>83.2</v>
      </c>
      <c r="E798">
        <v>5.5</v>
      </c>
      <c r="F798" t="s">
        <v>23</v>
      </c>
      <c r="G798" t="s">
        <v>14</v>
      </c>
      <c r="H798" t="s">
        <v>15</v>
      </c>
      <c r="I798" t="s">
        <v>15</v>
      </c>
      <c r="J798">
        <v>84.1</v>
      </c>
      <c r="K798">
        <v>93.4</v>
      </c>
      <c r="L798" t="s">
        <v>16</v>
      </c>
    </row>
    <row r="799" spans="1:12" x14ac:dyDescent="0.35">
      <c r="A799">
        <v>798</v>
      </c>
      <c r="B799" t="s">
        <v>12</v>
      </c>
      <c r="C799">
        <v>1.1000000000000001</v>
      </c>
      <c r="D799">
        <v>98.7</v>
      </c>
      <c r="E799">
        <v>6.4</v>
      </c>
      <c r="F799" t="s">
        <v>18</v>
      </c>
      <c r="G799" t="s">
        <v>14</v>
      </c>
      <c r="H799" t="s">
        <v>15</v>
      </c>
      <c r="I799" t="s">
        <v>15</v>
      </c>
      <c r="J799">
        <v>74.900000000000006</v>
      </c>
      <c r="K799">
        <v>78.7</v>
      </c>
      <c r="L799" t="s">
        <v>22</v>
      </c>
    </row>
    <row r="800" spans="1:12" x14ac:dyDescent="0.35">
      <c r="A800">
        <v>799</v>
      </c>
      <c r="B800" t="s">
        <v>12</v>
      </c>
      <c r="C800">
        <v>2</v>
      </c>
      <c r="D800">
        <v>62.9</v>
      </c>
      <c r="E800">
        <v>5.9</v>
      </c>
      <c r="F800" t="s">
        <v>13</v>
      </c>
      <c r="G800" t="s">
        <v>14</v>
      </c>
      <c r="H800" t="s">
        <v>14</v>
      </c>
      <c r="I800" t="s">
        <v>14</v>
      </c>
      <c r="J800">
        <v>53.5</v>
      </c>
      <c r="K800">
        <v>60.8</v>
      </c>
      <c r="L800" t="s">
        <v>21</v>
      </c>
    </row>
    <row r="801" spans="1:12" x14ac:dyDescent="0.35">
      <c r="A801">
        <v>800</v>
      </c>
      <c r="B801" t="s">
        <v>12</v>
      </c>
      <c r="C801">
        <v>4.9000000000000004</v>
      </c>
      <c r="D801">
        <v>100</v>
      </c>
      <c r="E801">
        <v>8.4</v>
      </c>
      <c r="F801" t="s">
        <v>18</v>
      </c>
      <c r="G801" t="s">
        <v>14</v>
      </c>
      <c r="H801" t="s">
        <v>14</v>
      </c>
      <c r="I801" t="s">
        <v>15</v>
      </c>
      <c r="J801">
        <v>64.3</v>
      </c>
      <c r="K801">
        <v>96.1</v>
      </c>
      <c r="L801" t="s">
        <v>16</v>
      </c>
    </row>
    <row r="802" spans="1:12" x14ac:dyDescent="0.35">
      <c r="A802">
        <v>801</v>
      </c>
      <c r="B802" t="s">
        <v>12</v>
      </c>
      <c r="C802">
        <v>2</v>
      </c>
      <c r="D802">
        <v>70.8</v>
      </c>
      <c r="E802">
        <v>5.4</v>
      </c>
      <c r="F802" t="s">
        <v>18</v>
      </c>
      <c r="G802" t="s">
        <v>14</v>
      </c>
      <c r="H802" t="s">
        <v>14</v>
      </c>
      <c r="I802" t="s">
        <v>15</v>
      </c>
      <c r="J802">
        <v>100</v>
      </c>
      <c r="K802">
        <v>83</v>
      </c>
      <c r="L802" t="s">
        <v>20</v>
      </c>
    </row>
    <row r="803" spans="1:12" x14ac:dyDescent="0.35">
      <c r="A803">
        <v>802</v>
      </c>
      <c r="B803" t="s">
        <v>17</v>
      </c>
      <c r="C803">
        <v>3.2</v>
      </c>
      <c r="D803">
        <v>82.3</v>
      </c>
      <c r="E803">
        <v>7.9</v>
      </c>
      <c r="F803" t="s">
        <v>18</v>
      </c>
      <c r="G803" t="s">
        <v>14</v>
      </c>
      <c r="H803" t="s">
        <v>15</v>
      </c>
      <c r="I803" t="s">
        <v>15</v>
      </c>
      <c r="J803">
        <v>78.7</v>
      </c>
      <c r="K803">
        <v>94</v>
      </c>
      <c r="L803" t="s">
        <v>16</v>
      </c>
    </row>
    <row r="804" spans="1:12" x14ac:dyDescent="0.35">
      <c r="A804">
        <v>803</v>
      </c>
      <c r="B804" t="s">
        <v>12</v>
      </c>
      <c r="C804">
        <v>4.3</v>
      </c>
      <c r="D804">
        <v>80.7</v>
      </c>
      <c r="E804">
        <v>7.9</v>
      </c>
      <c r="F804" t="s">
        <v>23</v>
      </c>
      <c r="G804" t="s">
        <v>14</v>
      </c>
      <c r="H804" t="s">
        <v>15</v>
      </c>
      <c r="I804" t="s">
        <v>15</v>
      </c>
      <c r="J804">
        <v>98.4</v>
      </c>
      <c r="K804">
        <v>100</v>
      </c>
      <c r="L804" t="s">
        <v>16</v>
      </c>
    </row>
    <row r="805" spans="1:12" x14ac:dyDescent="0.35">
      <c r="A805">
        <v>804</v>
      </c>
      <c r="B805" t="s">
        <v>12</v>
      </c>
      <c r="C805">
        <v>2</v>
      </c>
      <c r="D805">
        <v>90.9</v>
      </c>
      <c r="E805">
        <v>9</v>
      </c>
      <c r="F805" t="s">
        <v>18</v>
      </c>
      <c r="G805" t="s">
        <v>14</v>
      </c>
      <c r="H805" t="s">
        <v>14</v>
      </c>
      <c r="I805" t="s">
        <v>15</v>
      </c>
      <c r="J805">
        <v>86.7</v>
      </c>
      <c r="K805">
        <v>94.6</v>
      </c>
      <c r="L805" t="s">
        <v>16</v>
      </c>
    </row>
    <row r="806" spans="1:12" x14ac:dyDescent="0.35">
      <c r="A806">
        <v>805</v>
      </c>
      <c r="B806" t="s">
        <v>17</v>
      </c>
      <c r="C806">
        <v>3.7</v>
      </c>
      <c r="D806">
        <v>69</v>
      </c>
      <c r="E806">
        <v>6.3</v>
      </c>
      <c r="F806" t="s">
        <v>18</v>
      </c>
      <c r="G806" t="s">
        <v>14</v>
      </c>
      <c r="H806" t="s">
        <v>14</v>
      </c>
      <c r="I806" t="s">
        <v>15</v>
      </c>
      <c r="J806">
        <v>72.900000000000006</v>
      </c>
      <c r="K806">
        <v>87.7</v>
      </c>
      <c r="L806" t="s">
        <v>20</v>
      </c>
    </row>
    <row r="807" spans="1:12" x14ac:dyDescent="0.35">
      <c r="A807">
        <v>806</v>
      </c>
      <c r="B807" t="s">
        <v>17</v>
      </c>
      <c r="C807">
        <v>1.5</v>
      </c>
      <c r="D807">
        <v>89.6</v>
      </c>
      <c r="E807">
        <v>7.7</v>
      </c>
      <c r="F807" t="s">
        <v>13</v>
      </c>
      <c r="G807" t="s">
        <v>14</v>
      </c>
      <c r="H807" t="s">
        <v>15</v>
      </c>
      <c r="I807" t="s">
        <v>15</v>
      </c>
      <c r="J807">
        <v>73.599999999999994</v>
      </c>
      <c r="K807">
        <v>82.1</v>
      </c>
      <c r="L807" t="s">
        <v>20</v>
      </c>
    </row>
    <row r="808" spans="1:12" x14ac:dyDescent="0.35">
      <c r="A808">
        <v>807</v>
      </c>
      <c r="B808" t="s">
        <v>17</v>
      </c>
      <c r="C808">
        <v>2.6</v>
      </c>
      <c r="D808">
        <v>100</v>
      </c>
      <c r="E808">
        <v>9.5</v>
      </c>
      <c r="F808" t="s">
        <v>23</v>
      </c>
      <c r="G808" t="s">
        <v>14</v>
      </c>
      <c r="H808" t="s">
        <v>15</v>
      </c>
      <c r="I808" t="s">
        <v>14</v>
      </c>
      <c r="J808">
        <v>69.599999999999994</v>
      </c>
      <c r="K808">
        <v>80.099999999999994</v>
      </c>
      <c r="L808" t="s">
        <v>20</v>
      </c>
    </row>
    <row r="809" spans="1:12" x14ac:dyDescent="0.35">
      <c r="A809">
        <v>808</v>
      </c>
      <c r="B809" t="s">
        <v>12</v>
      </c>
      <c r="C809">
        <v>4</v>
      </c>
      <c r="D809">
        <v>71.400000000000006</v>
      </c>
      <c r="E809">
        <v>6.1</v>
      </c>
      <c r="F809" t="s">
        <v>18</v>
      </c>
      <c r="G809" t="s">
        <v>15</v>
      </c>
      <c r="H809" t="s">
        <v>14</v>
      </c>
      <c r="I809" t="s">
        <v>14</v>
      </c>
      <c r="J809">
        <v>49.1</v>
      </c>
      <c r="K809">
        <v>57.8</v>
      </c>
      <c r="L809" t="s">
        <v>25</v>
      </c>
    </row>
    <row r="810" spans="1:12" x14ac:dyDescent="0.35">
      <c r="A810">
        <v>809</v>
      </c>
      <c r="B810" t="s">
        <v>17</v>
      </c>
      <c r="C810">
        <v>1.1000000000000001</v>
      </c>
      <c r="D810">
        <v>86.9</v>
      </c>
      <c r="E810">
        <v>5</v>
      </c>
      <c r="F810" t="s">
        <v>13</v>
      </c>
      <c r="G810" t="s">
        <v>14</v>
      </c>
      <c r="H810" t="s">
        <v>14</v>
      </c>
      <c r="I810" t="s">
        <v>15</v>
      </c>
      <c r="J810">
        <v>70.2</v>
      </c>
      <c r="K810">
        <v>74.3</v>
      </c>
      <c r="L810" t="s">
        <v>22</v>
      </c>
    </row>
    <row r="811" spans="1:12" x14ac:dyDescent="0.35">
      <c r="A811">
        <v>810</v>
      </c>
      <c r="B811" t="s">
        <v>12</v>
      </c>
      <c r="C811">
        <v>4.2</v>
      </c>
      <c r="D811">
        <v>78.400000000000006</v>
      </c>
      <c r="E811">
        <v>4.5</v>
      </c>
      <c r="F811" t="s">
        <v>18</v>
      </c>
      <c r="G811" t="s">
        <v>15</v>
      </c>
      <c r="H811" t="s">
        <v>15</v>
      </c>
      <c r="I811" t="s">
        <v>15</v>
      </c>
      <c r="J811">
        <v>84.5</v>
      </c>
      <c r="K811">
        <v>82.5</v>
      </c>
      <c r="L811" t="s">
        <v>20</v>
      </c>
    </row>
    <row r="812" spans="1:12" x14ac:dyDescent="0.35">
      <c r="A812">
        <v>811</v>
      </c>
      <c r="B812" t="s">
        <v>12</v>
      </c>
      <c r="C812">
        <v>3.5</v>
      </c>
      <c r="D812">
        <v>89.3</v>
      </c>
      <c r="E812">
        <v>7.7</v>
      </c>
      <c r="F812" t="s">
        <v>13</v>
      </c>
      <c r="G812" t="s">
        <v>14</v>
      </c>
      <c r="H812" t="s">
        <v>14</v>
      </c>
      <c r="I812" t="s">
        <v>15</v>
      </c>
      <c r="J812">
        <v>62.8</v>
      </c>
      <c r="K812">
        <v>85.9</v>
      </c>
      <c r="L812" t="s">
        <v>20</v>
      </c>
    </row>
    <row r="813" spans="1:12" x14ac:dyDescent="0.35">
      <c r="A813">
        <v>812</v>
      </c>
      <c r="B813" t="s">
        <v>12</v>
      </c>
      <c r="C813">
        <v>4.3</v>
      </c>
      <c r="D813">
        <v>85.2</v>
      </c>
      <c r="E813">
        <v>4.5</v>
      </c>
      <c r="F813" t="s">
        <v>13</v>
      </c>
      <c r="G813" t="s">
        <v>14</v>
      </c>
      <c r="H813" t="s">
        <v>14</v>
      </c>
      <c r="I813" t="s">
        <v>15</v>
      </c>
      <c r="J813">
        <v>74.900000000000006</v>
      </c>
      <c r="K813">
        <v>88.4</v>
      </c>
      <c r="L813" t="s">
        <v>20</v>
      </c>
    </row>
    <row r="814" spans="1:12" x14ac:dyDescent="0.35">
      <c r="A814">
        <v>813</v>
      </c>
      <c r="B814" t="s">
        <v>12</v>
      </c>
      <c r="C814">
        <v>3.8</v>
      </c>
      <c r="D814">
        <v>78.599999999999994</v>
      </c>
      <c r="E814">
        <v>6.4</v>
      </c>
      <c r="F814" t="s">
        <v>13</v>
      </c>
      <c r="G814" t="s">
        <v>14</v>
      </c>
      <c r="H814" t="s">
        <v>15</v>
      </c>
      <c r="I814" t="s">
        <v>15</v>
      </c>
      <c r="J814">
        <v>80.2</v>
      </c>
      <c r="K814">
        <v>100</v>
      </c>
      <c r="L814" t="s">
        <v>16</v>
      </c>
    </row>
    <row r="815" spans="1:12" x14ac:dyDescent="0.35">
      <c r="A815">
        <v>814</v>
      </c>
      <c r="B815" t="s">
        <v>17</v>
      </c>
      <c r="C815">
        <v>5.5</v>
      </c>
      <c r="D815">
        <v>89.9</v>
      </c>
      <c r="E815">
        <v>7.3</v>
      </c>
      <c r="F815" t="s">
        <v>18</v>
      </c>
      <c r="G815" t="s">
        <v>15</v>
      </c>
      <c r="H815" t="s">
        <v>15</v>
      </c>
      <c r="I815" t="s">
        <v>14</v>
      </c>
      <c r="J815">
        <v>59.1</v>
      </c>
      <c r="K815">
        <v>75.599999999999994</v>
      </c>
      <c r="L815" t="s">
        <v>22</v>
      </c>
    </row>
    <row r="816" spans="1:12" x14ac:dyDescent="0.35">
      <c r="A816">
        <v>815</v>
      </c>
      <c r="B816" t="s">
        <v>17</v>
      </c>
      <c r="C816">
        <v>3.7</v>
      </c>
      <c r="D816">
        <v>100</v>
      </c>
      <c r="E816">
        <v>7</v>
      </c>
      <c r="F816" t="s">
        <v>18</v>
      </c>
      <c r="G816" t="s">
        <v>14</v>
      </c>
      <c r="H816" t="s">
        <v>14</v>
      </c>
      <c r="I816" t="s">
        <v>15</v>
      </c>
      <c r="J816">
        <v>64.599999999999994</v>
      </c>
      <c r="K816">
        <v>78</v>
      </c>
      <c r="L816" t="s">
        <v>22</v>
      </c>
    </row>
    <row r="817" spans="1:12" x14ac:dyDescent="0.35">
      <c r="A817">
        <v>816</v>
      </c>
      <c r="B817" t="s">
        <v>12</v>
      </c>
      <c r="C817">
        <v>2.9</v>
      </c>
      <c r="D817">
        <v>83.1</v>
      </c>
      <c r="E817">
        <v>7.3</v>
      </c>
      <c r="F817" t="s">
        <v>18</v>
      </c>
      <c r="G817" t="s">
        <v>14</v>
      </c>
      <c r="H817" t="s">
        <v>14</v>
      </c>
      <c r="I817" t="s">
        <v>15</v>
      </c>
      <c r="J817">
        <v>57.8</v>
      </c>
      <c r="K817">
        <v>80</v>
      </c>
      <c r="L817" t="s">
        <v>20</v>
      </c>
    </row>
    <row r="818" spans="1:12" x14ac:dyDescent="0.35">
      <c r="A818">
        <v>817</v>
      </c>
      <c r="B818" t="s">
        <v>12</v>
      </c>
      <c r="C818">
        <v>3.7</v>
      </c>
      <c r="D818">
        <v>92.2</v>
      </c>
      <c r="E818">
        <v>7.1</v>
      </c>
      <c r="F818" t="s">
        <v>13</v>
      </c>
      <c r="G818" t="s">
        <v>14</v>
      </c>
      <c r="H818" t="s">
        <v>14</v>
      </c>
      <c r="I818" t="s">
        <v>14</v>
      </c>
      <c r="J818">
        <v>60.1</v>
      </c>
      <c r="K818">
        <v>80.2</v>
      </c>
      <c r="L818" t="s">
        <v>20</v>
      </c>
    </row>
    <row r="819" spans="1:12" x14ac:dyDescent="0.35">
      <c r="A819">
        <v>818</v>
      </c>
      <c r="B819" t="s">
        <v>12</v>
      </c>
      <c r="C819">
        <v>4.3</v>
      </c>
      <c r="D819">
        <v>72.099999999999994</v>
      </c>
      <c r="E819">
        <v>8.3000000000000007</v>
      </c>
      <c r="F819" t="s">
        <v>18</v>
      </c>
      <c r="G819" t="s">
        <v>14</v>
      </c>
      <c r="H819" t="s">
        <v>14</v>
      </c>
      <c r="I819" t="s">
        <v>15</v>
      </c>
      <c r="J819">
        <v>54.5</v>
      </c>
      <c r="K819">
        <v>82.2</v>
      </c>
      <c r="L819" t="s">
        <v>20</v>
      </c>
    </row>
    <row r="820" spans="1:12" x14ac:dyDescent="0.35">
      <c r="A820">
        <v>819</v>
      </c>
      <c r="B820" t="s">
        <v>17</v>
      </c>
      <c r="C820">
        <v>3.6</v>
      </c>
      <c r="D820">
        <v>75.400000000000006</v>
      </c>
      <c r="E820">
        <v>5.7</v>
      </c>
      <c r="F820" t="s">
        <v>23</v>
      </c>
      <c r="G820" t="s">
        <v>14</v>
      </c>
      <c r="H820" t="s">
        <v>15</v>
      </c>
      <c r="I820" t="s">
        <v>15</v>
      </c>
      <c r="J820">
        <v>59.2</v>
      </c>
      <c r="K820">
        <v>79.599999999999994</v>
      </c>
      <c r="L820" t="s">
        <v>22</v>
      </c>
    </row>
    <row r="821" spans="1:12" x14ac:dyDescent="0.35">
      <c r="A821">
        <v>820</v>
      </c>
      <c r="B821" t="s">
        <v>12</v>
      </c>
      <c r="C821">
        <v>3.6</v>
      </c>
      <c r="D821">
        <v>89.7</v>
      </c>
      <c r="E821">
        <v>6</v>
      </c>
      <c r="F821" t="s">
        <v>19</v>
      </c>
      <c r="G821" t="s">
        <v>15</v>
      </c>
      <c r="H821" t="s">
        <v>14</v>
      </c>
      <c r="I821" t="s">
        <v>15</v>
      </c>
      <c r="J821">
        <v>87</v>
      </c>
      <c r="K821">
        <v>96.3</v>
      </c>
      <c r="L821" t="s">
        <v>16</v>
      </c>
    </row>
    <row r="822" spans="1:12" x14ac:dyDescent="0.35">
      <c r="A822">
        <v>821</v>
      </c>
      <c r="B822" t="s">
        <v>12</v>
      </c>
      <c r="C822">
        <v>2.4</v>
      </c>
      <c r="D822">
        <v>99.8</v>
      </c>
      <c r="E822">
        <v>5.9</v>
      </c>
      <c r="F822" t="s">
        <v>19</v>
      </c>
      <c r="G822" t="s">
        <v>15</v>
      </c>
      <c r="H822" t="s">
        <v>15</v>
      </c>
      <c r="I822" t="s">
        <v>15</v>
      </c>
      <c r="J822">
        <v>59</v>
      </c>
      <c r="K822">
        <v>65.400000000000006</v>
      </c>
      <c r="L822" t="s">
        <v>21</v>
      </c>
    </row>
    <row r="823" spans="1:12" x14ac:dyDescent="0.35">
      <c r="A823">
        <v>822</v>
      </c>
      <c r="B823" t="s">
        <v>17</v>
      </c>
      <c r="C823">
        <v>2.5</v>
      </c>
      <c r="D823">
        <v>88.6</v>
      </c>
      <c r="E823">
        <v>7.8</v>
      </c>
      <c r="F823" t="s">
        <v>24</v>
      </c>
      <c r="G823" t="s">
        <v>14</v>
      </c>
      <c r="H823" t="s">
        <v>15</v>
      </c>
      <c r="I823" t="s">
        <v>15</v>
      </c>
      <c r="J823">
        <v>71.5</v>
      </c>
      <c r="K823">
        <v>79.900000000000006</v>
      </c>
      <c r="L823" t="s">
        <v>22</v>
      </c>
    </row>
    <row r="824" spans="1:12" x14ac:dyDescent="0.35">
      <c r="A824">
        <v>823</v>
      </c>
      <c r="B824" t="s">
        <v>17</v>
      </c>
      <c r="C824">
        <v>1.4</v>
      </c>
      <c r="D824">
        <v>81.900000000000006</v>
      </c>
      <c r="E824">
        <v>7.9</v>
      </c>
      <c r="F824" t="s">
        <v>13</v>
      </c>
      <c r="G824" t="s">
        <v>15</v>
      </c>
      <c r="H824" t="s">
        <v>14</v>
      </c>
      <c r="I824" t="s">
        <v>15</v>
      </c>
      <c r="J824">
        <v>64</v>
      </c>
      <c r="K824">
        <v>71.599999999999994</v>
      </c>
      <c r="L824" t="s">
        <v>22</v>
      </c>
    </row>
    <row r="825" spans="1:12" x14ac:dyDescent="0.35">
      <c r="A825">
        <v>824</v>
      </c>
      <c r="B825" t="s">
        <v>12</v>
      </c>
      <c r="C825">
        <v>6.1</v>
      </c>
      <c r="D825">
        <v>85</v>
      </c>
      <c r="E825">
        <v>7.3</v>
      </c>
      <c r="F825" t="s">
        <v>23</v>
      </c>
      <c r="G825" t="s">
        <v>14</v>
      </c>
      <c r="H825" t="s">
        <v>14</v>
      </c>
      <c r="I825" t="s">
        <v>15</v>
      </c>
      <c r="J825">
        <v>84.1</v>
      </c>
      <c r="K825">
        <v>100</v>
      </c>
      <c r="L825" t="s">
        <v>16</v>
      </c>
    </row>
    <row r="826" spans="1:12" x14ac:dyDescent="0.35">
      <c r="A826">
        <v>825</v>
      </c>
      <c r="B826" t="s">
        <v>17</v>
      </c>
      <c r="C826">
        <v>1.6</v>
      </c>
      <c r="D826">
        <v>72.5</v>
      </c>
      <c r="E826">
        <v>8.1999999999999993</v>
      </c>
      <c r="F826" t="s">
        <v>18</v>
      </c>
      <c r="G826" t="s">
        <v>14</v>
      </c>
      <c r="H826" t="s">
        <v>14</v>
      </c>
      <c r="I826" t="s">
        <v>15</v>
      </c>
      <c r="J826">
        <v>85.7</v>
      </c>
      <c r="K826">
        <v>93.9</v>
      </c>
      <c r="L826" t="s">
        <v>16</v>
      </c>
    </row>
    <row r="827" spans="1:12" x14ac:dyDescent="0.35">
      <c r="A827">
        <v>826</v>
      </c>
      <c r="B827" t="s">
        <v>17</v>
      </c>
      <c r="C827">
        <v>2.5</v>
      </c>
      <c r="D827">
        <v>91</v>
      </c>
      <c r="E827">
        <v>5.4</v>
      </c>
      <c r="F827" t="s">
        <v>13</v>
      </c>
      <c r="G827" t="s">
        <v>14</v>
      </c>
      <c r="H827" t="s">
        <v>15</v>
      </c>
      <c r="I827" t="s">
        <v>14</v>
      </c>
      <c r="J827">
        <v>80.400000000000006</v>
      </c>
      <c r="K827">
        <v>87.5</v>
      </c>
      <c r="L827" t="s">
        <v>20</v>
      </c>
    </row>
    <row r="828" spans="1:12" x14ac:dyDescent="0.35">
      <c r="A828">
        <v>827</v>
      </c>
      <c r="B828" t="s">
        <v>12</v>
      </c>
      <c r="C828">
        <v>2.4</v>
      </c>
      <c r="D828">
        <v>93.8</v>
      </c>
      <c r="E828">
        <v>8.8000000000000007</v>
      </c>
      <c r="F828" t="s">
        <v>13</v>
      </c>
      <c r="G828" t="s">
        <v>14</v>
      </c>
      <c r="H828" t="s">
        <v>15</v>
      </c>
      <c r="I828" t="s">
        <v>15</v>
      </c>
      <c r="J828">
        <v>73.7</v>
      </c>
      <c r="K828">
        <v>86.3</v>
      </c>
      <c r="L828" t="s">
        <v>20</v>
      </c>
    </row>
    <row r="829" spans="1:12" x14ac:dyDescent="0.35">
      <c r="A829">
        <v>828</v>
      </c>
      <c r="B829" t="s">
        <v>17</v>
      </c>
      <c r="C829">
        <v>4.8</v>
      </c>
      <c r="D829">
        <v>80.5</v>
      </c>
      <c r="E829">
        <v>8.6</v>
      </c>
      <c r="F829" t="s">
        <v>13</v>
      </c>
      <c r="G829" t="s">
        <v>15</v>
      </c>
      <c r="H829" t="s">
        <v>14</v>
      </c>
      <c r="I829" t="s">
        <v>14</v>
      </c>
      <c r="J829">
        <v>67.2</v>
      </c>
      <c r="K829">
        <v>77.599999999999994</v>
      </c>
      <c r="L829" t="s">
        <v>22</v>
      </c>
    </row>
    <row r="830" spans="1:12" x14ac:dyDescent="0.35">
      <c r="A830">
        <v>829</v>
      </c>
      <c r="B830" t="s">
        <v>12</v>
      </c>
      <c r="C830">
        <v>3.1</v>
      </c>
      <c r="D830">
        <v>80.3</v>
      </c>
      <c r="E830">
        <v>7.7</v>
      </c>
      <c r="F830" t="s">
        <v>23</v>
      </c>
      <c r="G830" t="s">
        <v>14</v>
      </c>
      <c r="H830" t="s">
        <v>15</v>
      </c>
      <c r="I830" t="s">
        <v>14</v>
      </c>
      <c r="J830">
        <v>55.7</v>
      </c>
      <c r="K830">
        <v>70.2</v>
      </c>
      <c r="L830" t="s">
        <v>22</v>
      </c>
    </row>
    <row r="831" spans="1:12" x14ac:dyDescent="0.35">
      <c r="A831">
        <v>830</v>
      </c>
      <c r="B831" t="s">
        <v>17</v>
      </c>
      <c r="C831">
        <v>5.4</v>
      </c>
      <c r="D831">
        <v>87.7</v>
      </c>
      <c r="E831">
        <v>8.9</v>
      </c>
      <c r="F831" t="s">
        <v>18</v>
      </c>
      <c r="G831" t="s">
        <v>14</v>
      </c>
      <c r="H831" t="s">
        <v>15</v>
      </c>
      <c r="I831" t="s">
        <v>15</v>
      </c>
      <c r="J831">
        <v>93.3</v>
      </c>
      <c r="K831">
        <v>100</v>
      </c>
      <c r="L831" t="s">
        <v>16</v>
      </c>
    </row>
    <row r="832" spans="1:12" x14ac:dyDescent="0.35">
      <c r="A832">
        <v>831</v>
      </c>
      <c r="B832" t="s">
        <v>12</v>
      </c>
      <c r="C832">
        <v>2.5</v>
      </c>
      <c r="D832">
        <v>80.599999999999994</v>
      </c>
      <c r="E832">
        <v>4.8</v>
      </c>
      <c r="F832" t="s">
        <v>18</v>
      </c>
      <c r="G832" t="s">
        <v>14</v>
      </c>
      <c r="H832" t="s">
        <v>15</v>
      </c>
      <c r="I832" t="s">
        <v>14</v>
      </c>
      <c r="J832">
        <v>60.9</v>
      </c>
      <c r="K832">
        <v>73.5</v>
      </c>
      <c r="L832" t="s">
        <v>22</v>
      </c>
    </row>
    <row r="833" spans="1:12" x14ac:dyDescent="0.35">
      <c r="A833">
        <v>832</v>
      </c>
      <c r="B833" t="s">
        <v>12</v>
      </c>
      <c r="C833">
        <v>3.9</v>
      </c>
      <c r="D833">
        <v>84.3</v>
      </c>
      <c r="E833">
        <v>6.2</v>
      </c>
      <c r="F833" t="s">
        <v>19</v>
      </c>
      <c r="G833" t="s">
        <v>14</v>
      </c>
      <c r="H833" t="s">
        <v>14</v>
      </c>
      <c r="I833" t="s">
        <v>15</v>
      </c>
      <c r="J833">
        <v>78</v>
      </c>
      <c r="K833">
        <v>91.2</v>
      </c>
      <c r="L833" t="s">
        <v>16</v>
      </c>
    </row>
    <row r="834" spans="1:12" x14ac:dyDescent="0.35">
      <c r="A834">
        <v>833</v>
      </c>
      <c r="B834" t="s">
        <v>12</v>
      </c>
      <c r="C834">
        <v>2.2000000000000002</v>
      </c>
      <c r="D834">
        <v>100</v>
      </c>
      <c r="E834">
        <v>5.9</v>
      </c>
      <c r="F834" t="s">
        <v>18</v>
      </c>
      <c r="G834" t="s">
        <v>14</v>
      </c>
      <c r="H834" t="s">
        <v>14</v>
      </c>
      <c r="I834" t="s">
        <v>14</v>
      </c>
      <c r="J834">
        <v>82.7</v>
      </c>
      <c r="K834">
        <v>78.099999999999994</v>
      </c>
      <c r="L834" t="s">
        <v>22</v>
      </c>
    </row>
    <row r="835" spans="1:12" x14ac:dyDescent="0.35">
      <c r="A835">
        <v>834</v>
      </c>
      <c r="B835" t="s">
        <v>17</v>
      </c>
      <c r="C835">
        <v>6.7</v>
      </c>
      <c r="D835">
        <v>82.5</v>
      </c>
      <c r="E835">
        <v>7.7</v>
      </c>
      <c r="F835" t="s">
        <v>13</v>
      </c>
      <c r="G835" t="s">
        <v>15</v>
      </c>
      <c r="H835" t="s">
        <v>15</v>
      </c>
      <c r="I835" t="s">
        <v>15</v>
      </c>
      <c r="J835">
        <v>63.3</v>
      </c>
      <c r="K835">
        <v>89</v>
      </c>
      <c r="L835" t="s">
        <v>20</v>
      </c>
    </row>
    <row r="836" spans="1:12" x14ac:dyDescent="0.35">
      <c r="A836">
        <v>835</v>
      </c>
      <c r="B836" t="s">
        <v>12</v>
      </c>
      <c r="C836">
        <v>1.7</v>
      </c>
      <c r="D836">
        <v>81.400000000000006</v>
      </c>
      <c r="E836">
        <v>5.5</v>
      </c>
      <c r="F836" t="s">
        <v>19</v>
      </c>
      <c r="G836" t="s">
        <v>14</v>
      </c>
      <c r="H836" t="s">
        <v>14</v>
      </c>
      <c r="I836" t="s">
        <v>14</v>
      </c>
      <c r="J836">
        <v>82.5</v>
      </c>
      <c r="K836">
        <v>82</v>
      </c>
      <c r="L836" t="s">
        <v>20</v>
      </c>
    </row>
    <row r="837" spans="1:12" x14ac:dyDescent="0.35">
      <c r="A837">
        <v>836</v>
      </c>
      <c r="B837" t="s">
        <v>17</v>
      </c>
      <c r="C837">
        <v>4</v>
      </c>
      <c r="D837">
        <v>78.5</v>
      </c>
      <c r="E837">
        <v>7.7</v>
      </c>
      <c r="F837" t="s">
        <v>13</v>
      </c>
      <c r="G837" t="s">
        <v>14</v>
      </c>
      <c r="H837" t="s">
        <v>14</v>
      </c>
      <c r="I837" t="s">
        <v>14</v>
      </c>
      <c r="J837">
        <v>79.2</v>
      </c>
      <c r="K837">
        <v>89.5</v>
      </c>
      <c r="L837" t="s">
        <v>20</v>
      </c>
    </row>
    <row r="838" spans="1:12" x14ac:dyDescent="0.35">
      <c r="A838">
        <v>837</v>
      </c>
      <c r="B838" t="s">
        <v>12</v>
      </c>
      <c r="C838">
        <v>4.5</v>
      </c>
      <c r="D838">
        <v>92.4</v>
      </c>
      <c r="E838">
        <v>8.4</v>
      </c>
      <c r="F838" t="s">
        <v>13</v>
      </c>
      <c r="G838" t="s">
        <v>14</v>
      </c>
      <c r="H838" t="s">
        <v>14</v>
      </c>
      <c r="I838" t="s">
        <v>14</v>
      </c>
      <c r="J838">
        <v>90.7</v>
      </c>
      <c r="K838">
        <v>100</v>
      </c>
      <c r="L838" t="s">
        <v>16</v>
      </c>
    </row>
    <row r="839" spans="1:12" x14ac:dyDescent="0.35">
      <c r="A839">
        <v>838</v>
      </c>
      <c r="B839" t="s">
        <v>12</v>
      </c>
      <c r="C839">
        <v>4.0999999999999996</v>
      </c>
      <c r="D839">
        <v>83.2</v>
      </c>
      <c r="E839">
        <v>7.6</v>
      </c>
      <c r="F839" t="s">
        <v>18</v>
      </c>
      <c r="G839" t="s">
        <v>14</v>
      </c>
      <c r="H839" t="s">
        <v>14</v>
      </c>
      <c r="I839" t="s">
        <v>15</v>
      </c>
      <c r="J839">
        <v>64.400000000000006</v>
      </c>
      <c r="K839">
        <v>88.7</v>
      </c>
      <c r="L839" t="s">
        <v>20</v>
      </c>
    </row>
    <row r="840" spans="1:12" x14ac:dyDescent="0.35">
      <c r="A840">
        <v>839</v>
      </c>
      <c r="B840" t="s">
        <v>17</v>
      </c>
      <c r="C840">
        <v>3.2</v>
      </c>
      <c r="D840">
        <v>78.5</v>
      </c>
      <c r="E840">
        <v>7.1</v>
      </c>
      <c r="F840" t="s">
        <v>18</v>
      </c>
      <c r="G840" t="s">
        <v>14</v>
      </c>
      <c r="H840" t="s">
        <v>14</v>
      </c>
      <c r="I840" t="s">
        <v>15</v>
      </c>
      <c r="J840">
        <v>54.6</v>
      </c>
      <c r="K840">
        <v>86</v>
      </c>
      <c r="L840" t="s">
        <v>20</v>
      </c>
    </row>
    <row r="841" spans="1:12" x14ac:dyDescent="0.35">
      <c r="A841">
        <v>840</v>
      </c>
      <c r="B841" t="s">
        <v>12</v>
      </c>
      <c r="C841">
        <v>3.3</v>
      </c>
      <c r="D841">
        <v>98.2</v>
      </c>
      <c r="E841">
        <v>5.6</v>
      </c>
      <c r="F841" t="s">
        <v>24</v>
      </c>
      <c r="G841" t="s">
        <v>14</v>
      </c>
      <c r="H841" t="s">
        <v>15</v>
      </c>
      <c r="I841" t="s">
        <v>14</v>
      </c>
      <c r="J841">
        <v>63.9</v>
      </c>
      <c r="K841">
        <v>82.9</v>
      </c>
      <c r="L841" t="s">
        <v>20</v>
      </c>
    </row>
    <row r="842" spans="1:12" x14ac:dyDescent="0.35">
      <c r="A842">
        <v>841</v>
      </c>
      <c r="B842" t="s">
        <v>12</v>
      </c>
      <c r="C842">
        <v>3.6</v>
      </c>
      <c r="D842">
        <v>99.2</v>
      </c>
      <c r="E842">
        <v>5.8</v>
      </c>
      <c r="F842" t="s">
        <v>13</v>
      </c>
      <c r="G842" t="s">
        <v>14</v>
      </c>
      <c r="H842" t="s">
        <v>14</v>
      </c>
      <c r="I842" t="s">
        <v>15</v>
      </c>
      <c r="J842">
        <v>72.5</v>
      </c>
      <c r="K842">
        <v>88.6</v>
      </c>
      <c r="L842" t="s">
        <v>20</v>
      </c>
    </row>
    <row r="843" spans="1:12" x14ac:dyDescent="0.35">
      <c r="A843">
        <v>842</v>
      </c>
      <c r="B843" t="s">
        <v>17</v>
      </c>
      <c r="C843">
        <v>3.3</v>
      </c>
      <c r="D843">
        <v>79</v>
      </c>
      <c r="E843">
        <v>8.3000000000000007</v>
      </c>
      <c r="F843" t="s">
        <v>13</v>
      </c>
      <c r="G843" t="s">
        <v>14</v>
      </c>
      <c r="H843" t="s">
        <v>14</v>
      </c>
      <c r="I843" t="s">
        <v>15</v>
      </c>
      <c r="J843">
        <v>70.7</v>
      </c>
      <c r="K843">
        <v>79.2</v>
      </c>
      <c r="L843" t="s">
        <v>22</v>
      </c>
    </row>
    <row r="844" spans="1:12" x14ac:dyDescent="0.35">
      <c r="A844">
        <v>843</v>
      </c>
      <c r="B844" t="s">
        <v>12</v>
      </c>
      <c r="C844">
        <v>4.9000000000000004</v>
      </c>
      <c r="D844">
        <v>66.3</v>
      </c>
      <c r="E844">
        <v>7.7</v>
      </c>
      <c r="F844" t="s">
        <v>18</v>
      </c>
      <c r="G844" t="s">
        <v>14</v>
      </c>
      <c r="H844" t="s">
        <v>15</v>
      </c>
      <c r="I844" t="s">
        <v>15</v>
      </c>
      <c r="J844">
        <v>65.3</v>
      </c>
      <c r="K844">
        <v>85.1</v>
      </c>
      <c r="L844" t="s">
        <v>20</v>
      </c>
    </row>
    <row r="845" spans="1:12" x14ac:dyDescent="0.35">
      <c r="A845">
        <v>844</v>
      </c>
      <c r="B845" t="s">
        <v>12</v>
      </c>
      <c r="C845">
        <v>6.8</v>
      </c>
      <c r="D845">
        <v>95.1</v>
      </c>
      <c r="E845">
        <v>6.8</v>
      </c>
      <c r="F845" t="s">
        <v>18</v>
      </c>
      <c r="G845" t="s">
        <v>14</v>
      </c>
      <c r="H845" t="s">
        <v>14</v>
      </c>
      <c r="I845" t="s">
        <v>15</v>
      </c>
      <c r="J845">
        <v>47.1</v>
      </c>
      <c r="K845">
        <v>80.2</v>
      </c>
      <c r="L845" t="s">
        <v>20</v>
      </c>
    </row>
    <row r="846" spans="1:12" x14ac:dyDescent="0.35">
      <c r="A846">
        <v>845</v>
      </c>
      <c r="B846" t="s">
        <v>12</v>
      </c>
      <c r="C846">
        <v>2.7</v>
      </c>
      <c r="D846">
        <v>78.2</v>
      </c>
      <c r="E846">
        <v>6.3</v>
      </c>
      <c r="F846" t="s">
        <v>19</v>
      </c>
      <c r="G846" t="s">
        <v>14</v>
      </c>
      <c r="H846" t="s">
        <v>14</v>
      </c>
      <c r="I846" t="s">
        <v>15</v>
      </c>
      <c r="J846">
        <v>75.599999999999994</v>
      </c>
      <c r="K846">
        <v>80.2</v>
      </c>
      <c r="L846" t="s">
        <v>20</v>
      </c>
    </row>
    <row r="847" spans="1:12" x14ac:dyDescent="0.35">
      <c r="A847">
        <v>846</v>
      </c>
      <c r="B847" t="s">
        <v>12</v>
      </c>
      <c r="C847">
        <v>1.4</v>
      </c>
      <c r="D847">
        <v>92.9</v>
      </c>
      <c r="E847">
        <v>4.4000000000000004</v>
      </c>
      <c r="F847" t="s">
        <v>13</v>
      </c>
      <c r="G847" t="s">
        <v>14</v>
      </c>
      <c r="H847" t="s">
        <v>15</v>
      </c>
      <c r="I847" t="s">
        <v>14</v>
      </c>
      <c r="J847">
        <v>93.7</v>
      </c>
      <c r="K847">
        <v>80.3</v>
      </c>
      <c r="L847" t="s">
        <v>20</v>
      </c>
    </row>
    <row r="848" spans="1:12" x14ac:dyDescent="0.35">
      <c r="A848">
        <v>847</v>
      </c>
      <c r="B848" t="s">
        <v>17</v>
      </c>
      <c r="C848">
        <v>3.4</v>
      </c>
      <c r="D848">
        <v>65.3</v>
      </c>
      <c r="E848">
        <v>5.5</v>
      </c>
      <c r="F848" t="s">
        <v>13</v>
      </c>
      <c r="G848" t="s">
        <v>14</v>
      </c>
      <c r="H848" t="s">
        <v>15</v>
      </c>
      <c r="I848" t="s">
        <v>15</v>
      </c>
      <c r="J848">
        <v>75.599999999999994</v>
      </c>
      <c r="K848">
        <v>69.8</v>
      </c>
      <c r="L848" t="s">
        <v>21</v>
      </c>
    </row>
    <row r="849" spans="1:12" x14ac:dyDescent="0.35">
      <c r="A849">
        <v>848</v>
      </c>
      <c r="B849" t="s">
        <v>17</v>
      </c>
      <c r="C849">
        <v>7.4</v>
      </c>
      <c r="D849">
        <v>93.9</v>
      </c>
      <c r="E849">
        <v>9.1</v>
      </c>
      <c r="F849" t="s">
        <v>18</v>
      </c>
      <c r="G849" t="s">
        <v>15</v>
      </c>
      <c r="H849" t="s">
        <v>15</v>
      </c>
      <c r="I849" t="s">
        <v>15</v>
      </c>
      <c r="J849">
        <v>77.3</v>
      </c>
      <c r="K849">
        <v>100</v>
      </c>
      <c r="L849" t="s">
        <v>16</v>
      </c>
    </row>
    <row r="850" spans="1:12" x14ac:dyDescent="0.35">
      <c r="A850">
        <v>849</v>
      </c>
      <c r="B850" t="s">
        <v>12</v>
      </c>
      <c r="C850">
        <v>2.2999999999999998</v>
      </c>
      <c r="D850">
        <v>72.900000000000006</v>
      </c>
      <c r="E850">
        <v>5.3</v>
      </c>
      <c r="F850" t="s">
        <v>23</v>
      </c>
      <c r="G850" t="s">
        <v>14</v>
      </c>
      <c r="H850" t="s">
        <v>15</v>
      </c>
      <c r="I850" t="s">
        <v>15</v>
      </c>
      <c r="J850">
        <v>76.900000000000006</v>
      </c>
      <c r="K850">
        <v>80.8</v>
      </c>
      <c r="L850" t="s">
        <v>20</v>
      </c>
    </row>
    <row r="851" spans="1:12" x14ac:dyDescent="0.35">
      <c r="A851">
        <v>850</v>
      </c>
      <c r="B851" t="s">
        <v>17</v>
      </c>
      <c r="C851">
        <v>6</v>
      </c>
      <c r="D851">
        <v>92.3</v>
      </c>
      <c r="E851">
        <v>7</v>
      </c>
      <c r="F851" t="s">
        <v>19</v>
      </c>
      <c r="G851" t="s">
        <v>14</v>
      </c>
      <c r="H851" t="s">
        <v>14</v>
      </c>
      <c r="I851" t="s">
        <v>14</v>
      </c>
      <c r="J851">
        <v>74.8</v>
      </c>
      <c r="K851">
        <v>100</v>
      </c>
      <c r="L851" t="s">
        <v>16</v>
      </c>
    </row>
    <row r="852" spans="1:12" x14ac:dyDescent="0.35">
      <c r="A852">
        <v>851</v>
      </c>
      <c r="B852" t="s">
        <v>12</v>
      </c>
      <c r="C852">
        <v>6</v>
      </c>
      <c r="D852">
        <v>85.1</v>
      </c>
      <c r="E852">
        <v>8</v>
      </c>
      <c r="F852" t="s">
        <v>13</v>
      </c>
      <c r="G852" t="s">
        <v>14</v>
      </c>
      <c r="H852" t="s">
        <v>15</v>
      </c>
      <c r="I852" t="s">
        <v>14</v>
      </c>
      <c r="J852">
        <v>81.2</v>
      </c>
      <c r="K852">
        <v>99.5</v>
      </c>
      <c r="L852" t="s">
        <v>16</v>
      </c>
    </row>
    <row r="853" spans="1:12" x14ac:dyDescent="0.35">
      <c r="A853">
        <v>852</v>
      </c>
      <c r="B853" t="s">
        <v>17</v>
      </c>
      <c r="C853">
        <v>2.7</v>
      </c>
      <c r="D853">
        <v>75.5</v>
      </c>
      <c r="E853">
        <v>5.3</v>
      </c>
      <c r="F853" t="s">
        <v>18</v>
      </c>
      <c r="G853" t="s">
        <v>14</v>
      </c>
      <c r="H853" t="s">
        <v>14</v>
      </c>
      <c r="I853" t="s">
        <v>15</v>
      </c>
      <c r="J853">
        <v>74.7</v>
      </c>
      <c r="K853">
        <v>80.7</v>
      </c>
      <c r="L853" t="s">
        <v>20</v>
      </c>
    </row>
    <row r="854" spans="1:12" x14ac:dyDescent="0.35">
      <c r="A854">
        <v>853</v>
      </c>
      <c r="B854" t="s">
        <v>12</v>
      </c>
      <c r="C854">
        <v>4.4000000000000004</v>
      </c>
      <c r="D854">
        <v>80.900000000000006</v>
      </c>
      <c r="E854">
        <v>7</v>
      </c>
      <c r="F854" t="s">
        <v>13</v>
      </c>
      <c r="G854" t="s">
        <v>14</v>
      </c>
      <c r="H854" t="s">
        <v>15</v>
      </c>
      <c r="I854" t="s">
        <v>15</v>
      </c>
      <c r="J854">
        <v>66.2</v>
      </c>
      <c r="K854">
        <v>86.6</v>
      </c>
      <c r="L854" t="s">
        <v>20</v>
      </c>
    </row>
    <row r="855" spans="1:12" x14ac:dyDescent="0.35">
      <c r="A855">
        <v>854</v>
      </c>
      <c r="B855" t="s">
        <v>12</v>
      </c>
      <c r="C855">
        <v>5.9</v>
      </c>
      <c r="D855">
        <v>91.9</v>
      </c>
      <c r="E855">
        <v>7.9</v>
      </c>
      <c r="F855" t="s">
        <v>23</v>
      </c>
      <c r="G855" t="s">
        <v>15</v>
      </c>
      <c r="H855" t="s">
        <v>14</v>
      </c>
      <c r="I855" t="s">
        <v>15</v>
      </c>
      <c r="J855">
        <v>60.4</v>
      </c>
      <c r="K855">
        <v>98.8</v>
      </c>
      <c r="L855" t="s">
        <v>16</v>
      </c>
    </row>
    <row r="856" spans="1:12" x14ac:dyDescent="0.35">
      <c r="A856">
        <v>855</v>
      </c>
      <c r="B856" t="s">
        <v>12</v>
      </c>
      <c r="C856">
        <v>2.9</v>
      </c>
      <c r="D856">
        <v>86.1</v>
      </c>
      <c r="E856">
        <v>6.8</v>
      </c>
      <c r="F856" t="s">
        <v>13</v>
      </c>
      <c r="G856" t="s">
        <v>14</v>
      </c>
      <c r="H856" t="s">
        <v>15</v>
      </c>
      <c r="I856" t="s">
        <v>15</v>
      </c>
      <c r="J856">
        <v>67</v>
      </c>
      <c r="K856">
        <v>81.900000000000006</v>
      </c>
      <c r="L856" t="s">
        <v>20</v>
      </c>
    </row>
    <row r="857" spans="1:12" x14ac:dyDescent="0.35">
      <c r="A857">
        <v>856</v>
      </c>
      <c r="B857" t="s">
        <v>12</v>
      </c>
      <c r="C857">
        <v>3.2</v>
      </c>
      <c r="D857">
        <v>90.8</v>
      </c>
      <c r="E857">
        <v>10</v>
      </c>
      <c r="F857" t="s">
        <v>24</v>
      </c>
      <c r="G857" t="s">
        <v>14</v>
      </c>
      <c r="H857" t="s">
        <v>15</v>
      </c>
      <c r="I857" t="s">
        <v>14</v>
      </c>
      <c r="J857">
        <v>73.8</v>
      </c>
      <c r="K857">
        <v>79</v>
      </c>
      <c r="L857" t="s">
        <v>22</v>
      </c>
    </row>
    <row r="858" spans="1:12" x14ac:dyDescent="0.35">
      <c r="A858">
        <v>857</v>
      </c>
      <c r="B858" t="s">
        <v>12</v>
      </c>
      <c r="C858">
        <v>2.6</v>
      </c>
      <c r="D858">
        <v>100</v>
      </c>
      <c r="E858">
        <v>4.8</v>
      </c>
      <c r="F858" t="s">
        <v>13</v>
      </c>
      <c r="G858" t="s">
        <v>14</v>
      </c>
      <c r="H858" t="s">
        <v>15</v>
      </c>
      <c r="I858" t="s">
        <v>15</v>
      </c>
      <c r="J858">
        <v>66.2</v>
      </c>
      <c r="K858">
        <v>91.7</v>
      </c>
      <c r="L858" t="s">
        <v>16</v>
      </c>
    </row>
    <row r="859" spans="1:12" x14ac:dyDescent="0.35">
      <c r="A859">
        <v>858</v>
      </c>
      <c r="B859" t="s">
        <v>12</v>
      </c>
      <c r="C859">
        <v>2</v>
      </c>
      <c r="D859">
        <v>69.400000000000006</v>
      </c>
      <c r="E859">
        <v>8.1</v>
      </c>
      <c r="F859" t="s">
        <v>24</v>
      </c>
      <c r="G859" t="s">
        <v>14</v>
      </c>
      <c r="H859" t="s">
        <v>14</v>
      </c>
      <c r="I859" t="s">
        <v>15</v>
      </c>
      <c r="J859">
        <v>73.8</v>
      </c>
      <c r="K859">
        <v>78.8</v>
      </c>
      <c r="L859" t="s">
        <v>22</v>
      </c>
    </row>
    <row r="860" spans="1:12" x14ac:dyDescent="0.35">
      <c r="A860">
        <v>859</v>
      </c>
      <c r="B860" t="s">
        <v>17</v>
      </c>
      <c r="C860">
        <v>2.5</v>
      </c>
      <c r="D860">
        <v>100</v>
      </c>
      <c r="E860">
        <v>6.6</v>
      </c>
      <c r="F860" t="s">
        <v>13</v>
      </c>
      <c r="G860" t="s">
        <v>14</v>
      </c>
      <c r="H860" t="s">
        <v>14</v>
      </c>
      <c r="I860" t="s">
        <v>15</v>
      </c>
      <c r="J860">
        <v>75.3</v>
      </c>
      <c r="K860">
        <v>84.8</v>
      </c>
      <c r="L860" t="s">
        <v>20</v>
      </c>
    </row>
    <row r="861" spans="1:12" x14ac:dyDescent="0.35">
      <c r="A861">
        <v>860</v>
      </c>
      <c r="B861" t="s">
        <v>12</v>
      </c>
      <c r="C861">
        <v>1.7</v>
      </c>
      <c r="D861">
        <v>86</v>
      </c>
      <c r="E861">
        <v>7.7</v>
      </c>
      <c r="F861" t="s">
        <v>18</v>
      </c>
      <c r="G861" t="s">
        <v>15</v>
      </c>
      <c r="H861" t="s">
        <v>15</v>
      </c>
      <c r="I861" t="s">
        <v>14</v>
      </c>
      <c r="J861">
        <v>80</v>
      </c>
      <c r="K861">
        <v>66.5</v>
      </c>
      <c r="L861" t="s">
        <v>21</v>
      </c>
    </row>
    <row r="862" spans="1:12" x14ac:dyDescent="0.35">
      <c r="A862">
        <v>861</v>
      </c>
      <c r="B862" t="s">
        <v>17</v>
      </c>
      <c r="C862">
        <v>3.6</v>
      </c>
      <c r="D862">
        <v>76</v>
      </c>
      <c r="E862">
        <v>7.3</v>
      </c>
      <c r="F862" t="s">
        <v>18</v>
      </c>
      <c r="G862" t="s">
        <v>14</v>
      </c>
      <c r="H862" t="s">
        <v>15</v>
      </c>
      <c r="I862" t="s">
        <v>15</v>
      </c>
      <c r="J862">
        <v>85.4</v>
      </c>
      <c r="K862">
        <v>91.1</v>
      </c>
      <c r="L862" t="s">
        <v>16</v>
      </c>
    </row>
    <row r="863" spans="1:12" x14ac:dyDescent="0.35">
      <c r="A863">
        <v>862</v>
      </c>
      <c r="B863" t="s">
        <v>12</v>
      </c>
      <c r="C863">
        <v>2.2999999999999998</v>
      </c>
      <c r="D863">
        <v>71.7</v>
      </c>
      <c r="E863">
        <v>5.9</v>
      </c>
      <c r="F863" t="s">
        <v>18</v>
      </c>
      <c r="G863" t="s">
        <v>14</v>
      </c>
      <c r="H863" t="s">
        <v>14</v>
      </c>
      <c r="I863" t="s">
        <v>15</v>
      </c>
      <c r="J863">
        <v>70.900000000000006</v>
      </c>
      <c r="K863">
        <v>74.2</v>
      </c>
      <c r="L863" t="s">
        <v>22</v>
      </c>
    </row>
    <row r="864" spans="1:12" x14ac:dyDescent="0.35">
      <c r="A864">
        <v>863</v>
      </c>
      <c r="B864" t="s">
        <v>17</v>
      </c>
      <c r="C864">
        <v>3.9</v>
      </c>
      <c r="D864">
        <v>83.1</v>
      </c>
      <c r="E864">
        <v>7.1</v>
      </c>
      <c r="F864" t="s">
        <v>19</v>
      </c>
      <c r="G864" t="s">
        <v>14</v>
      </c>
      <c r="H864" t="s">
        <v>15</v>
      </c>
      <c r="I864" t="s">
        <v>14</v>
      </c>
      <c r="J864">
        <v>54.3</v>
      </c>
      <c r="K864">
        <v>86.3</v>
      </c>
      <c r="L864" t="s">
        <v>20</v>
      </c>
    </row>
    <row r="865" spans="1:12" x14ac:dyDescent="0.35">
      <c r="A865">
        <v>864</v>
      </c>
      <c r="B865" t="s">
        <v>17</v>
      </c>
      <c r="C865">
        <v>1.2</v>
      </c>
      <c r="D865">
        <v>94.2</v>
      </c>
      <c r="E865">
        <v>4.5999999999999996</v>
      </c>
      <c r="F865" t="s">
        <v>23</v>
      </c>
      <c r="G865" t="s">
        <v>14</v>
      </c>
      <c r="H865" t="s">
        <v>15</v>
      </c>
      <c r="I865" t="s">
        <v>15</v>
      </c>
      <c r="J865">
        <v>65.900000000000006</v>
      </c>
      <c r="K865">
        <v>71.2</v>
      </c>
      <c r="L865" t="s">
        <v>22</v>
      </c>
    </row>
    <row r="866" spans="1:12" x14ac:dyDescent="0.35">
      <c r="A866">
        <v>865</v>
      </c>
      <c r="B866" t="s">
        <v>17</v>
      </c>
      <c r="C866">
        <v>4</v>
      </c>
      <c r="D866">
        <v>83.7</v>
      </c>
      <c r="E866">
        <v>7.5</v>
      </c>
      <c r="F866" t="s">
        <v>23</v>
      </c>
      <c r="G866" t="s">
        <v>14</v>
      </c>
      <c r="H866" t="s">
        <v>14</v>
      </c>
      <c r="I866" t="s">
        <v>15</v>
      </c>
      <c r="J866">
        <v>70.5</v>
      </c>
      <c r="K866">
        <v>83.5</v>
      </c>
      <c r="L866" t="s">
        <v>20</v>
      </c>
    </row>
    <row r="867" spans="1:12" x14ac:dyDescent="0.35">
      <c r="A867">
        <v>866</v>
      </c>
      <c r="B867" t="s">
        <v>12</v>
      </c>
      <c r="C867">
        <v>4.8</v>
      </c>
      <c r="D867">
        <v>100</v>
      </c>
      <c r="E867">
        <v>7.2</v>
      </c>
      <c r="F867" t="s">
        <v>18</v>
      </c>
      <c r="G867" t="s">
        <v>14</v>
      </c>
      <c r="H867" t="s">
        <v>15</v>
      </c>
      <c r="I867" t="s">
        <v>14</v>
      </c>
      <c r="J867">
        <v>48</v>
      </c>
      <c r="K867">
        <v>89.8</v>
      </c>
      <c r="L867" t="s">
        <v>20</v>
      </c>
    </row>
    <row r="868" spans="1:12" x14ac:dyDescent="0.35">
      <c r="A868">
        <v>867</v>
      </c>
      <c r="B868" t="s">
        <v>12</v>
      </c>
      <c r="C868">
        <v>0.5</v>
      </c>
      <c r="D868">
        <v>70.5</v>
      </c>
      <c r="E868">
        <v>7.6</v>
      </c>
      <c r="F868" t="s">
        <v>18</v>
      </c>
      <c r="G868" t="s">
        <v>14</v>
      </c>
      <c r="H868" t="s">
        <v>14</v>
      </c>
      <c r="I868" t="s">
        <v>15</v>
      </c>
      <c r="J868">
        <v>86.7</v>
      </c>
      <c r="K868">
        <v>80.3</v>
      </c>
      <c r="L868" t="s">
        <v>20</v>
      </c>
    </row>
    <row r="869" spans="1:12" x14ac:dyDescent="0.35">
      <c r="A869">
        <v>868</v>
      </c>
      <c r="B869" t="s">
        <v>17</v>
      </c>
      <c r="C869">
        <v>4.0999999999999996</v>
      </c>
      <c r="D869">
        <v>84.9</v>
      </c>
      <c r="E869">
        <v>8.1</v>
      </c>
      <c r="F869" t="s">
        <v>23</v>
      </c>
      <c r="G869" t="s">
        <v>14</v>
      </c>
      <c r="H869" t="s">
        <v>14</v>
      </c>
      <c r="I869" t="s">
        <v>15</v>
      </c>
      <c r="J869">
        <v>71.7</v>
      </c>
      <c r="K869">
        <v>91.6</v>
      </c>
      <c r="L869" t="s">
        <v>16</v>
      </c>
    </row>
    <row r="870" spans="1:12" x14ac:dyDescent="0.35">
      <c r="A870">
        <v>869</v>
      </c>
      <c r="B870" t="s">
        <v>12</v>
      </c>
      <c r="C870">
        <v>5.3</v>
      </c>
      <c r="D870">
        <v>72.5</v>
      </c>
      <c r="E870">
        <v>7.2</v>
      </c>
      <c r="F870" t="s">
        <v>13</v>
      </c>
      <c r="G870" t="s">
        <v>14</v>
      </c>
      <c r="H870" t="s">
        <v>14</v>
      </c>
      <c r="I870" t="s">
        <v>15</v>
      </c>
      <c r="J870">
        <v>74.599999999999994</v>
      </c>
      <c r="K870">
        <v>95.8</v>
      </c>
      <c r="L870" t="s">
        <v>16</v>
      </c>
    </row>
    <row r="871" spans="1:12" x14ac:dyDescent="0.35">
      <c r="A871">
        <v>870</v>
      </c>
      <c r="B871" t="s">
        <v>17</v>
      </c>
      <c r="C871">
        <v>1.7</v>
      </c>
      <c r="D871">
        <v>88.6</v>
      </c>
      <c r="E871">
        <v>7</v>
      </c>
      <c r="F871" t="s">
        <v>18</v>
      </c>
      <c r="G871" t="s">
        <v>14</v>
      </c>
      <c r="H871" t="s">
        <v>15</v>
      </c>
      <c r="I871" t="s">
        <v>15</v>
      </c>
      <c r="J871">
        <v>86.4</v>
      </c>
      <c r="K871">
        <v>84.4</v>
      </c>
      <c r="L871" t="s">
        <v>20</v>
      </c>
    </row>
    <row r="872" spans="1:12" x14ac:dyDescent="0.35">
      <c r="A872">
        <v>871</v>
      </c>
      <c r="B872" t="s">
        <v>12</v>
      </c>
      <c r="C872">
        <v>6</v>
      </c>
      <c r="D872">
        <v>93.9</v>
      </c>
      <c r="E872">
        <v>5.7</v>
      </c>
      <c r="F872" t="s">
        <v>13</v>
      </c>
      <c r="G872" t="s">
        <v>14</v>
      </c>
      <c r="H872" t="s">
        <v>15</v>
      </c>
      <c r="I872" t="s">
        <v>15</v>
      </c>
      <c r="J872">
        <v>62.4</v>
      </c>
      <c r="K872">
        <v>96.1</v>
      </c>
      <c r="L872" t="s">
        <v>16</v>
      </c>
    </row>
    <row r="873" spans="1:12" x14ac:dyDescent="0.35">
      <c r="A873">
        <v>872</v>
      </c>
      <c r="B873" t="s">
        <v>17</v>
      </c>
      <c r="C873">
        <v>4.0999999999999996</v>
      </c>
      <c r="D873">
        <v>80.8</v>
      </c>
      <c r="E873">
        <v>5.9</v>
      </c>
      <c r="F873" t="s">
        <v>18</v>
      </c>
      <c r="G873" t="s">
        <v>14</v>
      </c>
      <c r="H873" t="s">
        <v>14</v>
      </c>
      <c r="I873" t="s">
        <v>14</v>
      </c>
      <c r="J873">
        <v>76.900000000000006</v>
      </c>
      <c r="K873">
        <v>92.6</v>
      </c>
      <c r="L873" t="s">
        <v>16</v>
      </c>
    </row>
    <row r="874" spans="1:12" x14ac:dyDescent="0.35">
      <c r="A874">
        <v>873</v>
      </c>
      <c r="B874" t="s">
        <v>17</v>
      </c>
      <c r="C874">
        <v>2.4</v>
      </c>
      <c r="D874">
        <v>59</v>
      </c>
      <c r="E874">
        <v>8.1999999999999993</v>
      </c>
      <c r="F874" t="s">
        <v>18</v>
      </c>
      <c r="G874" t="s">
        <v>14</v>
      </c>
      <c r="H874" t="s">
        <v>15</v>
      </c>
      <c r="I874" t="s">
        <v>15</v>
      </c>
      <c r="J874">
        <v>68.7</v>
      </c>
      <c r="K874">
        <v>75.5</v>
      </c>
      <c r="L874" t="s">
        <v>22</v>
      </c>
    </row>
    <row r="875" spans="1:12" x14ac:dyDescent="0.35">
      <c r="A875">
        <v>874</v>
      </c>
      <c r="B875" t="s">
        <v>12</v>
      </c>
      <c r="C875">
        <v>3.4</v>
      </c>
      <c r="D875">
        <v>87</v>
      </c>
      <c r="E875">
        <v>8.5</v>
      </c>
      <c r="F875" t="s">
        <v>13</v>
      </c>
      <c r="G875" t="s">
        <v>14</v>
      </c>
      <c r="H875" t="s">
        <v>15</v>
      </c>
      <c r="I875" t="s">
        <v>15</v>
      </c>
      <c r="J875">
        <v>67.8</v>
      </c>
      <c r="K875">
        <v>85.1</v>
      </c>
      <c r="L875" t="s">
        <v>20</v>
      </c>
    </row>
    <row r="876" spans="1:12" x14ac:dyDescent="0.35">
      <c r="A876">
        <v>875</v>
      </c>
      <c r="B876" t="s">
        <v>17</v>
      </c>
      <c r="C876">
        <v>4.3</v>
      </c>
      <c r="D876">
        <v>89.4</v>
      </c>
      <c r="E876">
        <v>6.5</v>
      </c>
      <c r="F876" t="s">
        <v>18</v>
      </c>
      <c r="G876" t="s">
        <v>14</v>
      </c>
      <c r="H876" t="s">
        <v>15</v>
      </c>
      <c r="I876" t="s">
        <v>15</v>
      </c>
      <c r="J876">
        <v>60.7</v>
      </c>
      <c r="K876">
        <v>93.8</v>
      </c>
      <c r="L876" t="s">
        <v>16</v>
      </c>
    </row>
    <row r="877" spans="1:12" x14ac:dyDescent="0.35">
      <c r="A877">
        <v>876</v>
      </c>
      <c r="B877" t="s">
        <v>12</v>
      </c>
      <c r="C877">
        <v>3.6</v>
      </c>
      <c r="D877">
        <v>89</v>
      </c>
      <c r="E877">
        <v>6.9</v>
      </c>
      <c r="F877" t="s">
        <v>19</v>
      </c>
      <c r="G877" t="s">
        <v>14</v>
      </c>
      <c r="H877" t="s">
        <v>14</v>
      </c>
      <c r="I877" t="s">
        <v>15</v>
      </c>
      <c r="J877">
        <v>90</v>
      </c>
      <c r="K877">
        <v>81.400000000000006</v>
      </c>
      <c r="L877" t="s">
        <v>20</v>
      </c>
    </row>
    <row r="878" spans="1:12" x14ac:dyDescent="0.35">
      <c r="A878">
        <v>877</v>
      </c>
      <c r="B878" t="s">
        <v>17</v>
      </c>
      <c r="C878">
        <v>4.3</v>
      </c>
      <c r="D878">
        <v>97.4</v>
      </c>
      <c r="E878">
        <v>5.7</v>
      </c>
      <c r="F878" t="s">
        <v>18</v>
      </c>
      <c r="G878" t="s">
        <v>14</v>
      </c>
      <c r="H878" t="s">
        <v>15</v>
      </c>
      <c r="I878" t="s">
        <v>14</v>
      </c>
      <c r="J878">
        <v>65.5</v>
      </c>
      <c r="K878">
        <v>98.8</v>
      </c>
      <c r="L878" t="s">
        <v>16</v>
      </c>
    </row>
    <row r="879" spans="1:12" x14ac:dyDescent="0.35">
      <c r="A879">
        <v>878</v>
      </c>
      <c r="B879" t="s">
        <v>17</v>
      </c>
      <c r="C879">
        <v>2.1</v>
      </c>
      <c r="D879">
        <v>74.3</v>
      </c>
      <c r="E879">
        <v>8.1999999999999993</v>
      </c>
      <c r="F879" t="s">
        <v>18</v>
      </c>
      <c r="G879" t="s">
        <v>15</v>
      </c>
      <c r="H879" t="s">
        <v>14</v>
      </c>
      <c r="I879" t="s">
        <v>15</v>
      </c>
      <c r="J879">
        <v>78.400000000000006</v>
      </c>
      <c r="K879">
        <v>65.400000000000006</v>
      </c>
      <c r="L879" t="s">
        <v>21</v>
      </c>
    </row>
    <row r="880" spans="1:12" x14ac:dyDescent="0.35">
      <c r="A880">
        <v>879</v>
      </c>
      <c r="B880" t="s">
        <v>12</v>
      </c>
      <c r="C880">
        <v>3.8</v>
      </c>
      <c r="D880">
        <v>91.8</v>
      </c>
      <c r="E880">
        <v>7.6</v>
      </c>
      <c r="F880" t="s">
        <v>18</v>
      </c>
      <c r="G880" t="s">
        <v>14</v>
      </c>
      <c r="H880" t="s">
        <v>14</v>
      </c>
      <c r="I880" t="s">
        <v>15</v>
      </c>
      <c r="J880">
        <v>47.5</v>
      </c>
      <c r="K880">
        <v>77.599999999999994</v>
      </c>
      <c r="L880" t="s">
        <v>22</v>
      </c>
    </row>
    <row r="881" spans="1:12" x14ac:dyDescent="0.35">
      <c r="A881">
        <v>880</v>
      </c>
      <c r="B881" t="s">
        <v>12</v>
      </c>
      <c r="C881">
        <v>1.4</v>
      </c>
      <c r="D881">
        <v>96.9</v>
      </c>
      <c r="E881">
        <v>9.1</v>
      </c>
      <c r="F881" t="s">
        <v>23</v>
      </c>
      <c r="G881" t="s">
        <v>14</v>
      </c>
      <c r="H881" t="s">
        <v>14</v>
      </c>
      <c r="I881" t="s">
        <v>14</v>
      </c>
      <c r="J881">
        <v>84.2</v>
      </c>
      <c r="K881">
        <v>85.6</v>
      </c>
      <c r="L881" t="s">
        <v>20</v>
      </c>
    </row>
    <row r="882" spans="1:12" x14ac:dyDescent="0.35">
      <c r="A882">
        <v>881</v>
      </c>
      <c r="B882" t="s">
        <v>12</v>
      </c>
      <c r="C882">
        <v>3.3</v>
      </c>
      <c r="D882">
        <v>67.2</v>
      </c>
      <c r="E882">
        <v>5.7</v>
      </c>
      <c r="F882" t="s">
        <v>13</v>
      </c>
      <c r="G882" t="s">
        <v>14</v>
      </c>
      <c r="H882" t="s">
        <v>14</v>
      </c>
      <c r="I882" t="s">
        <v>15</v>
      </c>
      <c r="J882">
        <v>82.6</v>
      </c>
      <c r="K882">
        <v>81.400000000000006</v>
      </c>
      <c r="L882" t="s">
        <v>20</v>
      </c>
    </row>
    <row r="883" spans="1:12" x14ac:dyDescent="0.35">
      <c r="A883">
        <v>882</v>
      </c>
      <c r="B883" t="s">
        <v>17</v>
      </c>
      <c r="C883">
        <v>2.1</v>
      </c>
      <c r="D883">
        <v>88.2</v>
      </c>
      <c r="E883">
        <v>6.3</v>
      </c>
      <c r="F883" t="s">
        <v>13</v>
      </c>
      <c r="G883" t="s">
        <v>14</v>
      </c>
      <c r="H883" t="s">
        <v>15</v>
      </c>
      <c r="I883" t="s">
        <v>15</v>
      </c>
      <c r="J883">
        <v>71.2</v>
      </c>
      <c r="K883">
        <v>85.4</v>
      </c>
      <c r="L883" t="s">
        <v>20</v>
      </c>
    </row>
    <row r="884" spans="1:12" x14ac:dyDescent="0.35">
      <c r="A884">
        <v>883</v>
      </c>
      <c r="B884" t="s">
        <v>12</v>
      </c>
      <c r="C884">
        <v>2.4</v>
      </c>
      <c r="D884">
        <v>80</v>
      </c>
      <c r="E884">
        <v>7.1</v>
      </c>
      <c r="F884" t="s">
        <v>18</v>
      </c>
      <c r="G884" t="s">
        <v>14</v>
      </c>
      <c r="H884" t="s">
        <v>14</v>
      </c>
      <c r="I884" t="s">
        <v>15</v>
      </c>
      <c r="J884">
        <v>67.3</v>
      </c>
      <c r="K884">
        <v>71.900000000000006</v>
      </c>
      <c r="L884" t="s">
        <v>22</v>
      </c>
    </row>
    <row r="885" spans="1:12" x14ac:dyDescent="0.35">
      <c r="A885">
        <v>884</v>
      </c>
      <c r="B885" t="s">
        <v>17</v>
      </c>
      <c r="C885">
        <v>5.4</v>
      </c>
      <c r="D885">
        <v>84.2</v>
      </c>
      <c r="E885">
        <v>7.6</v>
      </c>
      <c r="F885" t="s">
        <v>18</v>
      </c>
      <c r="G885" t="s">
        <v>14</v>
      </c>
      <c r="H885" t="s">
        <v>15</v>
      </c>
      <c r="I885" t="s">
        <v>14</v>
      </c>
      <c r="J885">
        <v>74.8</v>
      </c>
      <c r="K885">
        <v>94.4</v>
      </c>
      <c r="L885" t="s">
        <v>16</v>
      </c>
    </row>
    <row r="886" spans="1:12" x14ac:dyDescent="0.35">
      <c r="A886">
        <v>885</v>
      </c>
      <c r="B886" t="s">
        <v>17</v>
      </c>
      <c r="C886">
        <v>5.0999999999999996</v>
      </c>
      <c r="D886">
        <v>88.5</v>
      </c>
      <c r="E886">
        <v>6.5</v>
      </c>
      <c r="F886" t="s">
        <v>13</v>
      </c>
      <c r="G886" t="s">
        <v>14</v>
      </c>
      <c r="H886" t="s">
        <v>14</v>
      </c>
      <c r="I886" t="s">
        <v>15</v>
      </c>
      <c r="J886">
        <v>97.5</v>
      </c>
      <c r="K886">
        <v>100</v>
      </c>
      <c r="L886" t="s">
        <v>16</v>
      </c>
    </row>
    <row r="887" spans="1:12" x14ac:dyDescent="0.35">
      <c r="A887">
        <v>886</v>
      </c>
      <c r="B887" t="s">
        <v>12</v>
      </c>
      <c r="C887">
        <v>4.4000000000000004</v>
      </c>
      <c r="D887">
        <v>80.099999999999994</v>
      </c>
      <c r="E887">
        <v>5.8</v>
      </c>
      <c r="F887" t="s">
        <v>23</v>
      </c>
      <c r="G887" t="s">
        <v>14</v>
      </c>
      <c r="H887" t="s">
        <v>14</v>
      </c>
      <c r="I887" t="s">
        <v>14</v>
      </c>
      <c r="J887">
        <v>48.8</v>
      </c>
      <c r="K887">
        <v>77.099999999999994</v>
      </c>
      <c r="L887" t="s">
        <v>22</v>
      </c>
    </row>
    <row r="888" spans="1:12" x14ac:dyDescent="0.35">
      <c r="A888">
        <v>887</v>
      </c>
      <c r="B888" t="s">
        <v>12</v>
      </c>
      <c r="C888">
        <v>1.9</v>
      </c>
      <c r="D888">
        <v>78.2</v>
      </c>
      <c r="E888">
        <v>7.9</v>
      </c>
      <c r="F888" t="s">
        <v>24</v>
      </c>
      <c r="G888" t="s">
        <v>14</v>
      </c>
      <c r="H888" t="s">
        <v>15</v>
      </c>
      <c r="I888" t="s">
        <v>14</v>
      </c>
      <c r="J888">
        <v>79.400000000000006</v>
      </c>
      <c r="K888">
        <v>76.8</v>
      </c>
      <c r="L888" t="s">
        <v>22</v>
      </c>
    </row>
    <row r="889" spans="1:12" x14ac:dyDescent="0.35">
      <c r="A889">
        <v>888</v>
      </c>
      <c r="B889" t="s">
        <v>17</v>
      </c>
      <c r="C889">
        <v>3</v>
      </c>
      <c r="D889">
        <v>85.3</v>
      </c>
      <c r="E889">
        <v>7.7</v>
      </c>
      <c r="F889" t="s">
        <v>18</v>
      </c>
      <c r="G889" t="s">
        <v>14</v>
      </c>
      <c r="H889" t="s">
        <v>15</v>
      </c>
      <c r="I889" t="s">
        <v>15</v>
      </c>
      <c r="J889">
        <v>59.1</v>
      </c>
      <c r="K889">
        <v>79.8</v>
      </c>
      <c r="L889" t="s">
        <v>22</v>
      </c>
    </row>
    <row r="890" spans="1:12" x14ac:dyDescent="0.35">
      <c r="A890">
        <v>889</v>
      </c>
      <c r="B890" t="s">
        <v>17</v>
      </c>
      <c r="C890">
        <v>5.3</v>
      </c>
      <c r="D890">
        <v>74.099999999999994</v>
      </c>
      <c r="E890">
        <v>5.7</v>
      </c>
      <c r="F890" t="s">
        <v>13</v>
      </c>
      <c r="G890" t="s">
        <v>14</v>
      </c>
      <c r="H890" t="s">
        <v>14</v>
      </c>
      <c r="I890" t="s">
        <v>14</v>
      </c>
      <c r="J890">
        <v>69.8</v>
      </c>
      <c r="K890">
        <v>82.2</v>
      </c>
      <c r="L890" t="s">
        <v>20</v>
      </c>
    </row>
    <row r="891" spans="1:12" x14ac:dyDescent="0.35">
      <c r="A891">
        <v>890</v>
      </c>
      <c r="B891" t="s">
        <v>12</v>
      </c>
      <c r="C891">
        <v>3.7</v>
      </c>
      <c r="D891">
        <v>74.099999999999994</v>
      </c>
      <c r="E891">
        <v>8.4</v>
      </c>
      <c r="F891" t="s">
        <v>19</v>
      </c>
      <c r="G891" t="s">
        <v>14</v>
      </c>
      <c r="H891" t="s">
        <v>14</v>
      </c>
      <c r="I891" t="s">
        <v>14</v>
      </c>
      <c r="J891">
        <v>67</v>
      </c>
      <c r="K891">
        <v>77.400000000000006</v>
      </c>
      <c r="L891" t="s">
        <v>22</v>
      </c>
    </row>
    <row r="892" spans="1:12" x14ac:dyDescent="0.35">
      <c r="A892">
        <v>891</v>
      </c>
      <c r="B892" t="s">
        <v>12</v>
      </c>
      <c r="C892">
        <v>7</v>
      </c>
      <c r="D892">
        <v>91.8</v>
      </c>
      <c r="E892">
        <v>8.1999999999999993</v>
      </c>
      <c r="F892" t="s">
        <v>13</v>
      </c>
      <c r="G892" t="s">
        <v>14</v>
      </c>
      <c r="H892" t="s">
        <v>14</v>
      </c>
      <c r="I892" t="s">
        <v>14</v>
      </c>
      <c r="J892">
        <v>64.900000000000006</v>
      </c>
      <c r="K892">
        <v>100</v>
      </c>
      <c r="L892" t="s">
        <v>16</v>
      </c>
    </row>
    <row r="893" spans="1:12" x14ac:dyDescent="0.35">
      <c r="A893">
        <v>892</v>
      </c>
      <c r="B893" t="s">
        <v>12</v>
      </c>
      <c r="C893">
        <v>4.0999999999999996</v>
      </c>
      <c r="D893">
        <v>73.5</v>
      </c>
      <c r="E893">
        <v>7</v>
      </c>
      <c r="F893" t="s">
        <v>23</v>
      </c>
      <c r="G893" t="s">
        <v>14</v>
      </c>
      <c r="H893" t="s">
        <v>14</v>
      </c>
      <c r="I893" t="s">
        <v>14</v>
      </c>
      <c r="J893">
        <v>69.900000000000006</v>
      </c>
      <c r="K893">
        <v>87.2</v>
      </c>
      <c r="L893" t="s">
        <v>20</v>
      </c>
    </row>
    <row r="894" spans="1:12" x14ac:dyDescent="0.35">
      <c r="A894">
        <v>893</v>
      </c>
      <c r="B894" t="s">
        <v>12</v>
      </c>
      <c r="C894">
        <v>3.8</v>
      </c>
      <c r="D894">
        <v>91.7</v>
      </c>
      <c r="E894">
        <v>6.9</v>
      </c>
      <c r="F894" t="s">
        <v>18</v>
      </c>
      <c r="G894" t="s">
        <v>14</v>
      </c>
      <c r="H894" t="s">
        <v>15</v>
      </c>
      <c r="I894" t="s">
        <v>14</v>
      </c>
      <c r="J894">
        <v>56.4</v>
      </c>
      <c r="K894">
        <v>76.400000000000006</v>
      </c>
      <c r="L894" t="s">
        <v>22</v>
      </c>
    </row>
    <row r="895" spans="1:12" x14ac:dyDescent="0.35">
      <c r="A895">
        <v>894</v>
      </c>
      <c r="B895" t="s">
        <v>12</v>
      </c>
      <c r="C895">
        <v>3</v>
      </c>
      <c r="D895">
        <v>89.6</v>
      </c>
      <c r="E895">
        <v>7.5</v>
      </c>
      <c r="F895" t="s">
        <v>19</v>
      </c>
      <c r="G895" t="s">
        <v>15</v>
      </c>
      <c r="H895" t="s">
        <v>15</v>
      </c>
      <c r="I895" t="s">
        <v>15</v>
      </c>
      <c r="J895">
        <v>82.4</v>
      </c>
      <c r="K895">
        <v>79.599999999999994</v>
      </c>
      <c r="L895" t="s">
        <v>22</v>
      </c>
    </row>
    <row r="896" spans="1:12" x14ac:dyDescent="0.35">
      <c r="A896">
        <v>895</v>
      </c>
      <c r="B896" t="s">
        <v>17</v>
      </c>
      <c r="C896">
        <v>3.7</v>
      </c>
      <c r="D896">
        <v>67.7</v>
      </c>
      <c r="E896">
        <v>5.8</v>
      </c>
      <c r="F896" t="s">
        <v>23</v>
      </c>
      <c r="G896" t="s">
        <v>14</v>
      </c>
      <c r="H896" t="s">
        <v>14</v>
      </c>
      <c r="I896" t="s">
        <v>14</v>
      </c>
      <c r="J896">
        <v>48.5</v>
      </c>
      <c r="K896">
        <v>71.400000000000006</v>
      </c>
      <c r="L896" t="s">
        <v>22</v>
      </c>
    </row>
    <row r="897" spans="1:12" x14ac:dyDescent="0.35">
      <c r="A897">
        <v>896</v>
      </c>
      <c r="B897" t="s">
        <v>17</v>
      </c>
      <c r="C897">
        <v>3.3</v>
      </c>
      <c r="D897">
        <v>78.2</v>
      </c>
      <c r="E897">
        <v>6.8</v>
      </c>
      <c r="F897" t="s">
        <v>19</v>
      </c>
      <c r="G897" t="s">
        <v>14</v>
      </c>
      <c r="H897" t="s">
        <v>15</v>
      </c>
      <c r="I897" t="s">
        <v>14</v>
      </c>
      <c r="J897">
        <v>76.5</v>
      </c>
      <c r="K897">
        <v>80.8</v>
      </c>
      <c r="L897" t="s">
        <v>20</v>
      </c>
    </row>
    <row r="898" spans="1:12" x14ac:dyDescent="0.35">
      <c r="A898">
        <v>897</v>
      </c>
      <c r="B898" t="s">
        <v>17</v>
      </c>
      <c r="C898">
        <v>4.5999999999999996</v>
      </c>
      <c r="D898">
        <v>96.9</v>
      </c>
      <c r="E898">
        <v>4.2</v>
      </c>
      <c r="F898" t="s">
        <v>23</v>
      </c>
      <c r="G898" t="s">
        <v>14</v>
      </c>
      <c r="H898" t="s">
        <v>15</v>
      </c>
      <c r="I898" t="s">
        <v>14</v>
      </c>
      <c r="J898">
        <v>66.099999999999994</v>
      </c>
      <c r="K898">
        <v>91.1</v>
      </c>
      <c r="L898" t="s">
        <v>16</v>
      </c>
    </row>
    <row r="899" spans="1:12" x14ac:dyDescent="0.35">
      <c r="A899">
        <v>898</v>
      </c>
      <c r="B899" t="s">
        <v>17</v>
      </c>
      <c r="C899">
        <v>4.9000000000000004</v>
      </c>
      <c r="D899">
        <v>75.2</v>
      </c>
      <c r="E899">
        <v>7.9</v>
      </c>
      <c r="F899" t="s">
        <v>13</v>
      </c>
      <c r="G899" t="s">
        <v>14</v>
      </c>
      <c r="H899" t="s">
        <v>14</v>
      </c>
      <c r="I899" t="s">
        <v>15</v>
      </c>
      <c r="J899">
        <v>55.9</v>
      </c>
      <c r="K899">
        <v>78.8</v>
      </c>
      <c r="L899" t="s">
        <v>22</v>
      </c>
    </row>
    <row r="900" spans="1:12" x14ac:dyDescent="0.35">
      <c r="A900">
        <v>899</v>
      </c>
      <c r="B900" t="s">
        <v>12</v>
      </c>
      <c r="C900">
        <v>2.2999999999999998</v>
      </c>
      <c r="D900">
        <v>80.400000000000006</v>
      </c>
      <c r="E900">
        <v>4.9000000000000004</v>
      </c>
      <c r="F900" t="s">
        <v>19</v>
      </c>
      <c r="G900" t="s">
        <v>14</v>
      </c>
      <c r="H900" t="s">
        <v>14</v>
      </c>
      <c r="I900" t="s">
        <v>15</v>
      </c>
      <c r="J900">
        <v>72.400000000000006</v>
      </c>
      <c r="K900">
        <v>66.7</v>
      </c>
      <c r="L900" t="s">
        <v>21</v>
      </c>
    </row>
    <row r="901" spans="1:12" x14ac:dyDescent="0.35">
      <c r="A901">
        <v>900</v>
      </c>
      <c r="B901" t="s">
        <v>12</v>
      </c>
      <c r="C901">
        <v>1.5</v>
      </c>
      <c r="D901">
        <v>89.6</v>
      </c>
      <c r="E901">
        <v>8.6</v>
      </c>
      <c r="F901" t="s">
        <v>18</v>
      </c>
      <c r="G901" t="s">
        <v>14</v>
      </c>
      <c r="H901" t="s">
        <v>15</v>
      </c>
      <c r="I901" t="s">
        <v>15</v>
      </c>
      <c r="J901">
        <v>51.3</v>
      </c>
      <c r="K901">
        <v>68.8</v>
      </c>
      <c r="L901" t="s">
        <v>21</v>
      </c>
    </row>
    <row r="902" spans="1:12" x14ac:dyDescent="0.35">
      <c r="A902">
        <v>901</v>
      </c>
      <c r="B902" t="s">
        <v>12</v>
      </c>
      <c r="C902">
        <v>0.7</v>
      </c>
      <c r="D902">
        <v>92.8</v>
      </c>
      <c r="E902">
        <v>6.4</v>
      </c>
      <c r="F902" t="s">
        <v>18</v>
      </c>
      <c r="G902" t="s">
        <v>14</v>
      </c>
      <c r="H902" t="s">
        <v>15</v>
      </c>
      <c r="I902" t="s">
        <v>15</v>
      </c>
      <c r="J902">
        <v>70.5</v>
      </c>
      <c r="K902">
        <v>69.900000000000006</v>
      </c>
      <c r="L902" t="s">
        <v>21</v>
      </c>
    </row>
    <row r="903" spans="1:12" x14ac:dyDescent="0.35">
      <c r="A903">
        <v>902</v>
      </c>
      <c r="B903" t="s">
        <v>17</v>
      </c>
      <c r="C903">
        <v>4.3</v>
      </c>
      <c r="D903">
        <v>82.5</v>
      </c>
      <c r="E903">
        <v>6.5</v>
      </c>
      <c r="F903" t="s">
        <v>23</v>
      </c>
      <c r="G903" t="s">
        <v>14</v>
      </c>
      <c r="H903" t="s">
        <v>14</v>
      </c>
      <c r="I903" t="s">
        <v>15</v>
      </c>
      <c r="J903">
        <v>52.9</v>
      </c>
      <c r="K903">
        <v>80.7</v>
      </c>
      <c r="L903" t="s">
        <v>20</v>
      </c>
    </row>
    <row r="904" spans="1:12" x14ac:dyDescent="0.35">
      <c r="A904">
        <v>903</v>
      </c>
      <c r="B904" t="s">
        <v>17</v>
      </c>
      <c r="C904">
        <v>1.8</v>
      </c>
      <c r="D904">
        <v>79</v>
      </c>
      <c r="E904">
        <v>6</v>
      </c>
      <c r="F904" t="s">
        <v>23</v>
      </c>
      <c r="G904" t="s">
        <v>14</v>
      </c>
      <c r="H904" t="s">
        <v>14</v>
      </c>
      <c r="I904" t="s">
        <v>15</v>
      </c>
      <c r="J904">
        <v>75.5</v>
      </c>
      <c r="K904">
        <v>73.3</v>
      </c>
      <c r="L904" t="s">
        <v>22</v>
      </c>
    </row>
    <row r="905" spans="1:12" x14ac:dyDescent="0.35">
      <c r="A905">
        <v>904</v>
      </c>
      <c r="B905" t="s">
        <v>12</v>
      </c>
      <c r="C905">
        <v>0.5</v>
      </c>
      <c r="D905">
        <v>99.2</v>
      </c>
      <c r="E905">
        <v>6.5</v>
      </c>
      <c r="F905" t="s">
        <v>19</v>
      </c>
      <c r="G905" t="s">
        <v>15</v>
      </c>
      <c r="H905" t="s">
        <v>14</v>
      </c>
      <c r="I905" t="s">
        <v>14</v>
      </c>
      <c r="J905">
        <v>58.9</v>
      </c>
      <c r="K905">
        <v>68.8</v>
      </c>
      <c r="L905" t="s">
        <v>21</v>
      </c>
    </row>
    <row r="906" spans="1:12" x14ac:dyDescent="0.35">
      <c r="A906">
        <v>905</v>
      </c>
      <c r="B906" t="s">
        <v>12</v>
      </c>
      <c r="C906">
        <v>4.0999999999999996</v>
      </c>
      <c r="D906">
        <v>100</v>
      </c>
      <c r="E906">
        <v>8.5</v>
      </c>
      <c r="F906" t="s">
        <v>18</v>
      </c>
      <c r="G906" t="s">
        <v>14</v>
      </c>
      <c r="H906" t="s">
        <v>15</v>
      </c>
      <c r="I906" t="s">
        <v>15</v>
      </c>
      <c r="J906">
        <v>64.599999999999994</v>
      </c>
      <c r="K906">
        <v>90.8</v>
      </c>
      <c r="L906" t="s">
        <v>16</v>
      </c>
    </row>
    <row r="907" spans="1:12" x14ac:dyDescent="0.35">
      <c r="A907">
        <v>906</v>
      </c>
      <c r="B907" t="s">
        <v>17</v>
      </c>
      <c r="C907">
        <v>7.2</v>
      </c>
      <c r="D907">
        <v>94.8</v>
      </c>
      <c r="E907">
        <v>3.8</v>
      </c>
      <c r="F907" t="s">
        <v>23</v>
      </c>
      <c r="G907" t="s">
        <v>14</v>
      </c>
      <c r="H907" t="s">
        <v>14</v>
      </c>
      <c r="I907" t="s">
        <v>15</v>
      </c>
      <c r="J907">
        <v>73.5</v>
      </c>
      <c r="K907">
        <v>100</v>
      </c>
      <c r="L907" t="s">
        <v>16</v>
      </c>
    </row>
    <row r="908" spans="1:12" x14ac:dyDescent="0.35">
      <c r="A908">
        <v>907</v>
      </c>
      <c r="B908" t="s">
        <v>17</v>
      </c>
      <c r="C908">
        <v>3.5</v>
      </c>
      <c r="D908">
        <v>85.9</v>
      </c>
      <c r="E908">
        <v>8.3000000000000007</v>
      </c>
      <c r="F908" t="s">
        <v>23</v>
      </c>
      <c r="G908" t="s">
        <v>14</v>
      </c>
      <c r="H908" t="s">
        <v>14</v>
      </c>
      <c r="I908" t="s">
        <v>15</v>
      </c>
      <c r="J908">
        <v>60.7</v>
      </c>
      <c r="K908">
        <v>85</v>
      </c>
      <c r="L908" t="s">
        <v>20</v>
      </c>
    </row>
    <row r="909" spans="1:12" x14ac:dyDescent="0.35">
      <c r="A909">
        <v>908</v>
      </c>
      <c r="B909" t="s">
        <v>12</v>
      </c>
      <c r="C909">
        <v>4.8</v>
      </c>
      <c r="D909">
        <v>76.900000000000006</v>
      </c>
      <c r="E909">
        <v>7.2</v>
      </c>
      <c r="F909" t="s">
        <v>18</v>
      </c>
      <c r="G909" t="s">
        <v>14</v>
      </c>
      <c r="H909" t="s">
        <v>15</v>
      </c>
      <c r="I909" t="s">
        <v>14</v>
      </c>
      <c r="J909">
        <v>69.3</v>
      </c>
      <c r="K909">
        <v>86</v>
      </c>
      <c r="L909" t="s">
        <v>20</v>
      </c>
    </row>
    <row r="910" spans="1:12" x14ac:dyDescent="0.35">
      <c r="A910">
        <v>909</v>
      </c>
      <c r="B910" t="s">
        <v>12</v>
      </c>
      <c r="C910">
        <v>3.6</v>
      </c>
      <c r="D910">
        <v>76.7</v>
      </c>
      <c r="E910">
        <v>5.4</v>
      </c>
      <c r="F910" t="s">
        <v>13</v>
      </c>
      <c r="G910" t="s">
        <v>14</v>
      </c>
      <c r="H910" t="s">
        <v>15</v>
      </c>
      <c r="I910" t="s">
        <v>15</v>
      </c>
      <c r="J910">
        <v>51.8</v>
      </c>
      <c r="K910">
        <v>73.099999999999994</v>
      </c>
      <c r="L910" t="s">
        <v>22</v>
      </c>
    </row>
    <row r="911" spans="1:12" x14ac:dyDescent="0.35">
      <c r="A911">
        <v>910</v>
      </c>
      <c r="B911" t="s">
        <v>17</v>
      </c>
      <c r="C911">
        <v>3.4</v>
      </c>
      <c r="D911">
        <v>90.2</v>
      </c>
      <c r="E911">
        <v>5.5</v>
      </c>
      <c r="F911" t="s">
        <v>18</v>
      </c>
      <c r="G911" t="s">
        <v>14</v>
      </c>
      <c r="H911" t="s">
        <v>15</v>
      </c>
      <c r="I911" t="s">
        <v>14</v>
      </c>
      <c r="J911">
        <v>77.599999999999994</v>
      </c>
      <c r="K911">
        <v>87.6</v>
      </c>
      <c r="L911" t="s">
        <v>20</v>
      </c>
    </row>
    <row r="912" spans="1:12" x14ac:dyDescent="0.35">
      <c r="A912">
        <v>911</v>
      </c>
      <c r="B912" t="s">
        <v>12</v>
      </c>
      <c r="C912">
        <v>4.9000000000000004</v>
      </c>
      <c r="D912">
        <v>89.2</v>
      </c>
      <c r="E912">
        <v>8.8000000000000007</v>
      </c>
      <c r="F912" t="s">
        <v>18</v>
      </c>
      <c r="G912" t="s">
        <v>14</v>
      </c>
      <c r="H912" t="s">
        <v>14</v>
      </c>
      <c r="I912" t="s">
        <v>14</v>
      </c>
      <c r="J912">
        <v>91.2</v>
      </c>
      <c r="K912">
        <v>96.5</v>
      </c>
      <c r="L912" t="s">
        <v>16</v>
      </c>
    </row>
    <row r="913" spans="1:12" x14ac:dyDescent="0.35">
      <c r="A913">
        <v>912</v>
      </c>
      <c r="B913" t="s">
        <v>12</v>
      </c>
      <c r="C913">
        <v>3.1</v>
      </c>
      <c r="D913">
        <v>99</v>
      </c>
      <c r="E913">
        <v>5.7</v>
      </c>
      <c r="F913" t="s">
        <v>19</v>
      </c>
      <c r="G913" t="s">
        <v>14</v>
      </c>
      <c r="H913" t="s">
        <v>14</v>
      </c>
      <c r="I913" t="s">
        <v>15</v>
      </c>
      <c r="J913">
        <v>100</v>
      </c>
      <c r="K913">
        <v>100</v>
      </c>
      <c r="L913" t="s">
        <v>16</v>
      </c>
    </row>
    <row r="914" spans="1:12" x14ac:dyDescent="0.35">
      <c r="A914">
        <v>913</v>
      </c>
      <c r="B914" t="s">
        <v>12</v>
      </c>
      <c r="C914">
        <v>3.9</v>
      </c>
      <c r="D914">
        <v>91.5</v>
      </c>
      <c r="E914">
        <v>5.4</v>
      </c>
      <c r="F914" t="s">
        <v>13</v>
      </c>
      <c r="G914" t="s">
        <v>15</v>
      </c>
      <c r="H914" t="s">
        <v>14</v>
      </c>
      <c r="I914" t="s">
        <v>15</v>
      </c>
      <c r="J914">
        <v>71.099999999999994</v>
      </c>
      <c r="K914">
        <v>82.1</v>
      </c>
      <c r="L914" t="s">
        <v>20</v>
      </c>
    </row>
    <row r="915" spans="1:12" x14ac:dyDescent="0.35">
      <c r="A915">
        <v>914</v>
      </c>
      <c r="B915" t="s">
        <v>17</v>
      </c>
      <c r="C915">
        <v>4</v>
      </c>
      <c r="D915">
        <v>70</v>
      </c>
      <c r="E915">
        <v>8.1999999999999993</v>
      </c>
      <c r="F915" t="s">
        <v>23</v>
      </c>
      <c r="G915" t="s">
        <v>14</v>
      </c>
      <c r="H915" t="s">
        <v>14</v>
      </c>
      <c r="I915" t="s">
        <v>15</v>
      </c>
      <c r="J915">
        <v>79.5</v>
      </c>
      <c r="K915">
        <v>80.3</v>
      </c>
      <c r="L915" t="s">
        <v>20</v>
      </c>
    </row>
    <row r="916" spans="1:12" x14ac:dyDescent="0.35">
      <c r="A916">
        <v>915</v>
      </c>
      <c r="B916" t="s">
        <v>17</v>
      </c>
      <c r="C916">
        <v>2.5</v>
      </c>
      <c r="D916">
        <v>95.5</v>
      </c>
      <c r="E916">
        <v>7.2</v>
      </c>
      <c r="F916" t="s">
        <v>19</v>
      </c>
      <c r="G916" t="s">
        <v>14</v>
      </c>
      <c r="H916" t="s">
        <v>15</v>
      </c>
      <c r="I916" t="s">
        <v>15</v>
      </c>
      <c r="J916">
        <v>48.6</v>
      </c>
      <c r="K916">
        <v>76.900000000000006</v>
      </c>
      <c r="L916" t="s">
        <v>22</v>
      </c>
    </row>
    <row r="917" spans="1:12" x14ac:dyDescent="0.35">
      <c r="A917">
        <v>916</v>
      </c>
      <c r="B917" t="s">
        <v>17</v>
      </c>
      <c r="C917">
        <v>5</v>
      </c>
      <c r="D917">
        <v>75</v>
      </c>
      <c r="E917">
        <v>5.7</v>
      </c>
      <c r="F917" t="s">
        <v>13</v>
      </c>
      <c r="G917" t="s">
        <v>15</v>
      </c>
      <c r="H917" t="s">
        <v>14</v>
      </c>
      <c r="I917" t="s">
        <v>14</v>
      </c>
      <c r="J917">
        <v>88</v>
      </c>
      <c r="K917">
        <v>81.7</v>
      </c>
      <c r="L917" t="s">
        <v>20</v>
      </c>
    </row>
    <row r="918" spans="1:12" x14ac:dyDescent="0.35">
      <c r="A918">
        <v>917</v>
      </c>
      <c r="B918" t="s">
        <v>17</v>
      </c>
      <c r="C918">
        <v>3.2</v>
      </c>
      <c r="D918">
        <v>81.2</v>
      </c>
      <c r="E918">
        <v>7.1</v>
      </c>
      <c r="F918" t="s">
        <v>23</v>
      </c>
      <c r="G918" t="s">
        <v>14</v>
      </c>
      <c r="H918" t="s">
        <v>14</v>
      </c>
      <c r="I918" t="s">
        <v>14</v>
      </c>
      <c r="J918">
        <v>79.3</v>
      </c>
      <c r="K918">
        <v>88.1</v>
      </c>
      <c r="L918" t="s">
        <v>20</v>
      </c>
    </row>
    <row r="919" spans="1:12" x14ac:dyDescent="0.35">
      <c r="A919">
        <v>918</v>
      </c>
      <c r="B919" t="s">
        <v>17</v>
      </c>
      <c r="C919">
        <v>2.4</v>
      </c>
      <c r="D919">
        <v>87.5</v>
      </c>
      <c r="E919">
        <v>5.6</v>
      </c>
      <c r="F919" t="s">
        <v>13</v>
      </c>
      <c r="G919" t="s">
        <v>14</v>
      </c>
      <c r="H919" t="s">
        <v>14</v>
      </c>
      <c r="I919" t="s">
        <v>14</v>
      </c>
      <c r="J919">
        <v>64.2</v>
      </c>
      <c r="K919">
        <v>88.1</v>
      </c>
      <c r="L919" t="s">
        <v>20</v>
      </c>
    </row>
    <row r="920" spans="1:12" x14ac:dyDescent="0.35">
      <c r="A920">
        <v>919</v>
      </c>
      <c r="B920" t="s">
        <v>17</v>
      </c>
      <c r="C920">
        <v>4.3</v>
      </c>
      <c r="D920">
        <v>100</v>
      </c>
      <c r="E920">
        <v>8.1</v>
      </c>
      <c r="F920" t="s">
        <v>24</v>
      </c>
      <c r="G920" t="s">
        <v>14</v>
      </c>
      <c r="H920" t="s">
        <v>14</v>
      </c>
      <c r="I920" t="s">
        <v>15</v>
      </c>
      <c r="J920">
        <v>84.8</v>
      </c>
      <c r="K920">
        <v>97.3</v>
      </c>
      <c r="L920" t="s">
        <v>16</v>
      </c>
    </row>
    <row r="921" spans="1:12" x14ac:dyDescent="0.35">
      <c r="A921">
        <v>920</v>
      </c>
      <c r="B921" t="s">
        <v>17</v>
      </c>
      <c r="C921">
        <v>2.2000000000000002</v>
      </c>
      <c r="D921">
        <v>100</v>
      </c>
      <c r="E921">
        <v>8.1</v>
      </c>
      <c r="F921" t="s">
        <v>18</v>
      </c>
      <c r="G921" t="s">
        <v>14</v>
      </c>
      <c r="H921" t="s">
        <v>15</v>
      </c>
      <c r="I921" t="s">
        <v>14</v>
      </c>
      <c r="J921">
        <v>66.900000000000006</v>
      </c>
      <c r="K921">
        <v>83.4</v>
      </c>
      <c r="L921" t="s">
        <v>20</v>
      </c>
    </row>
    <row r="922" spans="1:12" x14ac:dyDescent="0.35">
      <c r="A922">
        <v>921</v>
      </c>
      <c r="B922" t="s">
        <v>12</v>
      </c>
      <c r="C922">
        <v>3.5</v>
      </c>
      <c r="D922">
        <v>91.1</v>
      </c>
      <c r="E922">
        <v>7.4</v>
      </c>
      <c r="F922" t="s">
        <v>19</v>
      </c>
      <c r="G922" t="s">
        <v>14</v>
      </c>
      <c r="H922" t="s">
        <v>14</v>
      </c>
      <c r="I922" t="s">
        <v>14</v>
      </c>
      <c r="J922">
        <v>64.5</v>
      </c>
      <c r="K922">
        <v>72.8</v>
      </c>
      <c r="L922" t="s">
        <v>22</v>
      </c>
    </row>
    <row r="923" spans="1:12" x14ac:dyDescent="0.35">
      <c r="A923">
        <v>922</v>
      </c>
      <c r="B923" t="s">
        <v>12</v>
      </c>
      <c r="C923">
        <v>3.5</v>
      </c>
      <c r="D923">
        <v>83.2</v>
      </c>
      <c r="E923">
        <v>7.2</v>
      </c>
      <c r="F923" t="s">
        <v>18</v>
      </c>
      <c r="G923" t="s">
        <v>14</v>
      </c>
      <c r="H923" t="s">
        <v>14</v>
      </c>
      <c r="I923" t="s">
        <v>15</v>
      </c>
      <c r="J923">
        <v>75.7</v>
      </c>
      <c r="K923">
        <v>90.5</v>
      </c>
      <c r="L923" t="s">
        <v>16</v>
      </c>
    </row>
    <row r="924" spans="1:12" x14ac:dyDescent="0.35">
      <c r="A924">
        <v>923</v>
      </c>
      <c r="B924" t="s">
        <v>12</v>
      </c>
      <c r="C924">
        <v>5.0999999999999996</v>
      </c>
      <c r="D924">
        <v>90.3</v>
      </c>
      <c r="E924">
        <v>8.9</v>
      </c>
      <c r="F924" t="s">
        <v>18</v>
      </c>
      <c r="G924" t="s">
        <v>14</v>
      </c>
      <c r="H924" t="s">
        <v>14</v>
      </c>
      <c r="I924" t="s">
        <v>14</v>
      </c>
      <c r="J924">
        <v>57.2</v>
      </c>
      <c r="K924">
        <v>83.8</v>
      </c>
      <c r="L924" t="s">
        <v>20</v>
      </c>
    </row>
    <row r="925" spans="1:12" x14ac:dyDescent="0.35">
      <c r="A925">
        <v>924</v>
      </c>
      <c r="B925" t="s">
        <v>12</v>
      </c>
      <c r="C925">
        <v>4.2</v>
      </c>
      <c r="D925">
        <v>93.9</v>
      </c>
      <c r="E925">
        <v>6.8</v>
      </c>
      <c r="F925" t="s">
        <v>23</v>
      </c>
      <c r="G925" t="s">
        <v>14</v>
      </c>
      <c r="H925" t="s">
        <v>14</v>
      </c>
      <c r="I925" t="s">
        <v>15</v>
      </c>
      <c r="J925">
        <v>82.3</v>
      </c>
      <c r="K925">
        <v>93.1</v>
      </c>
      <c r="L925" t="s">
        <v>16</v>
      </c>
    </row>
    <row r="926" spans="1:12" x14ac:dyDescent="0.35">
      <c r="A926">
        <v>925</v>
      </c>
      <c r="B926" t="s">
        <v>12</v>
      </c>
      <c r="C926">
        <v>3.5</v>
      </c>
      <c r="D926">
        <v>81.8</v>
      </c>
      <c r="E926">
        <v>5.4</v>
      </c>
      <c r="F926" t="s">
        <v>13</v>
      </c>
      <c r="G926" t="s">
        <v>14</v>
      </c>
      <c r="H926" t="s">
        <v>14</v>
      </c>
      <c r="I926" t="s">
        <v>15</v>
      </c>
      <c r="J926">
        <v>57.3</v>
      </c>
      <c r="K926">
        <v>71.2</v>
      </c>
      <c r="L926" t="s">
        <v>22</v>
      </c>
    </row>
    <row r="927" spans="1:12" x14ac:dyDescent="0.35">
      <c r="A927">
        <v>926</v>
      </c>
      <c r="B927" t="s">
        <v>12</v>
      </c>
      <c r="C927">
        <v>4.7</v>
      </c>
      <c r="D927">
        <v>100</v>
      </c>
      <c r="E927">
        <v>7.3</v>
      </c>
      <c r="F927" t="s">
        <v>13</v>
      </c>
      <c r="G927" t="s">
        <v>14</v>
      </c>
      <c r="H927" t="s">
        <v>15</v>
      </c>
      <c r="I927" t="s">
        <v>15</v>
      </c>
      <c r="J927">
        <v>57.4</v>
      </c>
      <c r="K927">
        <v>95.3</v>
      </c>
      <c r="L927" t="s">
        <v>16</v>
      </c>
    </row>
    <row r="928" spans="1:12" x14ac:dyDescent="0.35">
      <c r="A928">
        <v>927</v>
      </c>
      <c r="B928" t="s">
        <v>12</v>
      </c>
      <c r="C928">
        <v>5.6</v>
      </c>
      <c r="D928">
        <v>87.3</v>
      </c>
      <c r="E928">
        <v>9.3000000000000007</v>
      </c>
      <c r="F928" t="s">
        <v>13</v>
      </c>
      <c r="G928" t="s">
        <v>14</v>
      </c>
      <c r="H928" t="s">
        <v>15</v>
      </c>
      <c r="I928" t="s">
        <v>15</v>
      </c>
      <c r="J928">
        <v>59.1</v>
      </c>
      <c r="K928">
        <v>99.6</v>
      </c>
      <c r="L928" t="s">
        <v>16</v>
      </c>
    </row>
    <row r="929" spans="1:12" x14ac:dyDescent="0.35">
      <c r="A929">
        <v>928</v>
      </c>
      <c r="B929" t="s">
        <v>17</v>
      </c>
      <c r="C929">
        <v>4.3</v>
      </c>
      <c r="D929">
        <v>90</v>
      </c>
      <c r="E929">
        <v>5.6</v>
      </c>
      <c r="F929" t="s">
        <v>23</v>
      </c>
      <c r="G929" t="s">
        <v>14</v>
      </c>
      <c r="H929" t="s">
        <v>15</v>
      </c>
      <c r="I929" t="s">
        <v>15</v>
      </c>
      <c r="J929">
        <v>79.099999999999994</v>
      </c>
      <c r="K929">
        <v>92.4</v>
      </c>
      <c r="L929" t="s">
        <v>16</v>
      </c>
    </row>
    <row r="930" spans="1:12" x14ac:dyDescent="0.35">
      <c r="A930">
        <v>929</v>
      </c>
      <c r="B930" t="s">
        <v>17</v>
      </c>
      <c r="C930">
        <v>3.5</v>
      </c>
      <c r="D930">
        <v>91.7</v>
      </c>
      <c r="E930">
        <v>6.4</v>
      </c>
      <c r="F930" t="s">
        <v>18</v>
      </c>
      <c r="G930" t="s">
        <v>14</v>
      </c>
      <c r="H930" t="s">
        <v>15</v>
      </c>
      <c r="I930" t="s">
        <v>14</v>
      </c>
      <c r="J930">
        <v>62.6</v>
      </c>
      <c r="K930">
        <v>75.400000000000006</v>
      </c>
      <c r="L930" t="s">
        <v>22</v>
      </c>
    </row>
    <row r="931" spans="1:12" x14ac:dyDescent="0.35">
      <c r="A931">
        <v>930</v>
      </c>
      <c r="B931" t="s">
        <v>12</v>
      </c>
      <c r="C931">
        <v>1.5</v>
      </c>
      <c r="D931">
        <v>89.2</v>
      </c>
      <c r="E931">
        <v>7.3</v>
      </c>
      <c r="F931" t="s">
        <v>18</v>
      </c>
      <c r="G931" t="s">
        <v>14</v>
      </c>
      <c r="H931" t="s">
        <v>15</v>
      </c>
      <c r="I931" t="s">
        <v>15</v>
      </c>
      <c r="J931">
        <v>53.8</v>
      </c>
      <c r="K931">
        <v>80.8</v>
      </c>
      <c r="L931" t="s">
        <v>20</v>
      </c>
    </row>
    <row r="932" spans="1:12" x14ac:dyDescent="0.35">
      <c r="A932">
        <v>931</v>
      </c>
      <c r="B932" t="s">
        <v>12</v>
      </c>
      <c r="C932">
        <v>1.9</v>
      </c>
      <c r="D932">
        <v>93.4</v>
      </c>
      <c r="E932">
        <v>6.7</v>
      </c>
      <c r="F932" t="s">
        <v>18</v>
      </c>
      <c r="G932" t="s">
        <v>14</v>
      </c>
      <c r="H932" t="s">
        <v>15</v>
      </c>
      <c r="I932" t="s">
        <v>15</v>
      </c>
      <c r="J932">
        <v>62.7</v>
      </c>
      <c r="K932">
        <v>72.900000000000006</v>
      </c>
      <c r="L932" t="s">
        <v>22</v>
      </c>
    </row>
    <row r="933" spans="1:12" x14ac:dyDescent="0.35">
      <c r="A933">
        <v>932</v>
      </c>
      <c r="B933" t="s">
        <v>17</v>
      </c>
      <c r="C933">
        <v>3</v>
      </c>
      <c r="D933">
        <v>78.8</v>
      </c>
      <c r="E933">
        <v>5.6</v>
      </c>
      <c r="F933" t="s">
        <v>13</v>
      </c>
      <c r="G933" t="s">
        <v>14</v>
      </c>
      <c r="H933" t="s">
        <v>14</v>
      </c>
      <c r="I933" t="s">
        <v>14</v>
      </c>
      <c r="J933">
        <v>69.599999999999994</v>
      </c>
      <c r="K933">
        <v>63.7</v>
      </c>
      <c r="L933" t="s">
        <v>21</v>
      </c>
    </row>
    <row r="934" spans="1:12" x14ac:dyDescent="0.35">
      <c r="A934">
        <v>933</v>
      </c>
      <c r="B934" t="s">
        <v>12</v>
      </c>
      <c r="C934">
        <v>2.6</v>
      </c>
      <c r="D934">
        <v>79.400000000000006</v>
      </c>
      <c r="E934">
        <v>8.1</v>
      </c>
      <c r="F934" t="s">
        <v>18</v>
      </c>
      <c r="G934" t="s">
        <v>14</v>
      </c>
      <c r="H934" t="s">
        <v>14</v>
      </c>
      <c r="I934" t="s">
        <v>14</v>
      </c>
      <c r="J934">
        <v>55.8</v>
      </c>
      <c r="K934">
        <v>75.3</v>
      </c>
      <c r="L934" t="s">
        <v>22</v>
      </c>
    </row>
    <row r="935" spans="1:12" x14ac:dyDescent="0.35">
      <c r="A935">
        <v>934</v>
      </c>
      <c r="B935" t="s">
        <v>12</v>
      </c>
      <c r="C935">
        <v>3.2</v>
      </c>
      <c r="D935">
        <v>74</v>
      </c>
      <c r="E935">
        <v>9.6</v>
      </c>
      <c r="F935" t="s">
        <v>13</v>
      </c>
      <c r="G935" t="s">
        <v>14</v>
      </c>
      <c r="H935" t="s">
        <v>14</v>
      </c>
      <c r="I935" t="s">
        <v>15</v>
      </c>
      <c r="J935">
        <v>56.2</v>
      </c>
      <c r="K935">
        <v>71.7</v>
      </c>
      <c r="L935" t="s">
        <v>22</v>
      </c>
    </row>
    <row r="936" spans="1:12" x14ac:dyDescent="0.35">
      <c r="A936">
        <v>935</v>
      </c>
      <c r="B936" t="s">
        <v>17</v>
      </c>
      <c r="C936">
        <v>3.6</v>
      </c>
      <c r="D936">
        <v>89.4</v>
      </c>
      <c r="E936">
        <v>7</v>
      </c>
      <c r="F936" t="s">
        <v>13</v>
      </c>
      <c r="G936" t="s">
        <v>14</v>
      </c>
      <c r="H936" t="s">
        <v>15</v>
      </c>
      <c r="I936" t="s">
        <v>15</v>
      </c>
      <c r="J936">
        <v>95.3</v>
      </c>
      <c r="K936">
        <v>100</v>
      </c>
      <c r="L936" t="s">
        <v>16</v>
      </c>
    </row>
    <row r="937" spans="1:12" x14ac:dyDescent="0.35">
      <c r="A937">
        <v>936</v>
      </c>
      <c r="B937" t="s">
        <v>12</v>
      </c>
      <c r="C937">
        <v>4.3</v>
      </c>
      <c r="D937">
        <v>92.8</v>
      </c>
      <c r="E937">
        <v>5.7</v>
      </c>
      <c r="F937" t="s">
        <v>18</v>
      </c>
      <c r="G937" t="s">
        <v>14</v>
      </c>
      <c r="H937" t="s">
        <v>15</v>
      </c>
      <c r="I937" t="s">
        <v>15</v>
      </c>
      <c r="J937">
        <v>59.7</v>
      </c>
      <c r="K937">
        <v>83.3</v>
      </c>
      <c r="L937" t="s">
        <v>20</v>
      </c>
    </row>
    <row r="938" spans="1:12" x14ac:dyDescent="0.35">
      <c r="A938">
        <v>937</v>
      </c>
      <c r="B938" t="s">
        <v>17</v>
      </c>
      <c r="C938">
        <v>3.4</v>
      </c>
      <c r="D938">
        <v>89.6</v>
      </c>
      <c r="E938">
        <v>4.9000000000000004</v>
      </c>
      <c r="F938" t="s">
        <v>13</v>
      </c>
      <c r="G938" t="s">
        <v>14</v>
      </c>
      <c r="H938" t="s">
        <v>15</v>
      </c>
      <c r="I938" t="s">
        <v>15</v>
      </c>
      <c r="J938">
        <v>66.099999999999994</v>
      </c>
      <c r="K938">
        <v>85.6</v>
      </c>
      <c r="L938" t="s">
        <v>20</v>
      </c>
    </row>
    <row r="939" spans="1:12" x14ac:dyDescent="0.35">
      <c r="A939">
        <v>938</v>
      </c>
      <c r="B939" t="s">
        <v>12</v>
      </c>
      <c r="C939">
        <v>4.2</v>
      </c>
      <c r="D939">
        <v>100</v>
      </c>
      <c r="E939">
        <v>7.1</v>
      </c>
      <c r="F939" t="s">
        <v>24</v>
      </c>
      <c r="G939" t="s">
        <v>15</v>
      </c>
      <c r="H939" t="s">
        <v>14</v>
      </c>
      <c r="I939" t="s">
        <v>14</v>
      </c>
      <c r="J939">
        <v>65.599999999999994</v>
      </c>
      <c r="K939">
        <v>93.1</v>
      </c>
      <c r="L939" t="s">
        <v>16</v>
      </c>
    </row>
    <row r="940" spans="1:12" x14ac:dyDescent="0.35">
      <c r="A940">
        <v>939</v>
      </c>
      <c r="B940" t="s">
        <v>17</v>
      </c>
      <c r="C940">
        <v>3.6</v>
      </c>
      <c r="D940">
        <v>84.9</v>
      </c>
      <c r="E940">
        <v>8.1</v>
      </c>
      <c r="F940" t="s">
        <v>18</v>
      </c>
      <c r="G940" t="s">
        <v>14</v>
      </c>
      <c r="H940" t="s">
        <v>15</v>
      </c>
      <c r="I940" t="s">
        <v>15</v>
      </c>
      <c r="J940">
        <v>64.900000000000006</v>
      </c>
      <c r="K940">
        <v>77.3</v>
      </c>
      <c r="L940" t="s">
        <v>22</v>
      </c>
    </row>
    <row r="941" spans="1:12" x14ac:dyDescent="0.35">
      <c r="A941">
        <v>940</v>
      </c>
      <c r="B941" t="s">
        <v>17</v>
      </c>
      <c r="C941">
        <v>0.5</v>
      </c>
      <c r="D941">
        <v>91.7</v>
      </c>
      <c r="E941">
        <v>7.4</v>
      </c>
      <c r="F941" t="s">
        <v>13</v>
      </c>
      <c r="G941" t="s">
        <v>14</v>
      </c>
      <c r="H941" t="s">
        <v>14</v>
      </c>
      <c r="I941" t="s">
        <v>15</v>
      </c>
      <c r="J941">
        <v>77.5</v>
      </c>
      <c r="K941">
        <v>74.8</v>
      </c>
      <c r="L941" t="s">
        <v>22</v>
      </c>
    </row>
    <row r="942" spans="1:12" x14ac:dyDescent="0.35">
      <c r="A942">
        <v>941</v>
      </c>
      <c r="B942" t="s">
        <v>17</v>
      </c>
      <c r="C942">
        <v>2.1</v>
      </c>
      <c r="D942">
        <v>74.099999999999994</v>
      </c>
      <c r="E942">
        <v>6.8</v>
      </c>
      <c r="F942" t="s">
        <v>23</v>
      </c>
      <c r="G942" t="s">
        <v>14</v>
      </c>
      <c r="H942" t="s">
        <v>14</v>
      </c>
      <c r="I942" t="s">
        <v>14</v>
      </c>
      <c r="J942">
        <v>81.400000000000006</v>
      </c>
      <c r="K942">
        <v>76.7</v>
      </c>
      <c r="L942" t="s">
        <v>22</v>
      </c>
    </row>
    <row r="943" spans="1:12" x14ac:dyDescent="0.35">
      <c r="A943">
        <v>942</v>
      </c>
      <c r="B943" t="s">
        <v>12</v>
      </c>
      <c r="C943">
        <v>3.3</v>
      </c>
      <c r="D943">
        <v>81.099999999999994</v>
      </c>
      <c r="E943">
        <v>6.1</v>
      </c>
      <c r="F943" t="s">
        <v>13</v>
      </c>
      <c r="G943" t="s">
        <v>15</v>
      </c>
      <c r="H943" t="s">
        <v>14</v>
      </c>
      <c r="I943" t="s">
        <v>15</v>
      </c>
      <c r="J943">
        <v>66.3</v>
      </c>
      <c r="K943">
        <v>85.3</v>
      </c>
      <c r="L943" t="s">
        <v>20</v>
      </c>
    </row>
    <row r="944" spans="1:12" x14ac:dyDescent="0.35">
      <c r="A944">
        <v>943</v>
      </c>
      <c r="B944" t="s">
        <v>17</v>
      </c>
      <c r="C944">
        <v>1.7</v>
      </c>
      <c r="D944">
        <v>92</v>
      </c>
      <c r="E944">
        <v>5.5</v>
      </c>
      <c r="F944" t="s">
        <v>23</v>
      </c>
      <c r="G944" t="s">
        <v>14</v>
      </c>
      <c r="H944" t="s">
        <v>14</v>
      </c>
      <c r="I944" t="s">
        <v>15</v>
      </c>
      <c r="J944">
        <v>55.2</v>
      </c>
      <c r="K944">
        <v>68.599999999999994</v>
      </c>
      <c r="L944" t="s">
        <v>21</v>
      </c>
    </row>
    <row r="945" spans="1:12" x14ac:dyDescent="0.35">
      <c r="A945">
        <v>944</v>
      </c>
      <c r="B945" t="s">
        <v>12</v>
      </c>
      <c r="C945">
        <v>4.4000000000000004</v>
      </c>
      <c r="D945">
        <v>93.5</v>
      </c>
      <c r="E945">
        <v>7.8</v>
      </c>
      <c r="F945" t="s">
        <v>13</v>
      </c>
      <c r="G945" t="s">
        <v>14</v>
      </c>
      <c r="H945" t="s">
        <v>14</v>
      </c>
      <c r="I945" t="s">
        <v>15</v>
      </c>
      <c r="J945">
        <v>85.3</v>
      </c>
      <c r="K945">
        <v>96.4</v>
      </c>
      <c r="L945" t="s">
        <v>16</v>
      </c>
    </row>
    <row r="946" spans="1:12" x14ac:dyDescent="0.35">
      <c r="A946">
        <v>945</v>
      </c>
      <c r="B946" t="s">
        <v>12</v>
      </c>
      <c r="C946">
        <v>5.8</v>
      </c>
      <c r="D946">
        <v>82.1</v>
      </c>
      <c r="E946">
        <v>7.9</v>
      </c>
      <c r="F946" t="s">
        <v>13</v>
      </c>
      <c r="G946" t="s">
        <v>14</v>
      </c>
      <c r="H946" t="s">
        <v>14</v>
      </c>
      <c r="I946" t="s">
        <v>14</v>
      </c>
      <c r="J946">
        <v>68.900000000000006</v>
      </c>
      <c r="K946">
        <v>95.7</v>
      </c>
      <c r="L946" t="s">
        <v>16</v>
      </c>
    </row>
    <row r="947" spans="1:12" x14ac:dyDescent="0.35">
      <c r="A947">
        <v>946</v>
      </c>
      <c r="B947" t="s">
        <v>12</v>
      </c>
      <c r="C947">
        <v>5.3</v>
      </c>
      <c r="D947">
        <v>84.3</v>
      </c>
      <c r="E947">
        <v>4.9000000000000004</v>
      </c>
      <c r="F947" t="s">
        <v>18</v>
      </c>
      <c r="G947" t="s">
        <v>14</v>
      </c>
      <c r="H947" t="s">
        <v>14</v>
      </c>
      <c r="I947" t="s">
        <v>15</v>
      </c>
      <c r="J947">
        <v>90.8</v>
      </c>
      <c r="K947">
        <v>96.1</v>
      </c>
      <c r="L947" t="s">
        <v>16</v>
      </c>
    </row>
    <row r="948" spans="1:12" x14ac:dyDescent="0.35">
      <c r="A948">
        <v>947</v>
      </c>
      <c r="B948" t="s">
        <v>12</v>
      </c>
      <c r="C948">
        <v>3.2</v>
      </c>
      <c r="D948">
        <v>69.8</v>
      </c>
      <c r="E948">
        <v>8.6999999999999993</v>
      </c>
      <c r="F948" t="s">
        <v>23</v>
      </c>
      <c r="G948" t="s">
        <v>14</v>
      </c>
      <c r="H948" t="s">
        <v>15</v>
      </c>
      <c r="I948" t="s">
        <v>15</v>
      </c>
      <c r="J948">
        <v>43.1</v>
      </c>
      <c r="K948">
        <v>70.400000000000006</v>
      </c>
      <c r="L948" t="s">
        <v>22</v>
      </c>
    </row>
    <row r="949" spans="1:12" x14ac:dyDescent="0.35">
      <c r="A949">
        <v>948</v>
      </c>
      <c r="B949" t="s">
        <v>17</v>
      </c>
      <c r="C949">
        <v>5.7</v>
      </c>
      <c r="D949">
        <v>81.400000000000006</v>
      </c>
      <c r="E949">
        <v>7.5</v>
      </c>
      <c r="F949" t="s">
        <v>23</v>
      </c>
      <c r="G949" t="s">
        <v>14</v>
      </c>
      <c r="H949" t="s">
        <v>15</v>
      </c>
      <c r="I949" t="s">
        <v>15</v>
      </c>
      <c r="J949">
        <v>72.3</v>
      </c>
      <c r="K949">
        <v>85.8</v>
      </c>
      <c r="L949" t="s">
        <v>20</v>
      </c>
    </row>
    <row r="950" spans="1:12" x14ac:dyDescent="0.35">
      <c r="A950">
        <v>949</v>
      </c>
      <c r="B950" t="s">
        <v>17</v>
      </c>
      <c r="C950">
        <v>3.7</v>
      </c>
      <c r="D950">
        <v>93.9</v>
      </c>
      <c r="E950">
        <v>8.5</v>
      </c>
      <c r="F950" t="s">
        <v>18</v>
      </c>
      <c r="G950" t="s">
        <v>15</v>
      </c>
      <c r="H950" t="s">
        <v>15</v>
      </c>
      <c r="I950" t="s">
        <v>15</v>
      </c>
      <c r="J950">
        <v>93</v>
      </c>
      <c r="K950">
        <v>100</v>
      </c>
      <c r="L950" t="s">
        <v>16</v>
      </c>
    </row>
    <row r="951" spans="1:12" x14ac:dyDescent="0.35">
      <c r="A951">
        <v>950</v>
      </c>
      <c r="B951" t="s">
        <v>12</v>
      </c>
      <c r="C951">
        <v>3</v>
      </c>
      <c r="D951">
        <v>90.8</v>
      </c>
      <c r="E951">
        <v>5.2</v>
      </c>
      <c r="F951" t="s">
        <v>13</v>
      </c>
      <c r="G951" t="s">
        <v>15</v>
      </c>
      <c r="H951" t="s">
        <v>14</v>
      </c>
      <c r="I951" t="s">
        <v>14</v>
      </c>
      <c r="J951">
        <v>65.8</v>
      </c>
      <c r="K951">
        <v>65.8</v>
      </c>
      <c r="L951" t="s">
        <v>21</v>
      </c>
    </row>
    <row r="952" spans="1:12" x14ac:dyDescent="0.35">
      <c r="A952">
        <v>951</v>
      </c>
      <c r="B952" t="s">
        <v>12</v>
      </c>
      <c r="C952">
        <v>2.6</v>
      </c>
      <c r="D952">
        <v>90</v>
      </c>
      <c r="E952">
        <v>5.2</v>
      </c>
      <c r="F952" t="s">
        <v>19</v>
      </c>
      <c r="G952" t="s">
        <v>15</v>
      </c>
      <c r="H952" t="s">
        <v>15</v>
      </c>
      <c r="I952" t="s">
        <v>15</v>
      </c>
      <c r="J952">
        <v>67.3</v>
      </c>
      <c r="K952">
        <v>72.400000000000006</v>
      </c>
      <c r="L952" t="s">
        <v>22</v>
      </c>
    </row>
    <row r="953" spans="1:12" x14ac:dyDescent="0.35">
      <c r="A953">
        <v>952</v>
      </c>
      <c r="B953" t="s">
        <v>17</v>
      </c>
      <c r="C953">
        <v>3</v>
      </c>
      <c r="D953">
        <v>85.5</v>
      </c>
      <c r="E953">
        <v>6.6</v>
      </c>
      <c r="F953" t="s">
        <v>13</v>
      </c>
      <c r="G953" t="s">
        <v>14</v>
      </c>
      <c r="H953" t="s">
        <v>15</v>
      </c>
      <c r="I953" t="s">
        <v>15</v>
      </c>
      <c r="J953">
        <v>73.5</v>
      </c>
      <c r="K953">
        <v>83.6</v>
      </c>
      <c r="L953" t="s">
        <v>20</v>
      </c>
    </row>
    <row r="954" spans="1:12" x14ac:dyDescent="0.35">
      <c r="A954">
        <v>953</v>
      </c>
      <c r="B954" t="s">
        <v>12</v>
      </c>
      <c r="C954">
        <v>2.9</v>
      </c>
      <c r="D954">
        <v>85.1</v>
      </c>
      <c r="E954">
        <v>7.4</v>
      </c>
      <c r="F954" t="s">
        <v>13</v>
      </c>
      <c r="G954" t="s">
        <v>14</v>
      </c>
      <c r="H954" t="s">
        <v>14</v>
      </c>
      <c r="I954" t="s">
        <v>14</v>
      </c>
      <c r="J954">
        <v>63.3</v>
      </c>
      <c r="K954">
        <v>89.5</v>
      </c>
      <c r="L954" t="s">
        <v>20</v>
      </c>
    </row>
    <row r="955" spans="1:12" x14ac:dyDescent="0.35">
      <c r="A955">
        <v>954</v>
      </c>
      <c r="B955" t="s">
        <v>17</v>
      </c>
      <c r="C955">
        <v>3.8</v>
      </c>
      <c r="D955">
        <v>78.400000000000006</v>
      </c>
      <c r="E955">
        <v>9</v>
      </c>
      <c r="F955" t="s">
        <v>19</v>
      </c>
      <c r="G955" t="s">
        <v>14</v>
      </c>
      <c r="H955" t="s">
        <v>14</v>
      </c>
      <c r="I955" t="s">
        <v>15</v>
      </c>
      <c r="J955">
        <v>66.3</v>
      </c>
      <c r="K955">
        <v>77.900000000000006</v>
      </c>
      <c r="L955" t="s">
        <v>22</v>
      </c>
    </row>
    <row r="956" spans="1:12" x14ac:dyDescent="0.35">
      <c r="A956">
        <v>955</v>
      </c>
      <c r="B956" t="s">
        <v>12</v>
      </c>
      <c r="C956">
        <v>3.7</v>
      </c>
      <c r="D956">
        <v>92</v>
      </c>
      <c r="E956">
        <v>7.6</v>
      </c>
      <c r="F956" t="s">
        <v>23</v>
      </c>
      <c r="G956" t="s">
        <v>14</v>
      </c>
      <c r="H956" t="s">
        <v>14</v>
      </c>
      <c r="I956" t="s">
        <v>15</v>
      </c>
      <c r="J956">
        <v>65.900000000000006</v>
      </c>
      <c r="K956">
        <v>100</v>
      </c>
      <c r="L956" t="s">
        <v>16</v>
      </c>
    </row>
    <row r="957" spans="1:12" x14ac:dyDescent="0.35">
      <c r="A957">
        <v>956</v>
      </c>
      <c r="B957" t="s">
        <v>12</v>
      </c>
      <c r="C957">
        <v>3.5</v>
      </c>
      <c r="D957">
        <v>89.2</v>
      </c>
      <c r="E957">
        <v>6.5</v>
      </c>
      <c r="F957" t="s">
        <v>13</v>
      </c>
      <c r="G957" t="s">
        <v>14</v>
      </c>
      <c r="H957" t="s">
        <v>14</v>
      </c>
      <c r="I957" t="s">
        <v>15</v>
      </c>
      <c r="J957">
        <v>62.5</v>
      </c>
      <c r="K957">
        <v>88.3</v>
      </c>
      <c r="L957" t="s">
        <v>20</v>
      </c>
    </row>
    <row r="958" spans="1:12" x14ac:dyDescent="0.35">
      <c r="A958">
        <v>957</v>
      </c>
      <c r="B958" t="s">
        <v>17</v>
      </c>
      <c r="C958">
        <v>4.2</v>
      </c>
      <c r="D958">
        <v>89.9</v>
      </c>
      <c r="E958">
        <v>5.6</v>
      </c>
      <c r="F958" t="s">
        <v>23</v>
      </c>
      <c r="G958" t="s">
        <v>14</v>
      </c>
      <c r="H958" t="s">
        <v>15</v>
      </c>
      <c r="I958" t="s">
        <v>14</v>
      </c>
      <c r="J958">
        <v>84.7</v>
      </c>
      <c r="K958">
        <v>93.5</v>
      </c>
      <c r="L958" t="s">
        <v>16</v>
      </c>
    </row>
    <row r="959" spans="1:12" x14ac:dyDescent="0.35">
      <c r="A959">
        <v>958</v>
      </c>
      <c r="B959" t="s">
        <v>12</v>
      </c>
      <c r="C959">
        <v>5.3</v>
      </c>
      <c r="D959">
        <v>79.7</v>
      </c>
      <c r="E959">
        <v>8.3000000000000007</v>
      </c>
      <c r="F959" t="s">
        <v>24</v>
      </c>
      <c r="G959" t="s">
        <v>14</v>
      </c>
      <c r="H959" t="s">
        <v>15</v>
      </c>
      <c r="I959" t="s">
        <v>15</v>
      </c>
      <c r="J959">
        <v>75.5</v>
      </c>
      <c r="K959">
        <v>89</v>
      </c>
      <c r="L959" t="s">
        <v>20</v>
      </c>
    </row>
    <row r="960" spans="1:12" x14ac:dyDescent="0.35">
      <c r="A960">
        <v>959</v>
      </c>
      <c r="B960" t="s">
        <v>17</v>
      </c>
      <c r="C960">
        <v>4.9000000000000004</v>
      </c>
      <c r="D960">
        <v>63.5</v>
      </c>
      <c r="E960">
        <v>5.6</v>
      </c>
      <c r="F960" t="s">
        <v>13</v>
      </c>
      <c r="G960" t="s">
        <v>14</v>
      </c>
      <c r="H960" t="s">
        <v>14</v>
      </c>
      <c r="I960" t="s">
        <v>15</v>
      </c>
      <c r="J960">
        <v>73</v>
      </c>
      <c r="K960">
        <v>87.6</v>
      </c>
      <c r="L960" t="s">
        <v>20</v>
      </c>
    </row>
    <row r="961" spans="1:12" x14ac:dyDescent="0.35">
      <c r="A961">
        <v>960</v>
      </c>
      <c r="B961" t="s">
        <v>12</v>
      </c>
      <c r="C961">
        <v>1.3</v>
      </c>
      <c r="D961">
        <v>96</v>
      </c>
      <c r="E961">
        <v>8.8000000000000007</v>
      </c>
      <c r="F961" t="s">
        <v>13</v>
      </c>
      <c r="G961" t="s">
        <v>14</v>
      </c>
      <c r="H961" t="s">
        <v>15</v>
      </c>
      <c r="I961" t="s">
        <v>15</v>
      </c>
      <c r="J961">
        <v>79.7</v>
      </c>
      <c r="K961">
        <v>80.5</v>
      </c>
      <c r="L961" t="s">
        <v>20</v>
      </c>
    </row>
    <row r="962" spans="1:12" x14ac:dyDescent="0.35">
      <c r="A962">
        <v>961</v>
      </c>
      <c r="B962" t="s">
        <v>12</v>
      </c>
      <c r="C962">
        <v>0.5</v>
      </c>
      <c r="D962">
        <v>80.2</v>
      </c>
      <c r="E962">
        <v>6.5</v>
      </c>
      <c r="F962" t="s">
        <v>13</v>
      </c>
      <c r="G962" t="s">
        <v>14</v>
      </c>
      <c r="H962" t="s">
        <v>15</v>
      </c>
      <c r="I962" t="s">
        <v>15</v>
      </c>
      <c r="J962">
        <v>66.8</v>
      </c>
      <c r="K962">
        <v>75.400000000000006</v>
      </c>
      <c r="L962" t="s">
        <v>22</v>
      </c>
    </row>
    <row r="963" spans="1:12" x14ac:dyDescent="0.35">
      <c r="A963">
        <v>962</v>
      </c>
      <c r="B963" t="s">
        <v>12</v>
      </c>
      <c r="C963">
        <v>4.9000000000000004</v>
      </c>
      <c r="D963">
        <v>76.400000000000006</v>
      </c>
      <c r="E963">
        <v>8.6999999999999993</v>
      </c>
      <c r="F963" t="s">
        <v>19</v>
      </c>
      <c r="G963" t="s">
        <v>14</v>
      </c>
      <c r="H963" t="s">
        <v>15</v>
      </c>
      <c r="I963" t="s">
        <v>15</v>
      </c>
      <c r="J963">
        <v>60.7</v>
      </c>
      <c r="K963">
        <v>80.7</v>
      </c>
      <c r="L963" t="s">
        <v>20</v>
      </c>
    </row>
    <row r="964" spans="1:12" x14ac:dyDescent="0.35">
      <c r="A964">
        <v>963</v>
      </c>
      <c r="B964" t="s">
        <v>17</v>
      </c>
      <c r="C964">
        <v>1.4</v>
      </c>
      <c r="D964">
        <v>91.9</v>
      </c>
      <c r="E964">
        <v>7.6</v>
      </c>
      <c r="F964" t="s">
        <v>23</v>
      </c>
      <c r="G964" t="s">
        <v>14</v>
      </c>
      <c r="H964" t="s">
        <v>14</v>
      </c>
      <c r="I964" t="s">
        <v>14</v>
      </c>
      <c r="J964">
        <v>62.8</v>
      </c>
      <c r="K964">
        <v>73</v>
      </c>
      <c r="L964" t="s">
        <v>22</v>
      </c>
    </row>
    <row r="965" spans="1:12" x14ac:dyDescent="0.35">
      <c r="A965">
        <v>964</v>
      </c>
      <c r="B965" t="s">
        <v>12</v>
      </c>
      <c r="C965">
        <v>3.2</v>
      </c>
      <c r="D965">
        <v>81.099999999999994</v>
      </c>
      <c r="E965">
        <v>6.6</v>
      </c>
      <c r="F965" t="s">
        <v>18</v>
      </c>
      <c r="G965" t="s">
        <v>14</v>
      </c>
      <c r="H965" t="s">
        <v>15</v>
      </c>
      <c r="I965" t="s">
        <v>15</v>
      </c>
      <c r="J965">
        <v>70</v>
      </c>
      <c r="K965">
        <v>78.400000000000006</v>
      </c>
      <c r="L965" t="s">
        <v>22</v>
      </c>
    </row>
    <row r="966" spans="1:12" x14ac:dyDescent="0.35">
      <c r="A966">
        <v>965</v>
      </c>
      <c r="B966" t="s">
        <v>12</v>
      </c>
      <c r="C966">
        <v>1.7</v>
      </c>
      <c r="D966">
        <v>95.6</v>
      </c>
      <c r="E966">
        <v>6.2</v>
      </c>
      <c r="F966" t="s">
        <v>24</v>
      </c>
      <c r="G966" t="s">
        <v>14</v>
      </c>
      <c r="H966" t="s">
        <v>14</v>
      </c>
      <c r="I966" t="s">
        <v>15</v>
      </c>
      <c r="J966">
        <v>57.3</v>
      </c>
      <c r="K966">
        <v>69.5</v>
      </c>
      <c r="L966" t="s">
        <v>21</v>
      </c>
    </row>
    <row r="967" spans="1:12" x14ac:dyDescent="0.35">
      <c r="A967">
        <v>966</v>
      </c>
      <c r="B967" t="s">
        <v>12</v>
      </c>
      <c r="C967">
        <v>0.8</v>
      </c>
      <c r="D967">
        <v>91.2</v>
      </c>
      <c r="E967">
        <v>6.4</v>
      </c>
      <c r="F967" t="s">
        <v>13</v>
      </c>
      <c r="G967" t="s">
        <v>14</v>
      </c>
      <c r="H967" t="s">
        <v>15</v>
      </c>
      <c r="I967" t="s">
        <v>15</v>
      </c>
      <c r="J967">
        <v>64</v>
      </c>
      <c r="K967">
        <v>76.2</v>
      </c>
      <c r="L967" t="s">
        <v>22</v>
      </c>
    </row>
    <row r="968" spans="1:12" x14ac:dyDescent="0.35">
      <c r="A968">
        <v>967</v>
      </c>
      <c r="B968" t="s">
        <v>12</v>
      </c>
      <c r="C968">
        <v>4.3</v>
      </c>
      <c r="D968">
        <v>91.8</v>
      </c>
      <c r="E968">
        <v>7.3</v>
      </c>
      <c r="F968" t="s">
        <v>18</v>
      </c>
      <c r="G968" t="s">
        <v>14</v>
      </c>
      <c r="H968" t="s">
        <v>14</v>
      </c>
      <c r="I968" t="s">
        <v>14</v>
      </c>
      <c r="J968">
        <v>63.8</v>
      </c>
      <c r="K968">
        <v>90</v>
      </c>
      <c r="L968" t="s">
        <v>16</v>
      </c>
    </row>
    <row r="969" spans="1:12" x14ac:dyDescent="0.35">
      <c r="A969">
        <v>968</v>
      </c>
      <c r="B969" t="s">
        <v>17</v>
      </c>
      <c r="C969">
        <v>4.5999999999999996</v>
      </c>
      <c r="D969">
        <v>71.3</v>
      </c>
      <c r="E969">
        <v>6.9</v>
      </c>
      <c r="F969" t="s">
        <v>13</v>
      </c>
      <c r="G969" t="s">
        <v>14</v>
      </c>
      <c r="H969" t="s">
        <v>14</v>
      </c>
      <c r="I969" t="s">
        <v>15</v>
      </c>
      <c r="J969">
        <v>95.5</v>
      </c>
      <c r="K969">
        <v>100</v>
      </c>
      <c r="L969" t="s">
        <v>16</v>
      </c>
    </row>
    <row r="970" spans="1:12" x14ac:dyDescent="0.35">
      <c r="A970">
        <v>969</v>
      </c>
      <c r="B970" t="s">
        <v>17</v>
      </c>
      <c r="C970">
        <v>2.6</v>
      </c>
      <c r="D970">
        <v>97.1</v>
      </c>
      <c r="E970">
        <v>6.1</v>
      </c>
      <c r="F970" t="s">
        <v>13</v>
      </c>
      <c r="G970" t="s">
        <v>14</v>
      </c>
      <c r="H970" t="s">
        <v>15</v>
      </c>
      <c r="I970" t="s">
        <v>15</v>
      </c>
      <c r="J970">
        <v>36.700000000000003</v>
      </c>
      <c r="K970">
        <v>60</v>
      </c>
      <c r="L970" t="s">
        <v>21</v>
      </c>
    </row>
    <row r="971" spans="1:12" x14ac:dyDescent="0.35">
      <c r="A971">
        <v>970</v>
      </c>
      <c r="B971" t="s">
        <v>12</v>
      </c>
      <c r="C971">
        <v>0.5</v>
      </c>
      <c r="D971">
        <v>87.6</v>
      </c>
      <c r="E971">
        <v>6.6</v>
      </c>
      <c r="F971" t="s">
        <v>24</v>
      </c>
      <c r="G971" t="s">
        <v>14</v>
      </c>
      <c r="H971" t="s">
        <v>14</v>
      </c>
      <c r="I971" t="s">
        <v>15</v>
      </c>
      <c r="J971">
        <v>67.8</v>
      </c>
      <c r="K971">
        <v>78.3</v>
      </c>
      <c r="L971" t="s">
        <v>22</v>
      </c>
    </row>
    <row r="972" spans="1:12" x14ac:dyDescent="0.35">
      <c r="A972">
        <v>971</v>
      </c>
      <c r="B972" t="s">
        <v>17</v>
      </c>
      <c r="C972">
        <v>2.7</v>
      </c>
      <c r="D972">
        <v>81.3</v>
      </c>
      <c r="E972">
        <v>6.9</v>
      </c>
      <c r="F972" t="s">
        <v>18</v>
      </c>
      <c r="G972" t="s">
        <v>14</v>
      </c>
      <c r="H972" t="s">
        <v>14</v>
      </c>
      <c r="I972" t="s">
        <v>14</v>
      </c>
      <c r="J972">
        <v>90.7</v>
      </c>
      <c r="K972">
        <v>100</v>
      </c>
      <c r="L972" t="s">
        <v>16</v>
      </c>
    </row>
    <row r="973" spans="1:12" x14ac:dyDescent="0.35">
      <c r="A973">
        <v>972</v>
      </c>
      <c r="B973" t="s">
        <v>12</v>
      </c>
      <c r="C973">
        <v>4.0999999999999996</v>
      </c>
      <c r="D973">
        <v>86.4</v>
      </c>
      <c r="E973">
        <v>4.2</v>
      </c>
      <c r="F973" t="s">
        <v>23</v>
      </c>
      <c r="G973" t="s">
        <v>15</v>
      </c>
      <c r="H973" t="s">
        <v>14</v>
      </c>
      <c r="I973" t="s">
        <v>14</v>
      </c>
      <c r="J973">
        <v>71.5</v>
      </c>
      <c r="K973">
        <v>75.599999999999994</v>
      </c>
      <c r="L973" t="s">
        <v>22</v>
      </c>
    </row>
    <row r="974" spans="1:12" x14ac:dyDescent="0.35">
      <c r="A974">
        <v>973</v>
      </c>
      <c r="B974" t="s">
        <v>12</v>
      </c>
      <c r="C974">
        <v>1.3</v>
      </c>
      <c r="D974">
        <v>67.2</v>
      </c>
      <c r="E974">
        <v>7.3</v>
      </c>
      <c r="F974" t="s">
        <v>13</v>
      </c>
      <c r="G974" t="s">
        <v>14</v>
      </c>
      <c r="H974" t="s">
        <v>15</v>
      </c>
      <c r="I974" t="s">
        <v>15</v>
      </c>
      <c r="J974">
        <v>79</v>
      </c>
      <c r="K974">
        <v>84.1</v>
      </c>
      <c r="L974" t="s">
        <v>20</v>
      </c>
    </row>
    <row r="975" spans="1:12" x14ac:dyDescent="0.35">
      <c r="A975">
        <v>974</v>
      </c>
      <c r="B975" t="s">
        <v>12</v>
      </c>
      <c r="C975">
        <v>3.8</v>
      </c>
      <c r="D975">
        <v>89.1</v>
      </c>
      <c r="E975">
        <v>5.6</v>
      </c>
      <c r="F975" t="s">
        <v>18</v>
      </c>
      <c r="G975" t="s">
        <v>15</v>
      </c>
      <c r="H975" t="s">
        <v>14</v>
      </c>
      <c r="I975" t="s">
        <v>14</v>
      </c>
      <c r="J975">
        <v>71.2</v>
      </c>
      <c r="K975">
        <v>77.900000000000006</v>
      </c>
      <c r="L975" t="s">
        <v>22</v>
      </c>
    </row>
    <row r="976" spans="1:12" x14ac:dyDescent="0.35">
      <c r="A976">
        <v>975</v>
      </c>
      <c r="B976" t="s">
        <v>17</v>
      </c>
      <c r="C976">
        <v>3.5</v>
      </c>
      <c r="D976">
        <v>74.7</v>
      </c>
      <c r="E976">
        <v>5.4</v>
      </c>
      <c r="F976" t="s">
        <v>19</v>
      </c>
      <c r="G976" t="s">
        <v>14</v>
      </c>
      <c r="H976" t="s">
        <v>15</v>
      </c>
      <c r="I976" t="s">
        <v>15</v>
      </c>
      <c r="J976">
        <v>62</v>
      </c>
      <c r="K976">
        <v>67.900000000000006</v>
      </c>
      <c r="L976" t="s">
        <v>21</v>
      </c>
    </row>
    <row r="977" spans="1:12" x14ac:dyDescent="0.35">
      <c r="A977">
        <v>976</v>
      </c>
      <c r="B977" t="s">
        <v>17</v>
      </c>
      <c r="C977">
        <v>4.4000000000000004</v>
      </c>
      <c r="D977">
        <v>71.5</v>
      </c>
      <c r="E977">
        <v>4.8</v>
      </c>
      <c r="F977" t="s">
        <v>13</v>
      </c>
      <c r="G977" t="s">
        <v>14</v>
      </c>
      <c r="H977" t="s">
        <v>14</v>
      </c>
      <c r="I977" t="s">
        <v>14</v>
      </c>
      <c r="J977">
        <v>43.1</v>
      </c>
      <c r="K977">
        <v>67</v>
      </c>
      <c r="L977" t="s">
        <v>21</v>
      </c>
    </row>
    <row r="978" spans="1:12" x14ac:dyDescent="0.35">
      <c r="A978">
        <v>977</v>
      </c>
      <c r="B978" t="s">
        <v>17</v>
      </c>
      <c r="C978">
        <v>3.7</v>
      </c>
      <c r="D978">
        <v>69.8</v>
      </c>
      <c r="E978">
        <v>4.5999999999999996</v>
      </c>
      <c r="F978" t="s">
        <v>18</v>
      </c>
      <c r="G978" t="s">
        <v>15</v>
      </c>
      <c r="H978" t="s">
        <v>14</v>
      </c>
      <c r="I978" t="s">
        <v>15</v>
      </c>
      <c r="J978">
        <v>72.5</v>
      </c>
      <c r="K978">
        <v>80.900000000000006</v>
      </c>
      <c r="L978" t="s">
        <v>20</v>
      </c>
    </row>
    <row r="979" spans="1:12" x14ac:dyDescent="0.35">
      <c r="A979">
        <v>978</v>
      </c>
      <c r="B979" t="s">
        <v>17</v>
      </c>
      <c r="C979">
        <v>2</v>
      </c>
      <c r="D979">
        <v>96.1</v>
      </c>
      <c r="E979">
        <v>5.2</v>
      </c>
      <c r="F979" t="s">
        <v>13</v>
      </c>
      <c r="G979" t="s">
        <v>14</v>
      </c>
      <c r="H979" t="s">
        <v>14</v>
      </c>
      <c r="I979" t="s">
        <v>15</v>
      </c>
      <c r="J979">
        <v>60.7</v>
      </c>
      <c r="K979">
        <v>72.099999999999994</v>
      </c>
      <c r="L979" t="s">
        <v>22</v>
      </c>
    </row>
    <row r="980" spans="1:12" x14ac:dyDescent="0.35">
      <c r="A980">
        <v>979</v>
      </c>
      <c r="B980" t="s">
        <v>17</v>
      </c>
      <c r="C980">
        <v>5.3</v>
      </c>
      <c r="D980">
        <v>78.7</v>
      </c>
      <c r="E980">
        <v>5.9</v>
      </c>
      <c r="F980" t="s">
        <v>24</v>
      </c>
      <c r="G980" t="s">
        <v>14</v>
      </c>
      <c r="H980" t="s">
        <v>14</v>
      </c>
      <c r="I980" t="s">
        <v>15</v>
      </c>
      <c r="J980">
        <v>60.4</v>
      </c>
      <c r="K980">
        <v>83</v>
      </c>
      <c r="L980" t="s">
        <v>20</v>
      </c>
    </row>
    <row r="981" spans="1:12" x14ac:dyDescent="0.35">
      <c r="A981">
        <v>980</v>
      </c>
      <c r="B981" t="s">
        <v>17</v>
      </c>
      <c r="C981">
        <v>3.3</v>
      </c>
      <c r="D981">
        <v>100</v>
      </c>
      <c r="E981">
        <v>9.1</v>
      </c>
      <c r="F981" t="s">
        <v>18</v>
      </c>
      <c r="G981" t="s">
        <v>14</v>
      </c>
      <c r="H981" t="s">
        <v>14</v>
      </c>
      <c r="I981" t="s">
        <v>15</v>
      </c>
      <c r="J981">
        <v>64</v>
      </c>
      <c r="K981">
        <v>93.9</v>
      </c>
      <c r="L981" t="s">
        <v>16</v>
      </c>
    </row>
    <row r="982" spans="1:12" x14ac:dyDescent="0.35">
      <c r="A982">
        <v>981</v>
      </c>
      <c r="B982" t="s">
        <v>17</v>
      </c>
      <c r="C982">
        <v>3.5</v>
      </c>
      <c r="D982">
        <v>79.599999999999994</v>
      </c>
      <c r="E982">
        <v>6.2</v>
      </c>
      <c r="F982" t="s">
        <v>18</v>
      </c>
      <c r="G982" t="s">
        <v>14</v>
      </c>
      <c r="H982" t="s">
        <v>14</v>
      </c>
      <c r="I982" t="s">
        <v>15</v>
      </c>
      <c r="J982">
        <v>90.9</v>
      </c>
      <c r="K982">
        <v>91.4</v>
      </c>
      <c r="L982" t="s">
        <v>16</v>
      </c>
    </row>
    <row r="983" spans="1:12" x14ac:dyDescent="0.35">
      <c r="A983">
        <v>982</v>
      </c>
      <c r="B983" t="s">
        <v>17</v>
      </c>
      <c r="C983">
        <v>2.1</v>
      </c>
      <c r="D983">
        <v>67.900000000000006</v>
      </c>
      <c r="E983">
        <v>7</v>
      </c>
      <c r="F983" t="s">
        <v>18</v>
      </c>
      <c r="G983" t="s">
        <v>15</v>
      </c>
      <c r="H983" t="s">
        <v>15</v>
      </c>
      <c r="I983" t="s">
        <v>14</v>
      </c>
      <c r="J983">
        <v>98.9</v>
      </c>
      <c r="K983">
        <v>79.7</v>
      </c>
      <c r="L983" t="s">
        <v>22</v>
      </c>
    </row>
    <row r="984" spans="1:12" x14ac:dyDescent="0.35">
      <c r="A984">
        <v>983</v>
      </c>
      <c r="B984" t="s">
        <v>17</v>
      </c>
      <c r="C984">
        <v>2.8</v>
      </c>
      <c r="D984">
        <v>73.8</v>
      </c>
      <c r="E984">
        <v>7.3</v>
      </c>
      <c r="F984" t="s">
        <v>18</v>
      </c>
      <c r="G984" t="s">
        <v>14</v>
      </c>
      <c r="H984" t="s">
        <v>15</v>
      </c>
      <c r="I984" t="s">
        <v>14</v>
      </c>
      <c r="J984">
        <v>72.599999999999994</v>
      </c>
      <c r="K984">
        <v>77.7</v>
      </c>
      <c r="L984" t="s">
        <v>22</v>
      </c>
    </row>
    <row r="985" spans="1:12" x14ac:dyDescent="0.35">
      <c r="A985">
        <v>984</v>
      </c>
      <c r="B985" t="s">
        <v>12</v>
      </c>
      <c r="C985">
        <v>2.2000000000000002</v>
      </c>
      <c r="D985">
        <v>97.4</v>
      </c>
      <c r="E985">
        <v>7</v>
      </c>
      <c r="F985" t="s">
        <v>23</v>
      </c>
      <c r="G985" t="s">
        <v>14</v>
      </c>
      <c r="H985" t="s">
        <v>14</v>
      </c>
      <c r="I985" t="s">
        <v>15</v>
      </c>
      <c r="J985">
        <v>64.400000000000006</v>
      </c>
      <c r="K985">
        <v>85</v>
      </c>
      <c r="L985" t="s">
        <v>20</v>
      </c>
    </row>
    <row r="986" spans="1:12" x14ac:dyDescent="0.35">
      <c r="A986">
        <v>985</v>
      </c>
      <c r="B986" t="s">
        <v>17</v>
      </c>
      <c r="C986">
        <v>3.2</v>
      </c>
      <c r="D986">
        <v>83.4</v>
      </c>
      <c r="E986">
        <v>6.7</v>
      </c>
      <c r="F986" t="s">
        <v>13</v>
      </c>
      <c r="G986" t="s">
        <v>14</v>
      </c>
      <c r="H986" t="s">
        <v>14</v>
      </c>
      <c r="I986" t="s">
        <v>15</v>
      </c>
      <c r="J986">
        <v>55.9</v>
      </c>
      <c r="K986">
        <v>75.400000000000006</v>
      </c>
      <c r="L986" t="s">
        <v>22</v>
      </c>
    </row>
    <row r="987" spans="1:12" x14ac:dyDescent="0.35">
      <c r="A987">
        <v>986</v>
      </c>
      <c r="B987" t="s">
        <v>17</v>
      </c>
      <c r="C987">
        <v>6.1</v>
      </c>
      <c r="D987">
        <v>79.5</v>
      </c>
      <c r="E987">
        <v>5.4</v>
      </c>
      <c r="F987" t="s">
        <v>18</v>
      </c>
      <c r="G987" t="s">
        <v>14</v>
      </c>
      <c r="H987" t="s">
        <v>15</v>
      </c>
      <c r="I987" t="s">
        <v>15</v>
      </c>
      <c r="J987">
        <v>75.599999999999994</v>
      </c>
      <c r="K987">
        <v>96.4</v>
      </c>
      <c r="L987" t="s">
        <v>16</v>
      </c>
    </row>
    <row r="988" spans="1:12" x14ac:dyDescent="0.35">
      <c r="A988">
        <v>987</v>
      </c>
      <c r="B988" t="s">
        <v>17</v>
      </c>
      <c r="C988">
        <v>1.4</v>
      </c>
      <c r="D988">
        <v>86.6</v>
      </c>
      <c r="E988">
        <v>8.5</v>
      </c>
      <c r="F988" t="s">
        <v>18</v>
      </c>
      <c r="G988" t="s">
        <v>14</v>
      </c>
      <c r="H988" t="s">
        <v>14</v>
      </c>
      <c r="I988" t="s">
        <v>15</v>
      </c>
      <c r="J988">
        <v>91.4</v>
      </c>
      <c r="K988">
        <v>81.8</v>
      </c>
      <c r="L988" t="s">
        <v>20</v>
      </c>
    </row>
    <row r="989" spans="1:12" x14ac:dyDescent="0.35">
      <c r="A989">
        <v>988</v>
      </c>
      <c r="B989" t="s">
        <v>17</v>
      </c>
      <c r="C989">
        <v>1.1000000000000001</v>
      </c>
      <c r="D989">
        <v>90</v>
      </c>
      <c r="E989">
        <v>9</v>
      </c>
      <c r="F989" t="s">
        <v>18</v>
      </c>
      <c r="G989" t="s">
        <v>14</v>
      </c>
      <c r="H989" t="s">
        <v>14</v>
      </c>
      <c r="I989" t="s">
        <v>15</v>
      </c>
      <c r="J989">
        <v>67</v>
      </c>
      <c r="K989">
        <v>85.8</v>
      </c>
      <c r="L989" t="s">
        <v>20</v>
      </c>
    </row>
    <row r="990" spans="1:12" x14ac:dyDescent="0.35">
      <c r="A990">
        <v>989</v>
      </c>
      <c r="B990" t="s">
        <v>17</v>
      </c>
      <c r="C990">
        <v>5.7</v>
      </c>
      <c r="D990">
        <v>96.2</v>
      </c>
      <c r="E990">
        <v>4.8</v>
      </c>
      <c r="F990" t="s">
        <v>19</v>
      </c>
      <c r="G990" t="s">
        <v>14</v>
      </c>
      <c r="H990" t="s">
        <v>15</v>
      </c>
      <c r="I990" t="s">
        <v>15</v>
      </c>
      <c r="J990">
        <v>41.5</v>
      </c>
      <c r="K990">
        <v>80.900000000000006</v>
      </c>
      <c r="L990" t="s">
        <v>20</v>
      </c>
    </row>
    <row r="991" spans="1:12" x14ac:dyDescent="0.35">
      <c r="A991">
        <v>990</v>
      </c>
      <c r="B991" t="s">
        <v>17</v>
      </c>
      <c r="C991">
        <v>3.2</v>
      </c>
      <c r="D991">
        <v>99.5</v>
      </c>
      <c r="E991">
        <v>5.6</v>
      </c>
      <c r="F991" t="s">
        <v>18</v>
      </c>
      <c r="G991" t="s">
        <v>14</v>
      </c>
      <c r="H991" t="s">
        <v>15</v>
      </c>
      <c r="I991" t="s">
        <v>14</v>
      </c>
      <c r="J991">
        <v>78</v>
      </c>
      <c r="K991">
        <v>93.9</v>
      </c>
      <c r="L991" t="s">
        <v>16</v>
      </c>
    </row>
    <row r="992" spans="1:12" x14ac:dyDescent="0.35">
      <c r="A992">
        <v>991</v>
      </c>
      <c r="B992" t="s">
        <v>17</v>
      </c>
      <c r="C992">
        <v>2.5</v>
      </c>
      <c r="D992">
        <v>81.400000000000006</v>
      </c>
      <c r="E992">
        <v>6.5</v>
      </c>
      <c r="F992" t="s">
        <v>19</v>
      </c>
      <c r="G992" t="s">
        <v>14</v>
      </c>
      <c r="H992" t="s">
        <v>15</v>
      </c>
      <c r="I992" t="s">
        <v>15</v>
      </c>
      <c r="J992">
        <v>81.8</v>
      </c>
      <c r="K992">
        <v>81.900000000000006</v>
      </c>
      <c r="L992" t="s">
        <v>20</v>
      </c>
    </row>
    <row r="993" spans="1:12" x14ac:dyDescent="0.35">
      <c r="A993">
        <v>992</v>
      </c>
      <c r="B993" t="s">
        <v>17</v>
      </c>
      <c r="C993">
        <v>5.0999999999999996</v>
      </c>
      <c r="D993">
        <v>71.7</v>
      </c>
      <c r="E993">
        <v>5.6</v>
      </c>
      <c r="F993" t="s">
        <v>13</v>
      </c>
      <c r="G993" t="s">
        <v>14</v>
      </c>
      <c r="H993" t="s">
        <v>14</v>
      </c>
      <c r="I993" t="s">
        <v>15</v>
      </c>
      <c r="J993">
        <v>51</v>
      </c>
      <c r="K993">
        <v>80.400000000000006</v>
      </c>
      <c r="L993" t="s">
        <v>20</v>
      </c>
    </row>
    <row r="994" spans="1:12" x14ac:dyDescent="0.35">
      <c r="A994">
        <v>993</v>
      </c>
      <c r="B994" t="s">
        <v>17</v>
      </c>
      <c r="C994">
        <v>2.6</v>
      </c>
      <c r="D994">
        <v>80.900000000000006</v>
      </c>
      <c r="E994">
        <v>7.4</v>
      </c>
      <c r="F994" t="s">
        <v>18</v>
      </c>
      <c r="G994" t="s">
        <v>14</v>
      </c>
      <c r="H994" t="s">
        <v>14</v>
      </c>
      <c r="I994" t="s">
        <v>15</v>
      </c>
      <c r="J994">
        <v>72.099999999999994</v>
      </c>
      <c r="K994">
        <v>78.8</v>
      </c>
      <c r="L994" t="s">
        <v>22</v>
      </c>
    </row>
    <row r="995" spans="1:12" x14ac:dyDescent="0.35">
      <c r="A995">
        <v>994</v>
      </c>
      <c r="B995" t="s">
        <v>17</v>
      </c>
      <c r="C995">
        <v>6.2</v>
      </c>
      <c r="D995">
        <v>87.6</v>
      </c>
      <c r="E995">
        <v>5.9</v>
      </c>
      <c r="F995" t="s">
        <v>24</v>
      </c>
      <c r="G995" t="s">
        <v>14</v>
      </c>
      <c r="H995" t="s">
        <v>15</v>
      </c>
      <c r="I995" t="s">
        <v>15</v>
      </c>
      <c r="J995">
        <v>75.400000000000006</v>
      </c>
      <c r="K995">
        <v>92.7</v>
      </c>
      <c r="L995" t="s">
        <v>16</v>
      </c>
    </row>
    <row r="996" spans="1:12" x14ac:dyDescent="0.35">
      <c r="A996">
        <v>995</v>
      </c>
      <c r="B996" t="s">
        <v>17</v>
      </c>
      <c r="C996">
        <v>4.5</v>
      </c>
      <c r="D996">
        <v>75.400000000000006</v>
      </c>
      <c r="E996">
        <v>9.4</v>
      </c>
      <c r="F996" t="s">
        <v>13</v>
      </c>
      <c r="G996" t="s">
        <v>14</v>
      </c>
      <c r="H996" t="s">
        <v>14</v>
      </c>
      <c r="I996" t="s">
        <v>15</v>
      </c>
      <c r="J996">
        <v>69.099999999999994</v>
      </c>
      <c r="K996">
        <v>79.099999999999994</v>
      </c>
      <c r="L996" t="s">
        <v>22</v>
      </c>
    </row>
    <row r="997" spans="1:12" x14ac:dyDescent="0.35">
      <c r="A997">
        <v>996</v>
      </c>
      <c r="B997" t="s">
        <v>12</v>
      </c>
      <c r="C997">
        <v>2.8</v>
      </c>
      <c r="D997">
        <v>75.400000000000006</v>
      </c>
      <c r="E997">
        <v>8.1999999999999993</v>
      </c>
      <c r="F997" t="s">
        <v>23</v>
      </c>
      <c r="G997" t="s">
        <v>14</v>
      </c>
      <c r="H997" t="s">
        <v>14</v>
      </c>
      <c r="I997" t="s">
        <v>15</v>
      </c>
      <c r="J997">
        <v>60.5</v>
      </c>
      <c r="K997">
        <v>70.7</v>
      </c>
      <c r="L997" t="s">
        <v>22</v>
      </c>
    </row>
    <row r="998" spans="1:12" x14ac:dyDescent="0.35">
      <c r="A998">
        <v>997</v>
      </c>
      <c r="B998" t="s">
        <v>12</v>
      </c>
      <c r="C998">
        <v>6.7</v>
      </c>
      <c r="D998">
        <v>88.4</v>
      </c>
      <c r="E998">
        <v>7.1</v>
      </c>
      <c r="F998" t="s">
        <v>19</v>
      </c>
      <c r="G998" t="s">
        <v>15</v>
      </c>
      <c r="H998" t="s">
        <v>14</v>
      </c>
      <c r="I998" t="s">
        <v>15</v>
      </c>
      <c r="J998">
        <v>82.2</v>
      </c>
      <c r="K998">
        <v>99.5</v>
      </c>
      <c r="L998" t="s">
        <v>16</v>
      </c>
    </row>
    <row r="999" spans="1:12" x14ac:dyDescent="0.35">
      <c r="A999">
        <v>998</v>
      </c>
      <c r="B999" t="s">
        <v>17</v>
      </c>
      <c r="C999">
        <v>2.6</v>
      </c>
      <c r="D999">
        <v>84.5</v>
      </c>
      <c r="E999">
        <v>8</v>
      </c>
      <c r="F999" t="s">
        <v>18</v>
      </c>
      <c r="G999" t="s">
        <v>14</v>
      </c>
      <c r="H999" t="s">
        <v>14</v>
      </c>
      <c r="I999" t="s">
        <v>14</v>
      </c>
      <c r="J999">
        <v>65.2</v>
      </c>
      <c r="K999">
        <v>79.2</v>
      </c>
      <c r="L999" t="s">
        <v>22</v>
      </c>
    </row>
    <row r="1000" spans="1:12" x14ac:dyDescent="0.35">
      <c r="A1000">
        <v>999</v>
      </c>
      <c r="B1000" t="s">
        <v>17</v>
      </c>
      <c r="C1000">
        <v>4.5999999999999996</v>
      </c>
      <c r="D1000">
        <v>85.3</v>
      </c>
      <c r="E1000">
        <v>8.1</v>
      </c>
      <c r="F1000" t="s">
        <v>18</v>
      </c>
      <c r="G1000" t="s">
        <v>15</v>
      </c>
      <c r="H1000" t="s">
        <v>15</v>
      </c>
      <c r="I1000" t="s">
        <v>14</v>
      </c>
      <c r="J1000">
        <v>52.2</v>
      </c>
      <c r="K1000">
        <v>82.2</v>
      </c>
      <c r="L1000" t="s">
        <v>20</v>
      </c>
    </row>
    <row r="1001" spans="1:12" x14ac:dyDescent="0.35">
      <c r="A1001">
        <v>1000</v>
      </c>
      <c r="B1001" t="s">
        <v>12</v>
      </c>
      <c r="C1001">
        <v>3.9</v>
      </c>
      <c r="D1001">
        <v>77.400000000000006</v>
      </c>
      <c r="E1001">
        <v>6.1</v>
      </c>
      <c r="F1001" t="s">
        <v>23</v>
      </c>
      <c r="G1001" t="s">
        <v>14</v>
      </c>
      <c r="H1001" t="s">
        <v>15</v>
      </c>
      <c r="I1001" t="s">
        <v>15</v>
      </c>
      <c r="J1001">
        <v>45.4</v>
      </c>
      <c r="K1001">
        <v>70.400000000000006</v>
      </c>
      <c r="L1001" t="s">
        <v>22</v>
      </c>
    </row>
  </sheetData>
  <mergeCells count="2">
    <mergeCell ref="N6:X6"/>
    <mergeCell ref="N1:T1"/>
  </mergeCells>
  <conditionalFormatting sqref="J1:J1048576">
    <cfRule type="cellIs" priority="1" operator="equal">
      <formula>100</formula>
    </cfRule>
  </conditionalFormatting>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13BFE-CF1E-4B07-AAC2-8C394D4A6D75}">
  <sheetPr codeName="Sheet5"/>
  <dimension ref="A2:F70"/>
  <sheetViews>
    <sheetView zoomScale="92" workbookViewId="0">
      <selection activeCell="O58" sqref="O58"/>
    </sheetView>
  </sheetViews>
  <sheetFormatPr defaultRowHeight="14.5" x14ac:dyDescent="0.35"/>
  <cols>
    <col min="1" max="1" width="17.36328125" bestFit="1" customWidth="1"/>
    <col min="2" max="2" width="24.54296875" bestFit="1" customWidth="1"/>
    <col min="3" max="3" width="5.36328125" bestFit="1" customWidth="1"/>
    <col min="4" max="4" width="25.7265625" bestFit="1" customWidth="1"/>
    <col min="5" max="5" width="21.81640625" customWidth="1"/>
    <col min="6" max="6" width="25.7265625" bestFit="1" customWidth="1"/>
    <col min="7" max="10" width="2.81640625" bestFit="1" customWidth="1"/>
    <col min="11" max="80" width="3.81640625" bestFit="1" customWidth="1"/>
    <col min="81" max="81" width="10.36328125" bestFit="1" customWidth="1"/>
    <col min="82" max="1001" width="15.6328125" bestFit="1" customWidth="1"/>
    <col min="1002" max="1002" width="10.36328125" bestFit="1" customWidth="1"/>
  </cols>
  <sheetData>
    <row r="2" spans="1:2" x14ac:dyDescent="0.35">
      <c r="A2" t="s">
        <v>10</v>
      </c>
      <c r="B2">
        <v>100</v>
      </c>
    </row>
    <row r="4" spans="1:2" x14ac:dyDescent="0.35">
      <c r="A4" t="s">
        <v>30</v>
      </c>
      <c r="B4" s="18" t="s">
        <v>76</v>
      </c>
    </row>
    <row r="5" spans="1:2" x14ac:dyDescent="0.35">
      <c r="A5">
        <v>78</v>
      </c>
      <c r="B5" s="15">
        <f>78/1000</f>
        <v>7.8E-2</v>
      </c>
    </row>
    <row r="6" spans="1:2" x14ac:dyDescent="0.35">
      <c r="B6" s="15"/>
    </row>
    <row r="8" spans="1:2" x14ac:dyDescent="0.35">
      <c r="A8" s="6" t="s">
        <v>31</v>
      </c>
      <c r="B8" t="s">
        <v>33</v>
      </c>
    </row>
    <row r="9" spans="1:2" x14ac:dyDescent="0.35">
      <c r="A9" s="7" t="s">
        <v>15</v>
      </c>
      <c r="B9" s="8">
        <v>79.2582191780822</v>
      </c>
    </row>
    <row r="10" spans="1:2" x14ac:dyDescent="0.35">
      <c r="A10" s="7" t="s">
        <v>14</v>
      </c>
      <c r="B10" s="8">
        <v>84.276112412178023</v>
      </c>
    </row>
    <row r="11" spans="1:2" x14ac:dyDescent="0.35">
      <c r="A11" s="7" t="s">
        <v>32</v>
      </c>
      <c r="B11" s="8">
        <v>83.543500000000037</v>
      </c>
    </row>
    <row r="12" spans="1:2" x14ac:dyDescent="0.35">
      <c r="A12" s="7"/>
      <c r="B12" s="8"/>
    </row>
    <row r="14" spans="1:2" x14ac:dyDescent="0.35">
      <c r="A14" t="s">
        <v>31</v>
      </c>
      <c r="B14" t="s">
        <v>33</v>
      </c>
    </row>
    <row r="15" spans="1:2" x14ac:dyDescent="0.35">
      <c r="A15" t="s">
        <v>15</v>
      </c>
      <c r="B15" s="12">
        <v>83.284345794392493</v>
      </c>
    </row>
    <row r="16" spans="1:2" x14ac:dyDescent="0.35">
      <c r="A16" t="s">
        <v>14</v>
      </c>
      <c r="B16" s="12">
        <v>83.737412587412635</v>
      </c>
    </row>
    <row r="17" spans="1:2" x14ac:dyDescent="0.35">
      <c r="A17" t="s">
        <v>32</v>
      </c>
      <c r="B17" s="12">
        <v>83.543500000000051</v>
      </c>
    </row>
    <row r="18" spans="1:2" ht="23" customHeight="1" x14ac:dyDescent="0.35"/>
    <row r="19" spans="1:2" x14ac:dyDescent="0.35">
      <c r="A19" s="17" t="s">
        <v>78</v>
      </c>
      <c r="B19">
        <f>83.7-83.3</f>
        <v>0.40000000000000568</v>
      </c>
    </row>
    <row r="20" spans="1:2" x14ac:dyDescent="0.35">
      <c r="A20" s="17"/>
    </row>
    <row r="21" spans="1:2" x14ac:dyDescent="0.35">
      <c r="A21" s="17"/>
    </row>
    <row r="23" spans="1:2" x14ac:dyDescent="0.35">
      <c r="A23" s="6" t="s">
        <v>31</v>
      </c>
      <c r="B23" t="s">
        <v>33</v>
      </c>
    </row>
    <row r="24" spans="1:2" x14ac:dyDescent="0.35">
      <c r="A24" s="7" t="s">
        <v>15</v>
      </c>
      <c r="B24" s="12">
        <v>84.582309941520634</v>
      </c>
    </row>
    <row r="25" spans="1:2" x14ac:dyDescent="0.35">
      <c r="A25" s="7" t="s">
        <v>14</v>
      </c>
      <c r="B25" s="12">
        <v>81.29493670886076</v>
      </c>
    </row>
    <row r="26" spans="1:2" x14ac:dyDescent="0.35">
      <c r="A26" s="7" t="s">
        <v>32</v>
      </c>
      <c r="B26" s="12">
        <v>83.543500000000151</v>
      </c>
    </row>
    <row r="29" spans="1:2" x14ac:dyDescent="0.35">
      <c r="A29" s="17" t="s">
        <v>74</v>
      </c>
      <c r="B29">
        <f>84.6-81.3</f>
        <v>3.2999999999999972</v>
      </c>
    </row>
    <row r="32" spans="1:2" x14ac:dyDescent="0.35">
      <c r="A32" t="s">
        <v>31</v>
      </c>
      <c r="B32" t="s">
        <v>33</v>
      </c>
    </row>
    <row r="33" spans="1:6" x14ac:dyDescent="0.35">
      <c r="A33" t="s">
        <v>17</v>
      </c>
      <c r="B33" s="12">
        <v>83.60686274509807</v>
      </c>
    </row>
    <row r="34" spans="1:6" x14ac:dyDescent="0.35">
      <c r="A34" t="s">
        <v>12</v>
      </c>
      <c r="B34" s="12">
        <v>83.477551020408242</v>
      </c>
    </row>
    <row r="35" spans="1:6" x14ac:dyDescent="0.35">
      <c r="A35" t="s">
        <v>32</v>
      </c>
      <c r="B35" s="12">
        <v>83.543499999999966</v>
      </c>
    </row>
    <row r="36" spans="1:6" x14ac:dyDescent="0.35">
      <c r="B36" s="12"/>
    </row>
    <row r="38" spans="1:6" x14ac:dyDescent="0.35">
      <c r="A38" s="6" t="s">
        <v>31</v>
      </c>
      <c r="B38" t="s">
        <v>30</v>
      </c>
      <c r="D38" s="19"/>
      <c r="E38" s="19"/>
      <c r="F38" s="19"/>
    </row>
    <row r="39" spans="1:6" x14ac:dyDescent="0.35">
      <c r="A39" s="7" t="s">
        <v>16</v>
      </c>
      <c r="B39">
        <v>284</v>
      </c>
      <c r="D39" s="17" t="s">
        <v>85</v>
      </c>
      <c r="E39" s="17" t="s">
        <v>86</v>
      </c>
      <c r="F39" s="17" t="s">
        <v>87</v>
      </c>
    </row>
    <row r="40" spans="1:6" x14ac:dyDescent="0.35">
      <c r="A40" s="7" t="s">
        <v>20</v>
      </c>
      <c r="B40">
        <v>354</v>
      </c>
      <c r="D40" t="s">
        <v>90</v>
      </c>
      <c r="E40">
        <f>GETPIVOTDATA("student_id",$A$38,"final_grade","A")+GETPIVOTDATA("student_id",$A$38,"final_grade","B")</f>
        <v>638</v>
      </c>
      <c r="F40" s="10">
        <f>E40/1000</f>
        <v>0.63800000000000001</v>
      </c>
    </row>
    <row r="41" spans="1:6" x14ac:dyDescent="0.35">
      <c r="A41" s="7" t="s">
        <v>22</v>
      </c>
      <c r="B41">
        <v>261</v>
      </c>
      <c r="D41" t="s">
        <v>88</v>
      </c>
      <c r="E41">
        <v>261</v>
      </c>
      <c r="F41" s="10">
        <f>E41/1000</f>
        <v>0.26100000000000001</v>
      </c>
    </row>
    <row r="42" spans="1:6" x14ac:dyDescent="0.35">
      <c r="A42" s="7" t="s">
        <v>21</v>
      </c>
      <c r="B42">
        <v>89</v>
      </c>
      <c r="D42" t="s">
        <v>89</v>
      </c>
      <c r="E42">
        <f>GETPIVOTDATA("student_id",$A$38,"final_grade","D")+GETPIVOTDATA("student_id",$A$38,"final_grade","F")</f>
        <v>101</v>
      </c>
      <c r="F42" s="10">
        <f>E42/1000</f>
        <v>0.10100000000000001</v>
      </c>
    </row>
    <row r="43" spans="1:6" x14ac:dyDescent="0.35">
      <c r="A43" s="7" t="s">
        <v>25</v>
      </c>
      <c r="B43">
        <v>12</v>
      </c>
      <c r="F43" s="10"/>
    </row>
    <row r="44" spans="1:6" x14ac:dyDescent="0.35">
      <c r="A44" s="7" t="s">
        <v>32</v>
      </c>
      <c r="B44">
        <v>1000</v>
      </c>
    </row>
    <row r="47" spans="1:6" x14ac:dyDescent="0.35">
      <c r="A47" t="s">
        <v>30</v>
      </c>
    </row>
    <row r="48" spans="1:6" x14ac:dyDescent="0.35">
      <c r="A48">
        <v>1000</v>
      </c>
      <c r="B48">
        <f>GETPIVOTDATA("student_id",$A$47)</f>
        <v>1000</v>
      </c>
    </row>
    <row r="50" spans="1:2" x14ac:dyDescent="0.35">
      <c r="A50" t="s">
        <v>33</v>
      </c>
    </row>
    <row r="51" spans="1:2" x14ac:dyDescent="0.35">
      <c r="A51" s="12">
        <v>83.543500000000094</v>
      </c>
      <c r="B51" s="12">
        <f>GETPIVOTDATA("final_exam_score",$A$50)</f>
        <v>83.543500000000094</v>
      </c>
    </row>
    <row r="54" spans="1:2" x14ac:dyDescent="0.35">
      <c r="A54" s="6" t="s">
        <v>31</v>
      </c>
      <c r="B54" t="s">
        <v>30</v>
      </c>
    </row>
    <row r="55" spans="1:2" x14ac:dyDescent="0.35">
      <c r="A55" s="7" t="s">
        <v>16</v>
      </c>
      <c r="B55">
        <v>284</v>
      </c>
    </row>
    <row r="56" spans="1:2" x14ac:dyDescent="0.35">
      <c r="A56" s="7" t="s">
        <v>20</v>
      </c>
      <c r="B56">
        <v>354</v>
      </c>
    </row>
    <row r="57" spans="1:2" x14ac:dyDescent="0.35">
      <c r="A57" s="7" t="s">
        <v>22</v>
      </c>
      <c r="B57">
        <v>261</v>
      </c>
    </row>
    <row r="58" spans="1:2" x14ac:dyDescent="0.35">
      <c r="A58" s="7" t="s">
        <v>21</v>
      </c>
      <c r="B58">
        <v>89</v>
      </c>
    </row>
    <row r="59" spans="1:2" x14ac:dyDescent="0.35">
      <c r="A59" s="7" t="s">
        <v>25</v>
      </c>
      <c r="B59">
        <v>12</v>
      </c>
    </row>
    <row r="60" spans="1:2" x14ac:dyDescent="0.35">
      <c r="A60" s="7" t="s">
        <v>32</v>
      </c>
      <c r="B60">
        <v>1000</v>
      </c>
    </row>
    <row r="62" spans="1:2" x14ac:dyDescent="0.35">
      <c r="A62" s="17" t="s">
        <v>84</v>
      </c>
      <c r="B62" s="10">
        <f>(GETPIVOTDATA("student_id",$A$54,"final_grade","A")+GETPIVOTDATA("student_id",$A$54,"final_grade","B"))/GETPIVOTDATA("student_id",$A$54)</f>
        <v>0.63800000000000001</v>
      </c>
    </row>
    <row r="64" spans="1:2" x14ac:dyDescent="0.35">
      <c r="A64" s="6" t="s">
        <v>31</v>
      </c>
      <c r="B64" t="s">
        <v>33</v>
      </c>
    </row>
    <row r="65" spans="1:5" x14ac:dyDescent="0.35">
      <c r="A65" s="7" t="s">
        <v>13</v>
      </c>
      <c r="B65" s="12">
        <v>83.400324675324583</v>
      </c>
    </row>
    <row r="66" spans="1:5" x14ac:dyDescent="0.35">
      <c r="A66" s="7" t="s">
        <v>18</v>
      </c>
      <c r="B66" s="12">
        <v>83.231460674157304</v>
      </c>
    </row>
    <row r="67" spans="1:5" x14ac:dyDescent="0.35">
      <c r="A67" s="7" t="s">
        <v>23</v>
      </c>
      <c r="B67" s="12">
        <v>84.034239130434798</v>
      </c>
    </row>
    <row r="68" spans="1:5" x14ac:dyDescent="0.35">
      <c r="A68" s="7" t="s">
        <v>19</v>
      </c>
      <c r="B68" s="12">
        <v>83.435294117647061</v>
      </c>
    </row>
    <row r="69" spans="1:5" x14ac:dyDescent="0.35">
      <c r="A69" s="7" t="s">
        <v>24</v>
      </c>
      <c r="B69" s="12">
        <v>85.062000000000026</v>
      </c>
      <c r="E69" s="17" t="s">
        <v>72</v>
      </c>
    </row>
    <row r="70" spans="1:5" x14ac:dyDescent="0.35">
      <c r="A70" s="7" t="s">
        <v>32</v>
      </c>
      <c r="B70" s="12">
        <v>83.543500000000037</v>
      </c>
      <c r="E70">
        <f xml:space="preserve"> 85.06 - 83.23</f>
        <v>1.8299999999999983</v>
      </c>
    </row>
  </sheetData>
  <pageMargins left="0.7" right="0.7" top="0.75" bottom="0.75" header="0.3" footer="0.3"/>
  <pageSetup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68C2-C964-4C5F-92FC-D4BD3F23218D}">
  <sheetPr codeName="Sheet6"/>
  <dimension ref="A1"/>
  <sheetViews>
    <sheetView showGridLines="0" zoomScale="37" zoomScaleNormal="25" workbookViewId="0">
      <selection activeCell="S87" sqref="S87"/>
    </sheetView>
  </sheetViews>
  <sheetFormatPr defaultRowHeight="14.5" x14ac:dyDescent="0.35"/>
  <sheetData>
    <row r="1" spans="1:1" x14ac:dyDescent="0.35">
      <c r="A1"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63991-47D0-426E-AD6A-301BC57F4319}">
  <dimension ref="A1:B14"/>
  <sheetViews>
    <sheetView zoomScale="57" workbookViewId="0">
      <selection activeCell="B26" sqref="B26"/>
    </sheetView>
  </sheetViews>
  <sheetFormatPr defaultRowHeight="14.5" x14ac:dyDescent="0.35"/>
  <cols>
    <col min="1" max="1" width="31.90625" bestFit="1" customWidth="1"/>
    <col min="2" max="2" width="162.1796875" bestFit="1" customWidth="1"/>
  </cols>
  <sheetData>
    <row r="1" spans="1:2" x14ac:dyDescent="0.35">
      <c r="A1" s="25" t="s">
        <v>37</v>
      </c>
      <c r="B1" s="25"/>
    </row>
    <row r="2" spans="1:2" x14ac:dyDescent="0.35">
      <c r="A2" s="25"/>
      <c r="B2" s="25"/>
    </row>
    <row r="3" spans="1:2" x14ac:dyDescent="0.35">
      <c r="A3" t="s">
        <v>38</v>
      </c>
      <c r="B3" t="s">
        <v>39</v>
      </c>
    </row>
    <row r="4" spans="1:2" x14ac:dyDescent="0.35">
      <c r="A4" t="s">
        <v>40</v>
      </c>
      <c r="B4" t="s">
        <v>45</v>
      </c>
    </row>
    <row r="5" spans="1:2" x14ac:dyDescent="0.35">
      <c r="A5" t="s">
        <v>41</v>
      </c>
      <c r="B5" t="s">
        <v>46</v>
      </c>
    </row>
    <row r="6" spans="1:2" x14ac:dyDescent="0.35">
      <c r="A6" t="s">
        <v>42</v>
      </c>
      <c r="B6" t="s">
        <v>47</v>
      </c>
    </row>
    <row r="7" spans="1:2" x14ac:dyDescent="0.35">
      <c r="A7" t="s">
        <v>43</v>
      </c>
      <c r="B7" t="s">
        <v>48</v>
      </c>
    </row>
    <row r="8" spans="1:2" x14ac:dyDescent="0.35">
      <c r="A8" t="s">
        <v>44</v>
      </c>
      <c r="B8" t="s">
        <v>49</v>
      </c>
    </row>
    <row r="10" spans="1:2" x14ac:dyDescent="0.35">
      <c r="A10" s="23" t="s">
        <v>50</v>
      </c>
      <c r="B10" s="23"/>
    </row>
    <row r="11" spans="1:2" x14ac:dyDescent="0.35">
      <c r="A11" t="s">
        <v>51</v>
      </c>
      <c r="B11" t="s">
        <v>55</v>
      </c>
    </row>
    <row r="12" spans="1:2" x14ac:dyDescent="0.35">
      <c r="A12" t="s">
        <v>52</v>
      </c>
      <c r="B12" t="s">
        <v>56</v>
      </c>
    </row>
    <row r="13" spans="1:2" x14ac:dyDescent="0.35">
      <c r="A13" t="s">
        <v>53</v>
      </c>
      <c r="B13" t="s">
        <v>57</v>
      </c>
    </row>
    <row r="14" spans="1:2" x14ac:dyDescent="0.35">
      <c r="A14" t="s">
        <v>54</v>
      </c>
      <c r="B14" t="s">
        <v>58</v>
      </c>
    </row>
  </sheetData>
  <mergeCells count="2">
    <mergeCell ref="A10:B10"/>
    <mergeCell ref="A1: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2D9B40-1C11-44DD-96B2-C4B1C5EE85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01_Raw_Data</vt:lpstr>
      <vt:lpstr>02_Project_Plan</vt:lpstr>
      <vt:lpstr>03_Clean_Data_Analysis</vt:lpstr>
      <vt:lpstr>04_Pivot_Analysis</vt:lpstr>
      <vt:lpstr>05_Dashboard</vt:lpstr>
      <vt:lpstr>06_Insights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أفراح جابر بن صياح العنزي</dc:creator>
  <cp:lastModifiedBy>أفراح جابر بن صياح العنزي</cp:lastModifiedBy>
  <dcterms:created xsi:type="dcterms:W3CDTF">2026-09-05T07:17:23Z</dcterms:created>
  <dcterms:modified xsi:type="dcterms:W3CDTF">2026-09-11T19:24:15Z</dcterms:modified>
</cp:coreProperties>
</file>